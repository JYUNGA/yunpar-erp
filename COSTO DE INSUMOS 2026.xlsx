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D:\19 - CUENTAS YUNPAR\sistema_textil\"/>
    </mc:Choice>
  </mc:AlternateContent>
  <xr:revisionPtr revIDLastSave="0" documentId="13_ncr:1_{8B5637F2-507B-4CC4-82DA-AA42ED29D689}" xr6:coauthVersionLast="47" xr6:coauthVersionMax="47" xr10:uidLastSave="{00000000-0000-0000-0000-000000000000}"/>
  <bookViews>
    <workbookView xWindow="28680" yWindow="-120" windowWidth="29040" windowHeight="15720" activeTab="1" xr2:uid="{FB5ED2D1-55AA-4EE3-82D8-CE24F297CA76}"/>
  </bookViews>
  <sheets>
    <sheet name="PRODUCTO NACIONAL" sheetId="1" r:id="rId1"/>
    <sheet name="PVP" sheetId="3" r:id="rId2"/>
    <sheet name="SUMINISTROS YUNPAR" sheetId="5" r:id="rId3"/>
  </sheets>
  <externalReferences>
    <externalReference r:id="rId4"/>
  </externalReferences>
  <definedNames>
    <definedName name="_xlnm._FilterDatabase" localSheetId="0" hidden="1">'PRODUCTO NACIONAL'!$A$1:$X$82</definedName>
    <definedName name="_xlnm.Print_Area" localSheetId="1">PVP!$A$1:$L$105</definedName>
    <definedName name="_xlnm.Print_Area" localSheetId="2">'SUMINISTROS YUNPAR'!$A$1:$N$38</definedName>
    <definedName name="_xlnm.Print_Titles" localSheetId="1">PVP!$1:$2</definedName>
    <definedName name="_xlnm.Print_Titles" localSheetId="2">'SUMINISTROS YUNPAR'!$1:$2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84" i="1" l="1"/>
  <c r="Q84" i="1"/>
  <c r="R84" i="1" s="1"/>
  <c r="P84" i="1"/>
  <c r="P20" i="1"/>
  <c r="P19" i="1"/>
  <c r="P18" i="1"/>
  <c r="P17" i="1"/>
  <c r="J16" i="1"/>
  <c r="Q20" i="1"/>
  <c r="N17" i="1"/>
  <c r="V84" i="1"/>
  <c r="W84" i="1" s="1"/>
  <c r="X84" i="1"/>
  <c r="V20" i="1" l="1"/>
  <c r="W20" i="1" s="1"/>
  <c r="V19" i="1"/>
  <c r="W19" i="1" s="1"/>
  <c r="V18" i="1"/>
  <c r="W18" i="1" s="1"/>
  <c r="K83" i="1" l="1"/>
  <c r="F35" i="5"/>
  <c r="A38" i="5"/>
  <c r="A37" i="5"/>
  <c r="F32" i="5"/>
  <c r="A36" i="5"/>
  <c r="A27" i="5"/>
  <c r="J26" i="5"/>
  <c r="H26" i="5"/>
  <c r="G26" i="5"/>
  <c r="F26" i="5"/>
  <c r="E26" i="5"/>
  <c r="D26" i="5"/>
  <c r="C26" i="5"/>
  <c r="A26" i="5"/>
  <c r="J25" i="5"/>
  <c r="H25" i="5"/>
  <c r="G25" i="5"/>
  <c r="F25" i="5"/>
  <c r="E25" i="5"/>
  <c r="D25" i="5"/>
  <c r="C25" i="5"/>
  <c r="A25" i="5"/>
  <c r="J24" i="5"/>
  <c r="H24" i="5"/>
  <c r="G24" i="5"/>
  <c r="F24" i="5"/>
  <c r="E24" i="5"/>
  <c r="D24" i="5"/>
  <c r="C24" i="5"/>
  <c r="A24" i="5"/>
  <c r="J23" i="5"/>
  <c r="H23" i="5"/>
  <c r="G23" i="5"/>
  <c r="F23" i="5"/>
  <c r="E23" i="5"/>
  <c r="D23" i="5"/>
  <c r="C23" i="5"/>
  <c r="A23" i="5"/>
  <c r="L21" i="5"/>
  <c r="K21" i="5"/>
  <c r="J21" i="5"/>
  <c r="I21" i="5"/>
  <c r="H21" i="5"/>
  <c r="G21" i="5"/>
  <c r="F21" i="5"/>
  <c r="E21" i="5"/>
  <c r="D21" i="5"/>
  <c r="C21" i="5"/>
  <c r="A21" i="5"/>
  <c r="L20" i="5"/>
  <c r="K20" i="5"/>
  <c r="J20" i="5"/>
  <c r="I20" i="5"/>
  <c r="H20" i="5"/>
  <c r="G20" i="5"/>
  <c r="F20" i="5"/>
  <c r="E20" i="5"/>
  <c r="D20" i="5"/>
  <c r="C20" i="5"/>
  <c r="A20" i="5"/>
  <c r="J18" i="5"/>
  <c r="I18" i="5"/>
  <c r="H18" i="5"/>
  <c r="G18" i="5"/>
  <c r="F18" i="5"/>
  <c r="E18" i="5"/>
  <c r="D18" i="5"/>
  <c r="C18" i="5"/>
  <c r="A18" i="5"/>
  <c r="J17" i="5"/>
  <c r="I17" i="5"/>
  <c r="H17" i="5"/>
  <c r="G17" i="5"/>
  <c r="F17" i="5"/>
  <c r="E17" i="5"/>
  <c r="D17" i="5"/>
  <c r="C17" i="5"/>
  <c r="A17" i="5"/>
  <c r="J16" i="5"/>
  <c r="I16" i="5"/>
  <c r="H16" i="5"/>
  <c r="G16" i="5"/>
  <c r="F16" i="5"/>
  <c r="E16" i="5"/>
  <c r="D16" i="5"/>
  <c r="C16" i="5"/>
  <c r="A16" i="5"/>
  <c r="J15" i="5"/>
  <c r="I15" i="5"/>
  <c r="H15" i="5"/>
  <c r="G15" i="5"/>
  <c r="F15" i="5"/>
  <c r="E15" i="5"/>
  <c r="D15" i="5"/>
  <c r="C15" i="5"/>
  <c r="A15" i="5"/>
  <c r="L13" i="5"/>
  <c r="K13" i="5"/>
  <c r="J13" i="5"/>
  <c r="I13" i="5"/>
  <c r="H13" i="5"/>
  <c r="G13" i="5"/>
  <c r="F13" i="5"/>
  <c r="E13" i="5"/>
  <c r="D13" i="5"/>
  <c r="C13" i="5"/>
  <c r="A13" i="5"/>
  <c r="J12" i="5"/>
  <c r="I12" i="5"/>
  <c r="H12" i="5"/>
  <c r="G12" i="5"/>
  <c r="F12" i="5"/>
  <c r="E12" i="5"/>
  <c r="D12" i="5"/>
  <c r="C12" i="5"/>
  <c r="A12" i="5"/>
  <c r="J11" i="5"/>
  <c r="I11" i="5"/>
  <c r="H11" i="5"/>
  <c r="G11" i="5"/>
  <c r="F11" i="5"/>
  <c r="E11" i="5"/>
  <c r="D11" i="5"/>
  <c r="C11" i="5"/>
  <c r="A11" i="5"/>
  <c r="J10" i="5"/>
  <c r="I10" i="5"/>
  <c r="H10" i="5"/>
  <c r="G10" i="5"/>
  <c r="F10" i="5"/>
  <c r="E10" i="5"/>
  <c r="D10" i="5"/>
  <c r="C10" i="5"/>
  <c r="A10" i="5"/>
  <c r="J9" i="5"/>
  <c r="I9" i="5"/>
  <c r="H9" i="5"/>
  <c r="G9" i="5"/>
  <c r="F9" i="5"/>
  <c r="E9" i="5"/>
  <c r="D9" i="5"/>
  <c r="C9" i="5"/>
  <c r="A9" i="5"/>
  <c r="J8" i="5"/>
  <c r="I8" i="5"/>
  <c r="H8" i="5"/>
  <c r="G8" i="5"/>
  <c r="F8" i="5"/>
  <c r="E8" i="5"/>
  <c r="D8" i="5"/>
  <c r="C8" i="5"/>
  <c r="A8" i="5"/>
  <c r="J7" i="5"/>
  <c r="I7" i="5"/>
  <c r="H7" i="5"/>
  <c r="G7" i="5"/>
  <c r="F7" i="5"/>
  <c r="E7" i="5"/>
  <c r="L35" i="5" s="1"/>
  <c r="D7" i="5"/>
  <c r="C7" i="5"/>
  <c r="A7" i="5"/>
  <c r="J6" i="5"/>
  <c r="I6" i="5"/>
  <c r="H6" i="5"/>
  <c r="G6" i="5"/>
  <c r="F6" i="5"/>
  <c r="E6" i="5"/>
  <c r="L34" i="5" s="1"/>
  <c r="D6" i="5"/>
  <c r="C6" i="5"/>
  <c r="A6" i="5"/>
  <c r="L5" i="5"/>
  <c r="J5" i="5"/>
  <c r="I5" i="5"/>
  <c r="H5" i="5"/>
  <c r="G5" i="5"/>
  <c r="F5" i="5"/>
  <c r="E5" i="5"/>
  <c r="L33" i="5" s="1"/>
  <c r="D5" i="5"/>
  <c r="C5" i="5"/>
  <c r="A5" i="5"/>
  <c r="J4" i="5"/>
  <c r="I4" i="5"/>
  <c r="H4" i="5"/>
  <c r="G4" i="5"/>
  <c r="F4" i="5"/>
  <c r="E4" i="5"/>
  <c r="L32" i="5" s="1"/>
  <c r="D4" i="5"/>
  <c r="C4" i="5"/>
  <c r="A4" i="5"/>
  <c r="L2" i="5"/>
  <c r="K2" i="5"/>
  <c r="J2" i="5"/>
  <c r="I2" i="5"/>
  <c r="H2" i="5"/>
  <c r="G2" i="5"/>
  <c r="F2" i="5"/>
  <c r="E2" i="5"/>
  <c r="D2" i="5"/>
  <c r="C2" i="5"/>
  <c r="A2" i="5"/>
  <c r="U82" i="1"/>
  <c r="J21" i="3" s="1"/>
  <c r="K21" i="3"/>
  <c r="H21" i="3"/>
  <c r="G21" i="3"/>
  <c r="F21" i="3"/>
  <c r="E21" i="3"/>
  <c r="D21" i="3"/>
  <c r="C21" i="3"/>
  <c r="L20" i="3"/>
  <c r="L19" i="3"/>
  <c r="L18" i="3"/>
  <c r="L28" i="3"/>
  <c r="L17" i="3"/>
  <c r="L14" i="3"/>
  <c r="L6" i="5"/>
  <c r="K34" i="5" s="1"/>
  <c r="V17" i="1"/>
  <c r="K4" i="5" s="1"/>
  <c r="K81" i="1"/>
  <c r="K80" i="1"/>
  <c r="M80" i="1" s="1"/>
  <c r="N80" i="1" s="1"/>
  <c r="O80" i="1" s="1"/>
  <c r="R80" i="1" s="1"/>
  <c r="I34" i="5" l="1"/>
  <c r="I33" i="5"/>
  <c r="K33" i="5"/>
  <c r="I35" i="5"/>
  <c r="J32" i="5"/>
  <c r="J36" i="5" s="1"/>
  <c r="I32" i="5"/>
  <c r="I36" i="5" s="1"/>
  <c r="N36" i="5" s="1"/>
  <c r="I39" i="5"/>
  <c r="N39" i="5" s="1"/>
  <c r="K6" i="5"/>
  <c r="J34" i="5" s="1"/>
  <c r="J38" i="5" s="1"/>
  <c r="W82" i="1"/>
  <c r="I21" i="3" s="1"/>
  <c r="I38" i="5"/>
  <c r="N38" i="5" s="1"/>
  <c r="L21" i="3"/>
  <c r="W17" i="1"/>
  <c r="L4" i="5" s="1"/>
  <c r="K32" i="5" s="1"/>
  <c r="M81" i="1"/>
  <c r="N81" i="1" s="1"/>
  <c r="Q81" i="1" s="1"/>
  <c r="P81" i="1" s="1"/>
  <c r="H11" i="3"/>
  <c r="A60" i="3"/>
  <c r="C60" i="3"/>
  <c r="D60" i="3"/>
  <c r="G60" i="3"/>
  <c r="E60" i="3"/>
  <c r="F60" i="3"/>
  <c r="H60" i="3"/>
  <c r="I60" i="3"/>
  <c r="J60" i="3"/>
  <c r="A38" i="3"/>
  <c r="C38" i="3"/>
  <c r="D38" i="3"/>
  <c r="G38" i="3"/>
  <c r="E38" i="3"/>
  <c r="F38" i="3"/>
  <c r="H38" i="3"/>
  <c r="I38" i="3"/>
  <c r="J38" i="3"/>
  <c r="A30" i="3"/>
  <c r="C30" i="3"/>
  <c r="D30" i="3"/>
  <c r="G30" i="3"/>
  <c r="E30" i="3"/>
  <c r="F30" i="3"/>
  <c r="H30" i="3"/>
  <c r="I30" i="3"/>
  <c r="J30" i="3"/>
  <c r="A31" i="3"/>
  <c r="C31" i="3"/>
  <c r="D31" i="3"/>
  <c r="G31" i="3"/>
  <c r="E31" i="3"/>
  <c r="F31" i="3"/>
  <c r="H31" i="3"/>
  <c r="I31" i="3"/>
  <c r="J31" i="3"/>
  <c r="A32" i="3"/>
  <c r="C32" i="3"/>
  <c r="D32" i="3"/>
  <c r="G32" i="3"/>
  <c r="E32" i="3"/>
  <c r="F32" i="3"/>
  <c r="H32" i="3"/>
  <c r="I32" i="3"/>
  <c r="J32" i="3"/>
  <c r="A33" i="3"/>
  <c r="C33" i="3"/>
  <c r="D33" i="3"/>
  <c r="G33" i="3"/>
  <c r="E33" i="3"/>
  <c r="F33" i="3"/>
  <c r="H33" i="3"/>
  <c r="I33" i="3"/>
  <c r="J33" i="3"/>
  <c r="A70" i="3"/>
  <c r="C70" i="3"/>
  <c r="D70" i="3"/>
  <c r="G70" i="3"/>
  <c r="E70" i="3"/>
  <c r="F70" i="3"/>
  <c r="H70" i="3"/>
  <c r="I70" i="3"/>
  <c r="J70" i="3"/>
  <c r="A8" i="3"/>
  <c r="C8" i="3"/>
  <c r="D8" i="3"/>
  <c r="G8" i="3"/>
  <c r="E8" i="3"/>
  <c r="F8" i="3"/>
  <c r="H8" i="3"/>
  <c r="I8" i="3"/>
  <c r="J8" i="3"/>
  <c r="K8" i="3"/>
  <c r="L8" i="3"/>
  <c r="A68" i="3"/>
  <c r="C68" i="3"/>
  <c r="D68" i="3"/>
  <c r="G68" i="3"/>
  <c r="E68" i="3"/>
  <c r="F68" i="3"/>
  <c r="H68" i="3"/>
  <c r="I68" i="3"/>
  <c r="J68" i="3"/>
  <c r="A23" i="3"/>
  <c r="C23" i="3"/>
  <c r="D23" i="3"/>
  <c r="G23" i="3"/>
  <c r="E23" i="3"/>
  <c r="F23" i="3"/>
  <c r="H23" i="3"/>
  <c r="I23" i="3"/>
  <c r="J23" i="3"/>
  <c r="A25" i="3"/>
  <c r="C25" i="3"/>
  <c r="D25" i="3"/>
  <c r="G25" i="3"/>
  <c r="E25" i="3"/>
  <c r="F25" i="3"/>
  <c r="H25" i="3"/>
  <c r="I25" i="3"/>
  <c r="J25" i="3"/>
  <c r="A26" i="3"/>
  <c r="C26" i="3"/>
  <c r="D26" i="3"/>
  <c r="G26" i="3"/>
  <c r="E26" i="3"/>
  <c r="F26" i="3"/>
  <c r="H26" i="3"/>
  <c r="I26" i="3"/>
  <c r="J26" i="3"/>
  <c r="A24" i="3"/>
  <c r="C24" i="3"/>
  <c r="D24" i="3"/>
  <c r="G24" i="3"/>
  <c r="E24" i="3"/>
  <c r="F24" i="3"/>
  <c r="H24" i="3"/>
  <c r="I24" i="3"/>
  <c r="J24" i="3"/>
  <c r="L24" i="3"/>
  <c r="A20" i="3"/>
  <c r="C20" i="3"/>
  <c r="D20" i="3"/>
  <c r="G20" i="3"/>
  <c r="E20" i="3"/>
  <c r="F20" i="3"/>
  <c r="H20" i="3"/>
  <c r="I20" i="3"/>
  <c r="J20" i="3"/>
  <c r="K20" i="3"/>
  <c r="A16" i="3"/>
  <c r="C16" i="3"/>
  <c r="D16" i="3"/>
  <c r="G16" i="3"/>
  <c r="E16" i="3"/>
  <c r="F16" i="3"/>
  <c r="H16" i="3"/>
  <c r="I16" i="3"/>
  <c r="J16" i="3"/>
  <c r="A61" i="3"/>
  <c r="C61" i="3"/>
  <c r="D61" i="3"/>
  <c r="G61" i="3"/>
  <c r="E61" i="3"/>
  <c r="F61" i="3"/>
  <c r="H61" i="3"/>
  <c r="I61" i="3"/>
  <c r="J61" i="3"/>
  <c r="K61" i="3"/>
  <c r="L61" i="3"/>
  <c r="A47" i="3"/>
  <c r="C47" i="3"/>
  <c r="D47" i="3"/>
  <c r="G47" i="3"/>
  <c r="E47" i="3"/>
  <c r="F47" i="3"/>
  <c r="H47" i="3"/>
  <c r="I47" i="3"/>
  <c r="J47" i="3"/>
  <c r="K47" i="3"/>
  <c r="A48" i="3"/>
  <c r="C48" i="3"/>
  <c r="D48" i="3"/>
  <c r="G48" i="3"/>
  <c r="E48" i="3"/>
  <c r="F48" i="3"/>
  <c r="H48" i="3"/>
  <c r="I48" i="3"/>
  <c r="J48" i="3"/>
  <c r="K48" i="3"/>
  <c r="A3" i="3"/>
  <c r="C3" i="3"/>
  <c r="D3" i="3"/>
  <c r="G3" i="3"/>
  <c r="E3" i="3"/>
  <c r="F3" i="3"/>
  <c r="H3" i="3"/>
  <c r="I3" i="3"/>
  <c r="J3" i="3"/>
  <c r="A71" i="3"/>
  <c r="C71" i="3"/>
  <c r="D71" i="3"/>
  <c r="G71" i="3"/>
  <c r="E71" i="3"/>
  <c r="F71" i="3"/>
  <c r="H71" i="3"/>
  <c r="I71" i="3"/>
  <c r="J71" i="3"/>
  <c r="A28" i="3"/>
  <c r="C28" i="3"/>
  <c r="D28" i="3"/>
  <c r="G28" i="3"/>
  <c r="E28" i="3"/>
  <c r="F28" i="3"/>
  <c r="H28" i="3"/>
  <c r="I28" i="3"/>
  <c r="J28" i="3"/>
  <c r="K28" i="3"/>
  <c r="A14" i="3"/>
  <c r="C14" i="3"/>
  <c r="D14" i="3"/>
  <c r="G14" i="3"/>
  <c r="E14" i="3"/>
  <c r="F14" i="3"/>
  <c r="H14" i="3"/>
  <c r="I14" i="3"/>
  <c r="J14" i="3"/>
  <c r="K14" i="3"/>
  <c r="A50" i="3"/>
  <c r="C50" i="3"/>
  <c r="D50" i="3"/>
  <c r="G50" i="3"/>
  <c r="E50" i="3"/>
  <c r="F50" i="3"/>
  <c r="H50" i="3"/>
  <c r="I50" i="3"/>
  <c r="J50" i="3"/>
  <c r="K50" i="3"/>
  <c r="L50" i="3"/>
  <c r="A72" i="3"/>
  <c r="C72" i="3"/>
  <c r="D72" i="3"/>
  <c r="G72" i="3"/>
  <c r="E72" i="3"/>
  <c r="F72" i="3"/>
  <c r="H72" i="3"/>
  <c r="I72" i="3"/>
  <c r="J72" i="3"/>
  <c r="A73" i="3"/>
  <c r="C73" i="3"/>
  <c r="D73" i="3"/>
  <c r="G73" i="3"/>
  <c r="E73" i="3"/>
  <c r="F73" i="3"/>
  <c r="H73" i="3"/>
  <c r="I73" i="3"/>
  <c r="J73" i="3"/>
  <c r="A15" i="3"/>
  <c r="C15" i="3"/>
  <c r="D15" i="3"/>
  <c r="G15" i="3"/>
  <c r="E15" i="3"/>
  <c r="F15" i="3"/>
  <c r="H15" i="3"/>
  <c r="I15" i="3"/>
  <c r="J15" i="3"/>
  <c r="K15" i="3"/>
  <c r="L15" i="3"/>
  <c r="A10" i="3"/>
  <c r="C10" i="3"/>
  <c r="D10" i="3"/>
  <c r="G10" i="3"/>
  <c r="E10" i="3"/>
  <c r="F10" i="3"/>
  <c r="H10" i="3"/>
  <c r="I10" i="3"/>
  <c r="J10" i="3"/>
  <c r="K10" i="3"/>
  <c r="L10" i="3"/>
  <c r="A17" i="3"/>
  <c r="C17" i="3"/>
  <c r="D17" i="3"/>
  <c r="G17" i="3"/>
  <c r="E17" i="3"/>
  <c r="F17" i="3"/>
  <c r="H17" i="3"/>
  <c r="I17" i="3"/>
  <c r="J17" i="3"/>
  <c r="K17" i="3"/>
  <c r="A9" i="3"/>
  <c r="C9" i="3"/>
  <c r="D9" i="3"/>
  <c r="G9" i="3"/>
  <c r="E9" i="3"/>
  <c r="F9" i="3"/>
  <c r="H9" i="3"/>
  <c r="I9" i="3"/>
  <c r="J9" i="3"/>
  <c r="A29" i="3"/>
  <c r="C29" i="3"/>
  <c r="D29" i="3"/>
  <c r="G29" i="3"/>
  <c r="E29" i="3"/>
  <c r="F29" i="3"/>
  <c r="H29" i="3"/>
  <c r="I29" i="3"/>
  <c r="J29" i="3"/>
  <c r="A27" i="3"/>
  <c r="C27" i="3"/>
  <c r="D27" i="3"/>
  <c r="G27" i="3"/>
  <c r="E27" i="3"/>
  <c r="F27" i="3"/>
  <c r="H27" i="3"/>
  <c r="I27" i="3"/>
  <c r="J27" i="3"/>
  <c r="A49" i="3"/>
  <c r="C49" i="3"/>
  <c r="D49" i="3"/>
  <c r="G49" i="3"/>
  <c r="E49" i="3"/>
  <c r="F49" i="3"/>
  <c r="H49" i="3"/>
  <c r="I49" i="3"/>
  <c r="J49" i="3"/>
  <c r="K49" i="3"/>
  <c r="L49" i="3"/>
  <c r="A64" i="3"/>
  <c r="C64" i="3"/>
  <c r="D64" i="3"/>
  <c r="G64" i="3"/>
  <c r="E64" i="3"/>
  <c r="F64" i="3"/>
  <c r="H64" i="3"/>
  <c r="I64" i="3"/>
  <c r="J64" i="3"/>
  <c r="K64" i="3"/>
  <c r="L64" i="3"/>
  <c r="A65" i="3"/>
  <c r="C65" i="3"/>
  <c r="D65" i="3"/>
  <c r="G65" i="3"/>
  <c r="E65" i="3"/>
  <c r="F65" i="3"/>
  <c r="H65" i="3"/>
  <c r="I65" i="3"/>
  <c r="J65" i="3"/>
  <c r="K65" i="3"/>
  <c r="L65" i="3"/>
  <c r="A62" i="3"/>
  <c r="C62" i="3"/>
  <c r="D62" i="3"/>
  <c r="G62" i="3"/>
  <c r="E62" i="3"/>
  <c r="F62" i="3"/>
  <c r="H62" i="3"/>
  <c r="I62" i="3"/>
  <c r="J62" i="3"/>
  <c r="K62" i="3"/>
  <c r="L62" i="3"/>
  <c r="A63" i="3"/>
  <c r="C63" i="3"/>
  <c r="D63" i="3"/>
  <c r="G63" i="3"/>
  <c r="E63" i="3"/>
  <c r="F63" i="3"/>
  <c r="H63" i="3"/>
  <c r="I63" i="3"/>
  <c r="J63" i="3"/>
  <c r="K63" i="3"/>
  <c r="L63" i="3"/>
  <c r="A51" i="3"/>
  <c r="C51" i="3"/>
  <c r="D51" i="3"/>
  <c r="G51" i="3"/>
  <c r="E51" i="3"/>
  <c r="F51" i="3"/>
  <c r="H51" i="3"/>
  <c r="I51" i="3"/>
  <c r="J51" i="3"/>
  <c r="K51" i="3"/>
  <c r="L51" i="3"/>
  <c r="A52" i="3"/>
  <c r="C52" i="3"/>
  <c r="D52" i="3"/>
  <c r="G52" i="3"/>
  <c r="E52" i="3"/>
  <c r="F52" i="3"/>
  <c r="H52" i="3"/>
  <c r="I52" i="3"/>
  <c r="J52" i="3"/>
  <c r="K52" i="3"/>
  <c r="L52" i="3"/>
  <c r="A53" i="3"/>
  <c r="C53" i="3"/>
  <c r="D53" i="3"/>
  <c r="G53" i="3"/>
  <c r="E53" i="3"/>
  <c r="F53" i="3"/>
  <c r="H53" i="3"/>
  <c r="I53" i="3"/>
  <c r="J53" i="3"/>
  <c r="K53" i="3"/>
  <c r="L53" i="3"/>
  <c r="A54" i="3"/>
  <c r="C54" i="3"/>
  <c r="D54" i="3"/>
  <c r="G54" i="3"/>
  <c r="E54" i="3"/>
  <c r="F54" i="3"/>
  <c r="H54" i="3"/>
  <c r="I54" i="3"/>
  <c r="J54" i="3"/>
  <c r="K54" i="3"/>
  <c r="L54" i="3"/>
  <c r="A55" i="3"/>
  <c r="C55" i="3"/>
  <c r="D55" i="3"/>
  <c r="G55" i="3"/>
  <c r="E55" i="3"/>
  <c r="F55" i="3"/>
  <c r="H55" i="3"/>
  <c r="I55" i="3"/>
  <c r="J55" i="3"/>
  <c r="K55" i="3"/>
  <c r="L55" i="3"/>
  <c r="A56" i="3"/>
  <c r="C56" i="3"/>
  <c r="D56" i="3"/>
  <c r="G56" i="3"/>
  <c r="E56" i="3"/>
  <c r="F56" i="3"/>
  <c r="H56" i="3"/>
  <c r="I56" i="3"/>
  <c r="J56" i="3"/>
  <c r="K56" i="3"/>
  <c r="L56" i="3"/>
  <c r="A57" i="3"/>
  <c r="C57" i="3"/>
  <c r="D57" i="3"/>
  <c r="G57" i="3"/>
  <c r="E57" i="3"/>
  <c r="F57" i="3"/>
  <c r="H57" i="3"/>
  <c r="I57" i="3"/>
  <c r="J57" i="3"/>
  <c r="K57" i="3"/>
  <c r="L57" i="3"/>
  <c r="A58" i="3"/>
  <c r="C58" i="3"/>
  <c r="D58" i="3"/>
  <c r="G58" i="3"/>
  <c r="E58" i="3"/>
  <c r="F58" i="3"/>
  <c r="H58" i="3"/>
  <c r="I58" i="3"/>
  <c r="J58" i="3"/>
  <c r="K58" i="3"/>
  <c r="L58" i="3"/>
  <c r="A59" i="3"/>
  <c r="C59" i="3"/>
  <c r="D59" i="3"/>
  <c r="G59" i="3"/>
  <c r="E59" i="3"/>
  <c r="F59" i="3"/>
  <c r="H59" i="3"/>
  <c r="I59" i="3"/>
  <c r="J59" i="3"/>
  <c r="K59" i="3"/>
  <c r="L59" i="3"/>
  <c r="A66" i="3"/>
  <c r="C66" i="3"/>
  <c r="D66" i="3"/>
  <c r="G66" i="3"/>
  <c r="E66" i="3"/>
  <c r="F66" i="3"/>
  <c r="H66" i="3"/>
  <c r="I66" i="3"/>
  <c r="J66" i="3"/>
  <c r="K66" i="3"/>
  <c r="L66" i="3"/>
  <c r="A34" i="3"/>
  <c r="C34" i="3"/>
  <c r="D34" i="3"/>
  <c r="G34" i="3"/>
  <c r="E34" i="3"/>
  <c r="F34" i="3"/>
  <c r="H34" i="3"/>
  <c r="I34" i="3"/>
  <c r="J34" i="3"/>
  <c r="K34" i="3"/>
  <c r="L34" i="3"/>
  <c r="A67" i="3"/>
  <c r="C67" i="3"/>
  <c r="D67" i="3"/>
  <c r="G67" i="3"/>
  <c r="E67" i="3"/>
  <c r="F67" i="3"/>
  <c r="H67" i="3"/>
  <c r="I67" i="3"/>
  <c r="J67" i="3"/>
  <c r="K67" i="3"/>
  <c r="L67" i="3"/>
  <c r="A13" i="3"/>
  <c r="C13" i="3"/>
  <c r="D13" i="3"/>
  <c r="G13" i="3"/>
  <c r="E13" i="3"/>
  <c r="F13" i="3"/>
  <c r="H13" i="3"/>
  <c r="I13" i="3"/>
  <c r="J13" i="3"/>
  <c r="A12" i="3"/>
  <c r="C12" i="3"/>
  <c r="D12" i="3"/>
  <c r="G12" i="3"/>
  <c r="E12" i="3"/>
  <c r="F12" i="3"/>
  <c r="H12" i="3"/>
  <c r="I12" i="3"/>
  <c r="J12" i="3"/>
  <c r="A5" i="3"/>
  <c r="C5" i="3"/>
  <c r="D5" i="3"/>
  <c r="G5" i="3"/>
  <c r="E5" i="3"/>
  <c r="F5" i="3"/>
  <c r="H5" i="3"/>
  <c r="I5" i="3"/>
  <c r="J5" i="3"/>
  <c r="A6" i="3"/>
  <c r="C6" i="3"/>
  <c r="D6" i="3"/>
  <c r="G6" i="3"/>
  <c r="E6" i="3"/>
  <c r="F6" i="3"/>
  <c r="H6" i="3"/>
  <c r="I6" i="3"/>
  <c r="J6" i="3"/>
  <c r="A4" i="3"/>
  <c r="C4" i="3"/>
  <c r="D4" i="3"/>
  <c r="G4" i="3"/>
  <c r="E4" i="3"/>
  <c r="F4" i="3"/>
  <c r="H4" i="3"/>
  <c r="I4" i="3"/>
  <c r="J4" i="3"/>
  <c r="A7" i="3"/>
  <c r="C7" i="3"/>
  <c r="D7" i="3"/>
  <c r="G7" i="3"/>
  <c r="E7" i="3"/>
  <c r="F7" i="3"/>
  <c r="H7" i="3"/>
  <c r="I7" i="3"/>
  <c r="J7" i="3"/>
  <c r="A45" i="3"/>
  <c r="C45" i="3"/>
  <c r="D45" i="3"/>
  <c r="G45" i="3"/>
  <c r="E45" i="3"/>
  <c r="F45" i="3"/>
  <c r="H45" i="3"/>
  <c r="I45" i="3"/>
  <c r="J45" i="3"/>
  <c r="K45" i="3"/>
  <c r="L45" i="3"/>
  <c r="A46" i="3"/>
  <c r="C46" i="3"/>
  <c r="D46" i="3"/>
  <c r="G46" i="3"/>
  <c r="E46" i="3"/>
  <c r="F46" i="3"/>
  <c r="H46" i="3"/>
  <c r="I46" i="3"/>
  <c r="J46" i="3"/>
  <c r="K46" i="3"/>
  <c r="L46" i="3"/>
  <c r="A35" i="3"/>
  <c r="C35" i="3"/>
  <c r="D35" i="3"/>
  <c r="G35" i="3"/>
  <c r="E35" i="3"/>
  <c r="F35" i="3"/>
  <c r="H35" i="3"/>
  <c r="I35" i="3"/>
  <c r="J35" i="3"/>
  <c r="A39" i="3"/>
  <c r="C39" i="3"/>
  <c r="D39" i="3"/>
  <c r="G39" i="3"/>
  <c r="E39" i="3"/>
  <c r="F39" i="3"/>
  <c r="H39" i="3"/>
  <c r="I39" i="3"/>
  <c r="J39" i="3"/>
  <c r="A40" i="3"/>
  <c r="C40" i="3"/>
  <c r="D40" i="3"/>
  <c r="G40" i="3"/>
  <c r="E40" i="3"/>
  <c r="F40" i="3"/>
  <c r="H40" i="3"/>
  <c r="I40" i="3"/>
  <c r="J40" i="3"/>
  <c r="A41" i="3"/>
  <c r="C41" i="3"/>
  <c r="D41" i="3"/>
  <c r="G41" i="3"/>
  <c r="E41" i="3"/>
  <c r="F41" i="3"/>
  <c r="H41" i="3"/>
  <c r="I41" i="3"/>
  <c r="J41" i="3"/>
  <c r="A36" i="3"/>
  <c r="C36" i="3"/>
  <c r="D36" i="3"/>
  <c r="G36" i="3"/>
  <c r="E36" i="3"/>
  <c r="F36" i="3"/>
  <c r="H36" i="3"/>
  <c r="I36" i="3"/>
  <c r="J36" i="3"/>
  <c r="K36" i="3"/>
  <c r="L36" i="3"/>
  <c r="A43" i="3"/>
  <c r="C43" i="3"/>
  <c r="D43" i="3"/>
  <c r="G43" i="3"/>
  <c r="E43" i="3"/>
  <c r="F43" i="3"/>
  <c r="H43" i="3"/>
  <c r="I43" i="3"/>
  <c r="J43" i="3"/>
  <c r="K43" i="3"/>
  <c r="L43" i="3"/>
  <c r="A18" i="3"/>
  <c r="C18" i="3"/>
  <c r="D18" i="3"/>
  <c r="G18" i="3"/>
  <c r="E18" i="3"/>
  <c r="F18" i="3"/>
  <c r="H18" i="3"/>
  <c r="I18" i="3"/>
  <c r="J18" i="3"/>
  <c r="K18" i="3"/>
  <c r="A19" i="3"/>
  <c r="C19" i="3"/>
  <c r="D19" i="3"/>
  <c r="G19" i="3"/>
  <c r="E19" i="3"/>
  <c r="F19" i="3"/>
  <c r="H19" i="3"/>
  <c r="I19" i="3"/>
  <c r="J19" i="3"/>
  <c r="K19" i="3"/>
  <c r="A44" i="3"/>
  <c r="C44" i="3"/>
  <c r="D44" i="3"/>
  <c r="G44" i="3"/>
  <c r="E44" i="3"/>
  <c r="F44" i="3"/>
  <c r="H44" i="3"/>
  <c r="I44" i="3"/>
  <c r="J44" i="3"/>
  <c r="K44" i="3"/>
  <c r="L44" i="3"/>
  <c r="E11" i="3"/>
  <c r="G11" i="3"/>
  <c r="D11" i="3"/>
  <c r="D2" i="3"/>
  <c r="E2" i="3"/>
  <c r="G2" i="3"/>
  <c r="C2" i="3"/>
  <c r="L11" i="3"/>
  <c r="K11" i="3"/>
  <c r="L2" i="3"/>
  <c r="J11" i="3"/>
  <c r="I11" i="3"/>
  <c r="K78" i="1"/>
  <c r="M78" i="1" s="1"/>
  <c r="N78" i="1" s="1"/>
  <c r="O78" i="1" s="1"/>
  <c r="Q78" i="1" s="1"/>
  <c r="R78" i="1" s="1"/>
  <c r="K77" i="1"/>
  <c r="M77" i="1" s="1"/>
  <c r="N77" i="1" s="1"/>
  <c r="O77" i="1" s="1"/>
  <c r="Q77" i="1" s="1"/>
  <c r="R77" i="1" s="1"/>
  <c r="W81" i="1" l="1"/>
  <c r="R81" i="1"/>
  <c r="K76" i="1"/>
  <c r="M76" i="1" s="1"/>
  <c r="N76" i="1" s="1"/>
  <c r="P76" i="1" s="1"/>
  <c r="V29" i="1"/>
  <c r="K24" i="5" s="1"/>
  <c r="K34" i="1"/>
  <c r="M34" i="1" s="1"/>
  <c r="N34" i="1" s="1"/>
  <c r="H34" i="1"/>
  <c r="V5" i="1"/>
  <c r="K75" i="1"/>
  <c r="M75" i="1" s="1"/>
  <c r="N75" i="1" s="1"/>
  <c r="P75" i="1" s="1"/>
  <c r="X75" i="1" s="1"/>
  <c r="R71" i="1"/>
  <c r="R13" i="1"/>
  <c r="R9" i="1"/>
  <c r="R8" i="1"/>
  <c r="R20" i="1"/>
  <c r="Q19" i="1"/>
  <c r="R19" i="1" s="1"/>
  <c r="Q18" i="1"/>
  <c r="R18" i="1" s="1"/>
  <c r="Q17" i="1"/>
  <c r="R17" i="1" s="1"/>
  <c r="R7" i="1"/>
  <c r="R74" i="1"/>
  <c r="R73" i="1"/>
  <c r="R72" i="1"/>
  <c r="R6" i="1"/>
  <c r="V66" i="1"/>
  <c r="V62" i="1"/>
  <c r="V61" i="1"/>
  <c r="V63" i="1"/>
  <c r="V64" i="1"/>
  <c r="V65" i="1"/>
  <c r="V28" i="1"/>
  <c r="V22" i="1"/>
  <c r="V16" i="1"/>
  <c r="V42" i="1"/>
  <c r="V41" i="1"/>
  <c r="V40" i="1"/>
  <c r="I39" i="1"/>
  <c r="K39" i="1" s="1"/>
  <c r="M39" i="1" s="1"/>
  <c r="N39" i="1" s="1"/>
  <c r="Q39" i="1" s="1"/>
  <c r="R39" i="1" s="1"/>
  <c r="K7" i="5"/>
  <c r="J35" i="5" s="1"/>
  <c r="J39" i="5" s="1"/>
  <c r="W41" i="1" l="1"/>
  <c r="K29" i="3"/>
  <c r="W42" i="1"/>
  <c r="K27" i="3"/>
  <c r="W62" i="1"/>
  <c r="K12" i="3"/>
  <c r="W65" i="1"/>
  <c r="K4" i="3"/>
  <c r="W63" i="1"/>
  <c r="K5" i="3"/>
  <c r="W5" i="1"/>
  <c r="L60" i="3" s="1"/>
  <c r="K60" i="3"/>
  <c r="W22" i="1"/>
  <c r="K16" i="3"/>
  <c r="W66" i="1"/>
  <c r="K7" i="3"/>
  <c r="L23" i="3"/>
  <c r="K23" i="3"/>
  <c r="L25" i="3"/>
  <c r="K25" i="3"/>
  <c r="W29" i="1"/>
  <c r="K71" i="3"/>
  <c r="W16" i="1"/>
  <c r="L68" i="3" s="1"/>
  <c r="K68" i="3"/>
  <c r="W28" i="1"/>
  <c r="K3" i="3"/>
  <c r="W61" i="1"/>
  <c r="L13" i="3" s="1"/>
  <c r="K13" i="3"/>
  <c r="L7" i="5"/>
  <c r="K35" i="5" s="1"/>
  <c r="K26" i="3"/>
  <c r="W64" i="1"/>
  <c r="K6" i="3"/>
  <c r="W40" i="1"/>
  <c r="K9" i="3"/>
  <c r="R76" i="1"/>
  <c r="P34" i="1"/>
  <c r="R34" i="1" s="1"/>
  <c r="R75" i="1"/>
  <c r="X39" i="1"/>
  <c r="V35" i="1"/>
  <c r="K25" i="5" s="1"/>
  <c r="V36" i="1"/>
  <c r="K26" i="5" s="1"/>
  <c r="V14" i="1"/>
  <c r="K23" i="5" s="1"/>
  <c r="L71" i="3" l="1"/>
  <c r="L24" i="5"/>
  <c r="K39" i="5"/>
  <c r="K37" i="5"/>
  <c r="K38" i="5"/>
  <c r="K36" i="5"/>
  <c r="L9" i="3"/>
  <c r="L27" i="3"/>
  <c r="L29" i="3"/>
  <c r="L6" i="3"/>
  <c r="L26" i="3"/>
  <c r="L16" i="3"/>
  <c r="L5" i="3"/>
  <c r="L4" i="3"/>
  <c r="L3" i="3"/>
  <c r="L7" i="3"/>
  <c r="L12" i="3"/>
  <c r="W36" i="1"/>
  <c r="K73" i="3"/>
  <c r="W14" i="1"/>
  <c r="K70" i="3"/>
  <c r="W35" i="1"/>
  <c r="K72" i="3"/>
  <c r="V13" i="1"/>
  <c r="K11" i="5" s="1"/>
  <c r="V72" i="1"/>
  <c r="K16" i="5" s="1"/>
  <c r="V73" i="1"/>
  <c r="K17" i="5" s="1"/>
  <c r="V74" i="1"/>
  <c r="K18" i="5" s="1"/>
  <c r="V71" i="1"/>
  <c r="K12" i="5" s="1"/>
  <c r="V7" i="1"/>
  <c r="K8" i="5" s="1"/>
  <c r="V8" i="1"/>
  <c r="K9" i="5" s="1"/>
  <c r="V9" i="1"/>
  <c r="K10" i="5" s="1"/>
  <c r="V6" i="1"/>
  <c r="K15" i="5" s="1"/>
  <c r="C11" i="3"/>
  <c r="F11" i="3"/>
  <c r="A11" i="3"/>
  <c r="L70" i="3" l="1"/>
  <c r="L23" i="5"/>
  <c r="L73" i="3"/>
  <c r="L26" i="5"/>
  <c r="L72" i="3"/>
  <c r="L25" i="5"/>
  <c r="W8" i="1"/>
  <c r="L9" i="5" s="1"/>
  <c r="K31" i="3"/>
  <c r="W9" i="1"/>
  <c r="L10" i="5" s="1"/>
  <c r="K32" i="3"/>
  <c r="W71" i="1"/>
  <c r="L12" i="5" s="1"/>
  <c r="K35" i="3"/>
  <c r="W6" i="1"/>
  <c r="L15" i="5" s="1"/>
  <c r="K38" i="3"/>
  <c r="W74" i="1"/>
  <c r="L18" i="5" s="1"/>
  <c r="K41" i="3"/>
  <c r="W73" i="1"/>
  <c r="L17" i="5" s="1"/>
  <c r="K40" i="3"/>
  <c r="W72" i="1"/>
  <c r="L16" i="5" s="1"/>
  <c r="K39" i="3"/>
  <c r="W7" i="1"/>
  <c r="L8" i="5" s="1"/>
  <c r="K30" i="3"/>
  <c r="W13" i="1"/>
  <c r="L11" i="5" s="1"/>
  <c r="K33" i="3"/>
  <c r="K44" i="1"/>
  <c r="M44" i="1" s="1"/>
  <c r="N44" i="1" s="1"/>
  <c r="P44" i="1" s="1"/>
  <c r="X44" i="1" s="1"/>
  <c r="K49" i="1"/>
  <c r="M49" i="1" s="1"/>
  <c r="N49" i="1" s="1"/>
  <c r="P49" i="1" s="1"/>
  <c r="X49" i="1" s="1"/>
  <c r="K43" i="1"/>
  <c r="M43" i="1" s="1"/>
  <c r="N43" i="1" s="1"/>
  <c r="P43" i="1" s="1"/>
  <c r="K38" i="1"/>
  <c r="M38" i="1" s="1"/>
  <c r="N38" i="1" s="1"/>
  <c r="Q38" i="1" s="1"/>
  <c r="X38" i="1" s="1"/>
  <c r="N33" i="1"/>
  <c r="P33" i="1" s="1"/>
  <c r="R33" i="1" s="1"/>
  <c r="K69" i="1"/>
  <c r="K25" i="1"/>
  <c r="K70" i="1"/>
  <c r="L70" i="1" s="1"/>
  <c r="K24" i="1"/>
  <c r="L39" i="5" l="1"/>
  <c r="L37" i="5"/>
  <c r="L38" i="5"/>
  <c r="L36" i="5"/>
  <c r="L39" i="3"/>
  <c r="L33" i="3"/>
  <c r="L30" i="3"/>
  <c r="L40" i="3"/>
  <c r="L41" i="3"/>
  <c r="L38" i="3"/>
  <c r="L31" i="3"/>
  <c r="L35" i="3"/>
  <c r="L32" i="3"/>
  <c r="Q43" i="1"/>
  <c r="R43" i="1" s="1"/>
  <c r="X43" i="1"/>
  <c r="R49" i="1"/>
  <c r="R44" i="1"/>
  <c r="R38" i="1"/>
  <c r="L69" i="1"/>
  <c r="M69" i="1" s="1"/>
  <c r="N69" i="1" s="1"/>
  <c r="Q69" i="1" s="1"/>
  <c r="L24" i="1"/>
  <c r="M24" i="1" s="1"/>
  <c r="N24" i="1" s="1"/>
  <c r="Q24" i="1" s="1"/>
  <c r="L25" i="1"/>
  <c r="M25" i="1" s="1"/>
  <c r="N25" i="1" s="1"/>
  <c r="P25" i="1" s="1"/>
  <c r="R25" i="1" s="1"/>
  <c r="M70" i="1"/>
  <c r="N70" i="1" s="1"/>
  <c r="P70" i="1" s="1"/>
  <c r="R70" i="1" s="1"/>
  <c r="P69" i="1" l="1"/>
  <c r="R69" i="1" s="1"/>
  <c r="W69" i="1"/>
  <c r="X69" i="1" s="1"/>
  <c r="P24" i="1"/>
  <c r="R24" i="1" s="1"/>
  <c r="W24" i="1"/>
  <c r="X24" i="1" s="1"/>
  <c r="O25" i="1"/>
  <c r="O70" i="1"/>
  <c r="N19" i="1" l="1"/>
  <c r="X19" i="1" s="1"/>
  <c r="N12" i="1"/>
  <c r="P12" i="1" s="1"/>
  <c r="R12" i="1" s="1"/>
  <c r="N11" i="1"/>
  <c r="P11" i="1" s="1"/>
  <c r="R11" i="1" s="1"/>
  <c r="N10" i="1"/>
  <c r="P10" i="1" s="1"/>
  <c r="R10" i="1" s="1"/>
  <c r="K54" i="1"/>
  <c r="M54" i="1" s="1"/>
  <c r="N54" i="1" s="1"/>
  <c r="P54" i="1" s="1"/>
  <c r="X54" i="1" s="1"/>
  <c r="K56" i="1"/>
  <c r="M56" i="1" s="1"/>
  <c r="N56" i="1" s="1"/>
  <c r="P56" i="1" s="1"/>
  <c r="X56" i="1" s="1"/>
  <c r="K55" i="1"/>
  <c r="M55" i="1" s="1"/>
  <c r="N55" i="1" s="1"/>
  <c r="P55" i="1" s="1"/>
  <c r="X55" i="1" s="1"/>
  <c r="K57" i="1"/>
  <c r="M57" i="1" s="1"/>
  <c r="N57" i="1" s="1"/>
  <c r="P57" i="1" s="1"/>
  <c r="X57" i="1" s="1"/>
  <c r="K53" i="1"/>
  <c r="M53" i="1" s="1"/>
  <c r="N53" i="1" s="1"/>
  <c r="P53" i="1" s="1"/>
  <c r="X53" i="1" s="1"/>
  <c r="K32" i="1"/>
  <c r="M32" i="1" s="1"/>
  <c r="N32" i="1" s="1"/>
  <c r="P32" i="1" s="1"/>
  <c r="K52" i="1"/>
  <c r="M52" i="1" s="1"/>
  <c r="N52" i="1" s="1"/>
  <c r="P52" i="1" s="1"/>
  <c r="X52" i="1" s="1"/>
  <c r="N72" i="1"/>
  <c r="P72" i="1" s="1"/>
  <c r="N73" i="1"/>
  <c r="P73" i="1" s="1"/>
  <c r="N74" i="1"/>
  <c r="P74" i="1" s="1"/>
  <c r="N6" i="1"/>
  <c r="K5" i="5"/>
  <c r="N18" i="1"/>
  <c r="X18" i="1" s="1"/>
  <c r="N20" i="1"/>
  <c r="X20" i="1" s="1"/>
  <c r="X17" i="1"/>
  <c r="M7" i="1"/>
  <c r="N7" i="1" s="1"/>
  <c r="M8" i="1"/>
  <c r="N8" i="1" s="1"/>
  <c r="M13" i="1"/>
  <c r="N13" i="1" s="1"/>
  <c r="M71" i="1"/>
  <c r="N71" i="1" s="1"/>
  <c r="M9" i="1"/>
  <c r="N9" i="1" s="1"/>
  <c r="I37" i="5" l="1"/>
  <c r="N37" i="5" s="1"/>
  <c r="J33" i="5"/>
  <c r="J37" i="5" s="1"/>
  <c r="K24" i="3"/>
  <c r="R53" i="1"/>
  <c r="R52" i="1"/>
  <c r="X32" i="1"/>
  <c r="R32" i="1"/>
  <c r="R57" i="1"/>
  <c r="P9" i="1"/>
  <c r="X9" i="1" s="1"/>
  <c r="P71" i="1"/>
  <c r="X71" i="1" s="1"/>
  <c r="P6" i="1"/>
  <c r="X6" i="1" s="1"/>
  <c r="P13" i="1"/>
  <c r="X13" i="1" s="1"/>
  <c r="P7" i="1"/>
  <c r="X7" i="1" s="1"/>
  <c r="P8" i="1"/>
  <c r="X8" i="1" s="1"/>
  <c r="X73" i="1"/>
  <c r="X74" i="1"/>
  <c r="X72" i="1"/>
  <c r="K2" i="3"/>
  <c r="J2" i="3"/>
  <c r="I2" i="3"/>
  <c r="H2" i="3"/>
  <c r="F2" i="3"/>
  <c r="A2" i="3"/>
  <c r="K50" i="1"/>
  <c r="M50" i="1" s="1"/>
  <c r="N50" i="1" s="1"/>
  <c r="P50" i="1" s="1"/>
  <c r="X50" i="1" s="1"/>
  <c r="K58" i="1"/>
  <c r="M58" i="1" s="1"/>
  <c r="N58" i="1" s="1"/>
  <c r="O58" i="1" s="1"/>
  <c r="K59" i="1"/>
  <c r="M59" i="1" s="1"/>
  <c r="N59" i="1" s="1"/>
  <c r="P59" i="1" s="1"/>
  <c r="X59" i="1" s="1"/>
  <c r="K47" i="1"/>
  <c r="M47" i="1" s="1"/>
  <c r="N47" i="1" s="1"/>
  <c r="K5" i="1"/>
  <c r="M5" i="1" s="1"/>
  <c r="N5" i="1" s="1"/>
  <c r="P5" i="1" s="1"/>
  <c r="Q5" i="1" s="1"/>
  <c r="J48" i="1"/>
  <c r="J60" i="1"/>
  <c r="K23" i="1"/>
  <c r="M23" i="1" s="1"/>
  <c r="N23" i="1" s="1"/>
  <c r="P23" i="1" s="1"/>
  <c r="X23" i="1" s="1"/>
  <c r="K15" i="1"/>
  <c r="M15" i="1" s="1"/>
  <c r="N15" i="1" s="1"/>
  <c r="Q15" i="1" s="1"/>
  <c r="X15" i="1" s="1"/>
  <c r="K30" i="1"/>
  <c r="M30" i="1" s="1"/>
  <c r="N30" i="1" s="1"/>
  <c r="Q30" i="1" s="1"/>
  <c r="K4" i="1"/>
  <c r="M4" i="1" s="1"/>
  <c r="N4" i="1" s="1"/>
  <c r="Q4" i="1" s="1"/>
  <c r="X4" i="1" s="1"/>
  <c r="X58" i="1" l="1"/>
  <c r="R58" i="1"/>
  <c r="Q47" i="1"/>
  <c r="R47" i="1" s="1"/>
  <c r="P47" i="1"/>
  <c r="X47" i="1" s="1"/>
  <c r="R59" i="1"/>
  <c r="R50" i="1"/>
  <c r="X30" i="1"/>
  <c r="R30" i="1"/>
  <c r="R15" i="1"/>
  <c r="R4" i="1"/>
  <c r="R5" i="1"/>
  <c r="X5" i="1"/>
  <c r="K48" i="1"/>
  <c r="M48" i="1" s="1"/>
  <c r="N48" i="1" s="1"/>
  <c r="P48" i="1" s="1"/>
  <c r="X48" i="1" s="1"/>
  <c r="K60" i="1"/>
  <c r="M60" i="1" s="1"/>
  <c r="N60" i="1" s="1"/>
  <c r="P60" i="1" s="1"/>
  <c r="X60" i="1" s="1"/>
  <c r="Q23" i="1"/>
  <c r="R23" i="1" s="1"/>
  <c r="K51" i="1"/>
  <c r="M51" i="1" s="1"/>
  <c r="N51" i="1" s="1"/>
  <c r="P51" i="1" s="1"/>
  <c r="X51" i="1" s="1"/>
  <c r="K26" i="1"/>
  <c r="M26" i="1" s="1"/>
  <c r="N26" i="1" s="1"/>
  <c r="P26" i="1" s="1"/>
  <c r="R26" i="1" s="1"/>
  <c r="K28" i="1"/>
  <c r="K46" i="1"/>
  <c r="M46" i="1" s="1"/>
  <c r="N46" i="1" s="1"/>
  <c r="K45" i="1"/>
  <c r="M45" i="1" s="1"/>
  <c r="N45" i="1" s="1"/>
  <c r="P45" i="1" s="1"/>
  <c r="K42" i="1"/>
  <c r="M42" i="1" s="1"/>
  <c r="N42" i="1" s="1"/>
  <c r="O42" i="1" s="1"/>
  <c r="K41" i="1"/>
  <c r="M41" i="1" s="1"/>
  <c r="N41" i="1" s="1"/>
  <c r="O41" i="1" s="1"/>
  <c r="K40" i="1"/>
  <c r="M40" i="1" s="1"/>
  <c r="N40" i="1" s="1"/>
  <c r="O40" i="1" s="1"/>
  <c r="K37" i="1"/>
  <c r="M37" i="1" s="1"/>
  <c r="N37" i="1" s="1"/>
  <c r="Q37" i="1" s="1"/>
  <c r="X37" i="1" s="1"/>
  <c r="K31" i="1"/>
  <c r="M31" i="1" s="1"/>
  <c r="N31" i="1" s="1"/>
  <c r="Q31" i="1" s="1"/>
  <c r="K27" i="1"/>
  <c r="K65" i="1"/>
  <c r="K64" i="1"/>
  <c r="K63" i="1"/>
  <c r="K21" i="1"/>
  <c r="K22" i="1"/>
  <c r="L22" i="1" s="1"/>
  <c r="K66" i="1"/>
  <c r="L66" i="1" s="1"/>
  <c r="K67" i="1"/>
  <c r="L67" i="1" s="1"/>
  <c r="K68" i="1"/>
  <c r="L68" i="1" s="1"/>
  <c r="K62" i="1"/>
  <c r="L62" i="1" s="1"/>
  <c r="K61" i="1"/>
  <c r="L61" i="1" s="1"/>
  <c r="P46" i="1" l="1"/>
  <c r="Q46" i="1" s="1"/>
  <c r="X46" i="1" s="1"/>
  <c r="X45" i="1"/>
  <c r="R45" i="1"/>
  <c r="Q48" i="1"/>
  <c r="R48" i="1" s="1"/>
  <c r="R51" i="1"/>
  <c r="R37" i="1"/>
  <c r="Q40" i="1"/>
  <c r="R40" i="1" s="1"/>
  <c r="X40" i="1"/>
  <c r="R31" i="1"/>
  <c r="X31" i="1"/>
  <c r="Q42" i="1"/>
  <c r="R42" i="1" s="1"/>
  <c r="X42" i="1"/>
  <c r="Q41" i="1"/>
  <c r="R41" i="1" s="1"/>
  <c r="X41" i="1"/>
  <c r="Q60" i="1"/>
  <c r="R60" i="1" s="1"/>
  <c r="M27" i="1"/>
  <c r="N27" i="1" s="1"/>
  <c r="P27" i="1" s="1"/>
  <c r="R27" i="1" s="1"/>
  <c r="M65" i="1"/>
  <c r="N65" i="1" s="1"/>
  <c r="O65" i="1" s="1"/>
  <c r="M28" i="1"/>
  <c r="N28" i="1" s="1"/>
  <c r="O28" i="1" s="1"/>
  <c r="M64" i="1"/>
  <c r="N64" i="1" s="1"/>
  <c r="O64" i="1" s="1"/>
  <c r="M63" i="1"/>
  <c r="N63" i="1" s="1"/>
  <c r="O63" i="1" s="1"/>
  <c r="L21" i="1"/>
  <c r="M21" i="1" s="1"/>
  <c r="N21" i="1" s="1"/>
  <c r="M22" i="1"/>
  <c r="N22" i="1" s="1"/>
  <c r="O22" i="1" s="1"/>
  <c r="M61" i="1"/>
  <c r="N61" i="1" s="1"/>
  <c r="O61" i="1" s="1"/>
  <c r="M62" i="1"/>
  <c r="N62" i="1" s="1"/>
  <c r="O62" i="1" s="1"/>
  <c r="M68" i="1"/>
  <c r="M67" i="1"/>
  <c r="N67" i="1" s="1"/>
  <c r="O67" i="1" s="1"/>
  <c r="O21" i="1" l="1"/>
  <c r="Q21" i="1" s="1"/>
  <c r="R21" i="1" s="1"/>
  <c r="R46" i="1"/>
  <c r="X63" i="1"/>
  <c r="Q63" i="1"/>
  <c r="R63" i="1" s="1"/>
  <c r="X62" i="1"/>
  <c r="Q62" i="1"/>
  <c r="R62" i="1" s="1"/>
  <c r="Q61" i="1"/>
  <c r="R61" i="1" s="1"/>
  <c r="X61" i="1"/>
  <c r="X64" i="1"/>
  <c r="Q64" i="1"/>
  <c r="R64" i="1" s="1"/>
  <c r="X65" i="1"/>
  <c r="Q65" i="1"/>
  <c r="R65" i="1" s="1"/>
  <c r="X28" i="1"/>
  <c r="Q28" i="1"/>
  <c r="R28" i="1" s="1"/>
  <c r="X22" i="1"/>
  <c r="Q22" i="1"/>
  <c r="M66" i="1"/>
  <c r="N66" i="1" s="1"/>
  <c r="O66" i="1" s="1"/>
  <c r="N68" i="1"/>
  <c r="O68" i="1" l="1"/>
  <c r="P68" i="1" s="1"/>
  <c r="R68" i="1" s="1"/>
  <c r="X66" i="1"/>
  <c r="Q66" i="1"/>
  <c r="R66" i="1" s="1"/>
  <c r="R22" i="1"/>
  <c r="P67" i="1"/>
  <c r="X67" i="1" l="1"/>
  <c r="R67" i="1"/>
  <c r="K16" i="1"/>
  <c r="N16" i="1" s="1"/>
  <c r="Q16" i="1" s="1"/>
  <c r="R16" i="1" l="1"/>
  <c r="X16" i="1"/>
  <c r="J35" i="1" l="1"/>
  <c r="N35" i="1" s="1"/>
  <c r="J36" i="1"/>
  <c r="N36" i="1" s="1"/>
  <c r="J29" i="1"/>
  <c r="N29" i="1" s="1"/>
  <c r="X29" i="1" l="1"/>
  <c r="R29" i="1"/>
  <c r="R36" i="1"/>
  <c r="X36" i="1"/>
  <c r="J14" i="1"/>
  <c r="N14" i="1" s="1"/>
  <c r="X35" i="1"/>
  <c r="R35" i="1"/>
  <c r="R14" i="1" l="1"/>
  <c r="X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JAVIER YUNGA</author>
  </authors>
  <commentList>
    <comment ref="O3" authorId="0" shapeId="0" xr:uid="{8D821173-3597-49DB-B9A4-687A52456278}">
      <text>
        <r>
          <rPr>
            <sz val="9"/>
            <color indexed="81"/>
            <rFont val="Tahoma"/>
            <family val="2"/>
          </rPr>
          <t>El valor incluido IVA, para la unidad mínima de compra</t>
        </r>
      </text>
    </comment>
    <comment ref="R3" authorId="0" shapeId="0" xr:uid="{7A394216-B253-4CED-B7AF-CE87A958246E}">
      <text>
        <r>
          <rPr>
            <sz val="9"/>
            <color indexed="81"/>
            <rFont val="Tahoma"/>
            <family val="2"/>
          </rPr>
          <t>estos son los valores con los que se trabaja los APU's</t>
        </r>
      </text>
    </comment>
    <comment ref="Q4" authorId="0" shapeId="0" xr:uid="{45BFA3B5-9D3B-4166-9329-F2E1D2B5A337}">
      <text>
        <r>
          <rPr>
            <sz val="9"/>
            <color indexed="81"/>
            <rFont val="Tahoma"/>
            <family val="2"/>
          </rPr>
          <t>TRANSPORTE 0.2 CTV</t>
        </r>
      </text>
    </comment>
    <comment ref="X4" authorId="0" shapeId="0" xr:uid="{1135DE8D-4AA9-4467-A36B-0C4285471F8C}">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Q5" authorId="0" shapeId="0" xr:uid="{EB78F37F-483A-4153-AA53-658D55EA2A6F}">
      <text>
        <r>
          <rPr>
            <sz val="9"/>
            <color indexed="81"/>
            <rFont val="Tahoma"/>
            <family val="2"/>
          </rPr>
          <t xml:space="preserve">TRANSPORTE </t>
        </r>
        <r>
          <rPr>
            <b/>
            <sz val="9"/>
            <color indexed="81"/>
            <rFont val="Tahoma"/>
            <family val="2"/>
          </rPr>
          <t>0.02</t>
        </r>
        <r>
          <rPr>
            <sz val="9"/>
            <color indexed="81"/>
            <rFont val="Tahoma"/>
            <family val="2"/>
          </rPr>
          <t xml:space="preserve"> CTV, considerando que la compra mínima de este producto se lo va hacer por 10 carretes.
Valor que ya esta calculado en el precio del carrete. (P51)</t>
        </r>
      </text>
    </comment>
    <comment ref="R5" authorId="0" shapeId="0" xr:uid="{0205B38C-80F8-4366-A5A6-A039A861AE4F}">
      <text>
        <r>
          <rPr>
            <sz val="9"/>
            <color indexed="81"/>
            <rFont val="Tahoma"/>
            <family val="2"/>
          </rPr>
          <t>El costo que nos estamos llevando para el APU'S es en metro, ya que la impresión y las algunas telas nacionales también se las compra en metros.</t>
        </r>
      </text>
    </comment>
    <comment ref="X5" authorId="0" shapeId="0" xr:uid="{79226C79-B629-485E-8DD6-D08C3429B714}">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6" authorId="0" shapeId="0" xr:uid="{EA289CCD-6BEC-40BE-B721-80A276C4D369}">
      <text>
        <r>
          <rPr>
            <sz val="9"/>
            <color indexed="81"/>
            <rFont val="Tahoma"/>
            <family val="2"/>
          </rPr>
          <t>Este articulo la unidad es el litro.
El precio generado en base a el precio mas bajo del mercado.
No agregamos el valor del transporte porque ya esta incluido hasta nuestras bodegas.</t>
        </r>
      </text>
    </comment>
    <comment ref="R6" authorId="0" shapeId="0" xr:uid="{A9F25821-F57F-4D00-AA0B-341058A77D05}">
      <text>
        <r>
          <rPr>
            <sz val="9"/>
            <color indexed="81"/>
            <rFont val="Tahoma"/>
            <family val="2"/>
          </rPr>
          <t>Cada litro refleja el valor mas bajo que lo comercializamos en el mercado deacuerdo a la demanda</t>
        </r>
      </text>
    </comment>
    <comment ref="U6" authorId="0" shapeId="0" xr:uid="{64A724D5-1FE2-402C-97FF-5C90B92EE26C}">
      <text>
        <r>
          <rPr>
            <sz val="9"/>
            <color indexed="81"/>
            <rFont val="Tahoma"/>
            <family val="2"/>
          </rPr>
          <t>Estos valores de aquí van ha variar deacuerdo a la competencia.</t>
        </r>
      </text>
    </comment>
    <comment ref="X6" authorId="0" shapeId="0" xr:uid="{93D9A3A8-4670-4E5A-A692-F36335EEB8E6}">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P7" authorId="0" shapeId="0" xr:uid="{74924437-2E20-40D4-928A-7BC79DBE81E5}">
      <text>
        <r>
          <rPr>
            <sz val="9"/>
            <color indexed="81"/>
            <rFont val="Tahoma"/>
            <family val="2"/>
          </rPr>
          <t>Cada rollo tiene ese costo, ya incluido impuestos y transporte hasta nuestras bodegas.</t>
        </r>
      </text>
    </comment>
    <comment ref="R7" authorId="0" shapeId="0" xr:uid="{BEA482CF-BA1F-4AF9-9458-D67E323990B3}">
      <text>
        <r>
          <rPr>
            <sz val="9"/>
            <color indexed="81"/>
            <rFont val="Tahoma"/>
            <family val="2"/>
          </rPr>
          <t>Cada ROLLO, refleja el valor mas bajo de comercialización en el mercado deacuerdo a la demanda.</t>
        </r>
      </text>
    </comment>
    <comment ref="U7" authorId="0" shapeId="0" xr:uid="{2B243A35-8DA8-4C9F-BBD6-C67947AE3E61}">
      <text>
        <r>
          <rPr>
            <sz val="9"/>
            <color indexed="81"/>
            <rFont val="Tahoma"/>
            <family val="2"/>
          </rPr>
          <t>Estos valores de aquí van ha variar deacuerdo a la competencia.</t>
        </r>
      </text>
    </comment>
    <comment ref="X7" authorId="0" shapeId="0" xr:uid="{0BFB77EB-547F-407B-B577-ED7BAF99F011}">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P8" authorId="0" shapeId="0" xr:uid="{57E6BFED-5CAF-4016-9020-72A6CC7CE31D}">
      <text>
        <r>
          <rPr>
            <sz val="9"/>
            <color indexed="81"/>
            <rFont val="Tahoma"/>
            <family val="2"/>
          </rPr>
          <t>Cada rollo tiene ese costo, ya incluido impuestos y transporte hasta nuestras bodegas.</t>
        </r>
      </text>
    </comment>
    <comment ref="R8" authorId="0" shapeId="0" xr:uid="{C9AE7EC6-B7E9-41CE-A143-A09C4C7A3CB1}">
      <text>
        <r>
          <rPr>
            <sz val="9"/>
            <color indexed="81"/>
            <rFont val="Tahoma"/>
            <family val="2"/>
          </rPr>
          <t>Cada ROLLO, refleja el valor mas bajo de comercialización en el mercado deacuerdo a la demanda.</t>
        </r>
      </text>
    </comment>
    <comment ref="U8" authorId="0" shapeId="0" xr:uid="{BF0169C6-7D52-4A13-ADF8-CDEC290CE6DE}">
      <text>
        <r>
          <rPr>
            <sz val="9"/>
            <color indexed="81"/>
            <rFont val="Tahoma"/>
            <family val="2"/>
          </rPr>
          <t>Estos valores de aquí van ha variar deacuerdo a la competencia.</t>
        </r>
      </text>
    </comment>
    <comment ref="X8" authorId="0" shapeId="0" xr:uid="{A8704A9B-FA22-4887-9446-620C51BC336F}">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P9" authorId="0" shapeId="0" xr:uid="{D2B1E8E1-9D43-4BBE-A90D-0CE5C6C1FC87}">
      <text>
        <r>
          <rPr>
            <sz val="9"/>
            <color indexed="81"/>
            <rFont val="Tahoma"/>
            <family val="2"/>
          </rPr>
          <t>Cada rollo tiene ese costo, ya incluido impuestos y transporte hasta nuestras bodegas.</t>
        </r>
      </text>
    </comment>
    <comment ref="R9" authorId="0" shapeId="0" xr:uid="{19785FBD-3A76-44CB-9537-5049934A47D0}">
      <text>
        <r>
          <rPr>
            <sz val="9"/>
            <color indexed="81"/>
            <rFont val="Tahoma"/>
            <family val="2"/>
          </rPr>
          <t>Cada ROLLO, refleja el valor mas bajo de comercialización en el mercado deacuerdo a la demanda.</t>
        </r>
      </text>
    </comment>
    <comment ref="U9" authorId="0" shapeId="0" xr:uid="{A31A6235-6D5D-4526-9DC8-5B805B072250}">
      <text>
        <r>
          <rPr>
            <sz val="9"/>
            <color indexed="81"/>
            <rFont val="Tahoma"/>
            <family val="2"/>
          </rPr>
          <t>Estos valores de aquí van ha variar deacuerdo a la competencia.</t>
        </r>
      </text>
    </comment>
    <comment ref="X9" authorId="0" shapeId="0" xr:uid="{A615695D-CB6A-4A6B-A56F-5A9A7A3EFE3B}">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J10" authorId="0" shapeId="0" xr:uid="{F18DF0D7-7C80-4D42-BDE3-D7080C4D040A}">
      <text>
        <r>
          <rPr>
            <sz val="9"/>
            <color indexed="81"/>
            <rFont val="Tahoma"/>
            <family val="2"/>
          </rPr>
          <t>El costo del cabezal actualmente se encuentra entre los 1500 dolares ya puesto aquí, este valor esta repartido para 365 días; considerando con esto que en un año se debe reponer la pieza.</t>
        </r>
      </text>
    </comment>
    <comment ref="P10" authorId="0" shapeId="0" xr:uid="{94D793C9-8ED0-4B3E-BFD2-C29A82B4C530}">
      <text>
        <r>
          <rPr>
            <sz val="9"/>
            <color indexed="81"/>
            <rFont val="Tahoma"/>
            <family val="2"/>
          </rPr>
          <t>En este costo ya incluye la importación y el transporte hasta el local.</t>
        </r>
      </text>
    </comment>
    <comment ref="R10" authorId="0" shapeId="0" xr:uid="{A5A16E3C-D0D4-4D26-AC0B-F6EF8DE3412E}">
      <text>
        <r>
          <rPr>
            <sz val="9"/>
            <color indexed="81"/>
            <rFont val="Tahoma"/>
            <family val="2"/>
          </rPr>
          <t>El costo que nos estamos llevando para el APU'S es en metro, ya que la impresión y las algunas telas nacionales también se las compra en metros.</t>
        </r>
      </text>
    </comment>
    <comment ref="P11" authorId="0" shapeId="0" xr:uid="{8EBD4D1E-06CE-4B8F-A54A-32C0D7C48332}">
      <text>
        <r>
          <rPr>
            <sz val="9"/>
            <color indexed="81"/>
            <rFont val="Tahoma"/>
            <family val="2"/>
          </rPr>
          <t>Transporte local de 50ctvs</t>
        </r>
      </text>
    </comment>
    <comment ref="R11" authorId="0" shapeId="0" xr:uid="{A7DADDB4-CAC8-4855-9C73-9C88B272D945}">
      <text>
        <r>
          <rPr>
            <sz val="9"/>
            <color indexed="81"/>
            <rFont val="Tahoma"/>
            <family val="2"/>
          </rPr>
          <t>El costo que nos estamos llevando para el APU'S es en metro, ya que la impresión y las algunas telas nacionales también se las compra en metros.</t>
        </r>
      </text>
    </comment>
    <comment ref="P12" authorId="0" shapeId="0" xr:uid="{30E9663D-A78E-4378-847A-69C96D22FD9E}">
      <text>
        <r>
          <rPr>
            <sz val="9"/>
            <color indexed="81"/>
            <rFont val="Tahoma"/>
            <family val="2"/>
          </rPr>
          <t>Transporte local se estima en 5 dolares</t>
        </r>
      </text>
    </comment>
    <comment ref="R12" authorId="0" shapeId="0" xr:uid="{19AC21D6-5FDC-4FF2-B5D0-FDFF21DA7196}">
      <text>
        <r>
          <rPr>
            <sz val="9"/>
            <color indexed="81"/>
            <rFont val="Tahoma"/>
            <family val="2"/>
          </rPr>
          <t>El costo que nos estamos llevando para el APU'S es en metro, ya que la impresión y las algunas telas nacionales también se las compra en metros.</t>
        </r>
      </text>
    </comment>
    <comment ref="P13" authorId="0" shapeId="0" xr:uid="{2F7926AA-0140-4044-BCF0-C1AE8012170B}">
      <text>
        <r>
          <rPr>
            <sz val="9"/>
            <color indexed="81"/>
            <rFont val="Tahoma"/>
            <family val="2"/>
          </rPr>
          <t>Cada rollo tiene ese costo, ya incluido impuestos y transporte hasta nuestras bodegas.</t>
        </r>
      </text>
    </comment>
    <comment ref="R13" authorId="0" shapeId="0" xr:uid="{AE907E31-C836-4D2A-B573-9DC4514F2459}">
      <text>
        <r>
          <rPr>
            <sz val="9"/>
            <color indexed="81"/>
            <rFont val="Tahoma"/>
            <family val="2"/>
          </rPr>
          <t>Cada ROLLO, refleja el valor mas bajo de comercialización en el mercado deacuerdo a la demanda.</t>
        </r>
      </text>
    </comment>
    <comment ref="U13" authorId="0" shapeId="0" xr:uid="{2FC8C129-F077-4F42-9145-93658DFC688E}">
      <text>
        <r>
          <rPr>
            <sz val="9"/>
            <color indexed="81"/>
            <rFont val="Tahoma"/>
            <family val="2"/>
          </rPr>
          <t>Estos valores de aquí van ha variar deacuerdo a la competencia.</t>
        </r>
      </text>
    </comment>
    <comment ref="X13" authorId="0" shapeId="0" xr:uid="{1601D0D5-16ED-4B6B-8447-A29DD42CD3A0}">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14" authorId="0" shapeId="0" xr:uid="{A893941A-37C9-4AAE-B68F-F8703A66D856}">
      <text>
        <r>
          <rPr>
            <sz val="9"/>
            <color indexed="81"/>
            <rFont val="Tahoma"/>
            <family val="2"/>
          </rPr>
          <t>Estos costos se optuvieron de un APU</t>
        </r>
      </text>
    </comment>
    <comment ref="J14" authorId="0" shapeId="0" xr:uid="{6D28C2D4-D629-4657-AD57-A370030C333F}">
      <text>
        <r>
          <rPr>
            <sz val="9"/>
            <color indexed="81"/>
            <rFont val="Tahoma"/>
            <family val="2"/>
          </rPr>
          <t>Este costo viene generado del APU3.</t>
        </r>
      </text>
    </comment>
    <comment ref="R14" authorId="0" shapeId="0" xr:uid="{D72D18A3-59D6-47A8-A2E5-7F9FD93D1A79}">
      <text>
        <r>
          <rPr>
            <b/>
            <sz val="9"/>
            <color indexed="81"/>
            <rFont val="Tahoma"/>
            <family val="2"/>
          </rPr>
          <t>NO SE CONSIDERA TRANSPORTE YA QUE LO USAMOS O COMERCIALIZAMOS EN SITIO.</t>
        </r>
        <r>
          <rPr>
            <sz val="9"/>
            <color indexed="81"/>
            <rFont val="Tahoma"/>
            <family val="2"/>
          </rPr>
          <t xml:space="preserve">
El costo que nos estamos llevando para el APU'S es en metro, ya que la impresión y las algunas telas nacionales también se las compra en metros.</t>
        </r>
      </text>
    </comment>
    <comment ref="X14" authorId="0" shapeId="0" xr:uid="{0DCCBA96-4A33-4592-B961-7E7E45E1F15D}">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Q15" authorId="0" shapeId="0" xr:uid="{162040B0-3E1F-41A7-BB06-A3531F3B60B4}">
      <text>
        <r>
          <rPr>
            <sz val="9"/>
            <color indexed="81"/>
            <rFont val="Tahoma"/>
            <family val="2"/>
          </rPr>
          <t>TRANSPORTE 0.2 CTV</t>
        </r>
      </text>
    </comment>
    <comment ref="X15" authorId="0" shapeId="0" xr:uid="{26A21F78-1F6A-4AAE-9F58-675380F26542}">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16" authorId="0" shapeId="0" xr:uid="{141E5209-757B-45F8-A3FE-1FDFD439635B}">
      <text>
        <r>
          <rPr>
            <sz val="9"/>
            <color indexed="81"/>
            <rFont val="Tahoma"/>
            <family val="2"/>
          </rPr>
          <t xml:space="preserve">EN ESTE SESGO SE TOMA EL PRECIO DE LA TELA RIVER </t>
        </r>
        <r>
          <rPr>
            <b/>
            <sz val="9"/>
            <color indexed="81"/>
            <rFont val="Tahoma"/>
            <family val="2"/>
          </rPr>
          <t>(M19)</t>
        </r>
        <r>
          <rPr>
            <sz val="9"/>
            <color indexed="81"/>
            <rFont val="Tahoma"/>
            <family val="2"/>
          </rPr>
          <t xml:space="preserve"> + EL VALOR DE 1.5 POR EL CORTE DE LA MISMA.</t>
        </r>
      </text>
    </comment>
    <comment ref="J16" authorId="0" shapeId="0" xr:uid="{741E503B-BF5D-4E0A-A160-962F9C309BB4}">
      <text>
        <r>
          <rPr>
            <sz val="9"/>
            <color indexed="81"/>
            <rFont val="Tahoma"/>
            <family val="2"/>
          </rPr>
          <t>Este costo hace referencia al costo de la tela Ernest 1.7 abierta por metro + 1.5 dólar por el servicio de corte.</t>
        </r>
      </text>
    </comment>
    <comment ref="N16" authorId="0" shapeId="0" xr:uid="{91E1B50E-2070-4A24-89E1-932459A7473D}">
      <text>
        <r>
          <rPr>
            <b/>
            <sz val="9"/>
            <color indexed="81"/>
            <rFont val="Tahoma"/>
            <family val="2"/>
          </rPr>
          <t>JAVIER YUNGA:</t>
        </r>
        <r>
          <rPr>
            <sz val="9"/>
            <color indexed="81"/>
            <rFont val="Tahoma"/>
            <family val="2"/>
          </rPr>
          <t xml:space="preserve">
</t>
        </r>
      </text>
    </comment>
    <comment ref="Q16" authorId="0" shapeId="0" xr:uid="{75307EA5-8E60-4962-A608-323936AB6215}">
      <text>
        <r>
          <rPr>
            <sz val="9"/>
            <color indexed="81"/>
            <rFont val="Tahoma"/>
            <family val="2"/>
          </rPr>
          <t>En este caso ya no agregamos el costo del transporte puesto que en la tela ya se paga ese gasto.</t>
        </r>
      </text>
    </comment>
    <comment ref="R16" authorId="0" shapeId="0" xr:uid="{09A60951-6EA3-4C48-9509-7BC18434469F}">
      <text>
        <r>
          <rPr>
            <sz val="9"/>
            <color indexed="81"/>
            <rFont val="Tahoma"/>
            <family val="2"/>
          </rPr>
          <t>Este costo es por el metro de tela river cortada en el ancho que se requiera para producción de sesgos o cuellos.</t>
        </r>
      </text>
    </comment>
    <comment ref="U16" authorId="0" shapeId="0" xr:uid="{94EAEB29-0DE0-4E64-8997-A3CAE34EE58A}">
      <text>
        <r>
          <rPr>
            <sz val="9"/>
            <color indexed="81"/>
            <rFont val="Tahoma"/>
            <family val="2"/>
          </rPr>
          <t>Este costo incluye 1 metro de tela river cortada en el ancho que necesite para producción o venta.</t>
        </r>
      </text>
    </comment>
    <comment ref="X16" authorId="0" shapeId="0" xr:uid="{E9F07959-C462-45B3-8E2A-534A0429DE5D}">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Q17" authorId="0" shapeId="0" xr:uid="{51515810-3451-4C73-8D8D-FCC64EF2A9AB}">
      <text>
        <r>
          <rPr>
            <sz val="9"/>
            <color indexed="81"/>
            <rFont val="Tahoma"/>
            <family val="2"/>
          </rPr>
          <t>EL costo del precio por metro esta generado en base a el precio mas bajo del mercado / para su rendimiento.
Ya no agregamos costo del flete porque ya esta incluido el transporte hasta nuestras bodegas.</t>
        </r>
      </text>
    </comment>
    <comment ref="R17" authorId="0" shapeId="0" xr:uid="{4BA9833B-ED11-4F0D-9917-94DA40FF063D}">
      <text>
        <r>
          <rPr>
            <sz val="9"/>
            <color indexed="81"/>
            <rFont val="Tahoma"/>
            <family val="2"/>
          </rPr>
          <t>El costo que nos estamos llevando para el APU'S es en metro, ya que la impresión y las algunas telas nacionales también se las compra en metros.</t>
        </r>
      </text>
    </comment>
    <comment ref="U17" authorId="0" shapeId="0" xr:uid="{4044EA16-73B3-49EC-8693-2A60C8FE5146}">
      <text>
        <r>
          <rPr>
            <sz val="9"/>
            <color indexed="81"/>
            <rFont val="Tahoma"/>
            <family val="2"/>
          </rPr>
          <t>AQUÍ REGISTRAMOS EL PRECIO que sale al mercado deacuerdo a la demanda.</t>
        </r>
      </text>
    </comment>
    <comment ref="X17" authorId="0" shapeId="0" xr:uid="{FECF8F35-BBDA-407B-B13C-747AE158E46A}">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Q18" authorId="0" shapeId="0" xr:uid="{7058A8B6-4EBC-4EB3-9148-DAB3D3E6C1DA}">
      <text>
        <r>
          <rPr>
            <sz val="9"/>
            <color indexed="81"/>
            <rFont val="Tahoma"/>
            <family val="2"/>
          </rPr>
          <t>EL costo del precio por metro esta generado en base a el precio mas bajo del mercado / para su rendimiento.
Ya no agregamos costo del flete porque ya esta incluido el transporte hasta nuestras bodegas.</t>
        </r>
      </text>
    </comment>
    <comment ref="R18" authorId="0" shapeId="0" xr:uid="{331A6A57-5534-4224-8C24-2307EC49C5E9}">
      <text>
        <r>
          <rPr>
            <sz val="9"/>
            <color indexed="81"/>
            <rFont val="Tahoma"/>
            <family val="2"/>
          </rPr>
          <t>El costo que nos estamos llevando para el APU'S es en metro, ya que la impresión y las algunas telas nacionales también se las compra en metros.</t>
        </r>
      </text>
    </comment>
    <comment ref="U18" authorId="0" shapeId="0" xr:uid="{1ACB316C-63B9-480C-8D6D-C266D8A69BB3}">
      <text>
        <r>
          <rPr>
            <sz val="9"/>
            <color indexed="81"/>
            <rFont val="Tahoma"/>
            <family val="2"/>
          </rPr>
          <t>AQUÍ REGISTRAMOS EL PRECIO que sale al mercado deacuerdo a la demanda.</t>
        </r>
      </text>
    </comment>
    <comment ref="X18" authorId="0" shapeId="0" xr:uid="{F4AC0D94-9A6C-47E0-A0B0-4C8E7ABFA949}">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19" authorId="0" shapeId="0" xr:uid="{8695C4A9-36A0-421D-9384-12C051D410BD}">
      <text>
        <r>
          <rPr>
            <b/>
            <sz val="9"/>
            <color indexed="81"/>
            <rFont val="Tahoma"/>
            <family val="2"/>
          </rPr>
          <t>no hay stock</t>
        </r>
      </text>
    </comment>
    <comment ref="Q19" authorId="0" shapeId="0" xr:uid="{679E17FE-CDCF-4C9E-97ED-888159ADD644}">
      <text>
        <r>
          <rPr>
            <sz val="9"/>
            <color indexed="81"/>
            <rFont val="Tahoma"/>
            <family val="2"/>
          </rPr>
          <t>EL costo del precio por metro esta generado en base a el precio mas bajo del mercado / para su rendimiento.
Ya no agregamos costo del flete porque ya esta incluido el transporte hasta nuestras bodegas.</t>
        </r>
      </text>
    </comment>
    <comment ref="R19" authorId="0" shapeId="0" xr:uid="{8B1FCA4D-28AD-48F7-AD35-9BAB55511C0D}">
      <text>
        <r>
          <rPr>
            <sz val="9"/>
            <color indexed="81"/>
            <rFont val="Tahoma"/>
            <family val="2"/>
          </rPr>
          <t>El costo que nos estamos llevando para el APU'S es en metro, ya que la impresión y las algunas telas nacionales también se las compra en metros.</t>
        </r>
      </text>
    </comment>
    <comment ref="U19" authorId="0" shapeId="0" xr:uid="{85DD6D84-7F04-4686-A7B6-F6D1167A7E5F}">
      <text>
        <r>
          <rPr>
            <sz val="9"/>
            <color indexed="81"/>
            <rFont val="Tahoma"/>
            <family val="2"/>
          </rPr>
          <t>AQUÍ REGISTRAMOS EL PRECIO que sale al mercado deacuerdo a la demanda.</t>
        </r>
      </text>
    </comment>
    <comment ref="X19" authorId="0" shapeId="0" xr:uid="{79F66482-444F-46D8-A432-F9584657418B}">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Q20" authorId="0" shapeId="0" xr:uid="{A6DC7CCF-A0DA-4DB3-817C-CA8E1F8441A3}">
      <text>
        <r>
          <rPr>
            <sz val="9"/>
            <color indexed="81"/>
            <rFont val="Tahoma"/>
            <family val="2"/>
          </rPr>
          <t>EL costo del precio por metro esta generado en base a el precio mas bajo del mercado / para su rendimiento.
Ya no agregamos costo del flete porque ya esta incluido el transporte hasta nuestras bodegas.</t>
        </r>
      </text>
    </comment>
    <comment ref="R20" authorId="0" shapeId="0" xr:uid="{93A963C0-F3E0-4B15-9CAA-DAB6C6F323B0}">
      <text>
        <r>
          <rPr>
            <sz val="9"/>
            <color indexed="81"/>
            <rFont val="Tahoma"/>
            <family val="2"/>
          </rPr>
          <t>El costo que nos estamos llevando para el APU'S es en metro, ya que la impresión y las algunas telas nacionales también se las compra en metros.</t>
        </r>
      </text>
    </comment>
    <comment ref="U20" authorId="0" shapeId="0" xr:uid="{7A397B3D-7481-4A18-874F-CB4708FC59F4}">
      <text>
        <r>
          <rPr>
            <sz val="9"/>
            <color indexed="81"/>
            <rFont val="Tahoma"/>
            <family val="2"/>
          </rPr>
          <t>AQUÍ REGISTRAMOS EL PRECIO que sale al mercado deacuerdo a la demanda.</t>
        </r>
      </text>
    </comment>
    <comment ref="X20" authorId="0" shapeId="0" xr:uid="{88DB07CF-3517-4ED5-9753-51483A690FDE}">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21" authorId="0" shapeId="0" xr:uid="{C80D372B-AF34-4C28-B82D-74F1ADCD7D7E}">
      <text>
        <r>
          <rPr>
            <sz val="9"/>
            <color indexed="81"/>
            <rFont val="Tahoma"/>
            <family val="2"/>
          </rPr>
          <t>RIBB 150TEX VERDE BOTELLA|FOSFORESCENTE, HABANO LIGA, AZUL PETROLEO, FUCSIA VERDE PORTUGAL, BLANCO, NEGRO tienen el mismo costo.</t>
        </r>
      </text>
    </comment>
    <comment ref="L21" authorId="0" shapeId="0" xr:uid="{2D342A59-9AD4-4A59-AF2B-CDB094BD38AD}">
      <text>
        <r>
          <rPr>
            <b/>
            <sz val="9"/>
            <color indexed="81"/>
            <rFont val="Tahoma"/>
            <family val="2"/>
          </rPr>
          <t>Padilla con el 4% de descuento.</t>
        </r>
      </text>
    </comment>
    <comment ref="O21" authorId="0" shapeId="0" xr:uid="{D975ECBF-4B94-4082-85B1-EE8F93CFE1B3}">
      <text>
        <r>
          <rPr>
            <sz val="9"/>
            <color indexed="81"/>
            <rFont val="Tahoma"/>
            <family val="2"/>
          </rPr>
          <t>Se considero 1 dólar adicional por el transporte para que su compra mínima sea el rollo de tela.</t>
        </r>
      </text>
    </comment>
    <comment ref="R21" authorId="0" shapeId="0" xr:uid="{43E73339-467B-4AEF-8942-6057B78BFA0C}">
      <text>
        <r>
          <rPr>
            <sz val="9"/>
            <color indexed="81"/>
            <rFont val="Tahoma"/>
            <family val="2"/>
          </rPr>
          <t>El costo que nos estamos llevando para el APU'S es en metro, ya que la impresión y las algunas telas nacionales también se las compra en metros.</t>
        </r>
      </text>
    </comment>
    <comment ref="F22" authorId="0" shapeId="0" xr:uid="{EC55400C-2E9D-478C-B244-A5A106D3DA16}">
      <text>
        <r>
          <rPr>
            <sz val="9"/>
            <color indexed="81"/>
            <rFont val="Tahoma"/>
            <family val="2"/>
          </rPr>
          <t>Tela utilizada para hacer pantalonetas, y sesgos para camisetas.</t>
        </r>
      </text>
    </comment>
    <comment ref="L22" authorId="0" shapeId="0" xr:uid="{E2AAC4EB-D7F4-4467-95BA-C60D590F259E}">
      <text>
        <r>
          <rPr>
            <b/>
            <sz val="9"/>
            <color indexed="81"/>
            <rFont val="Tahoma"/>
            <family val="2"/>
          </rPr>
          <t>Padilla con el 4% de descuento.</t>
        </r>
      </text>
    </comment>
    <comment ref="O22" authorId="0" shapeId="0" xr:uid="{31444A66-9BE8-4D03-9A70-15D484201793}">
      <text>
        <r>
          <rPr>
            <sz val="9"/>
            <color indexed="81"/>
            <rFont val="Tahoma"/>
            <family val="2"/>
          </rPr>
          <t>Al costo de kilo se agrega el costo del transporte 1dolar.</t>
        </r>
      </text>
    </comment>
    <comment ref="Q22" authorId="0" shapeId="0" xr:uid="{8DBF0002-B167-4FCE-AF01-815188ECACBA}">
      <text>
        <r>
          <rPr>
            <sz val="9"/>
            <color indexed="81"/>
            <rFont val="Tahoma"/>
            <family val="2"/>
          </rPr>
          <t>Ya no le agregamos el costo del transporte puesto que, ya incluiye el transporte en cada kilo.</t>
        </r>
      </text>
    </comment>
    <comment ref="R22" authorId="0" shapeId="0" xr:uid="{3F47C7AA-E9B3-4B3D-A10A-214A9C665E6F}">
      <text>
        <r>
          <rPr>
            <sz val="9"/>
            <color indexed="81"/>
            <rFont val="Tahoma"/>
            <family val="2"/>
          </rPr>
          <t>El costo que nos estamos llevando para el APU'S es en metro, ya que la impresión y las algunas telas nacionales también se las compra en metros.</t>
        </r>
      </text>
    </comment>
    <comment ref="U22" authorId="0" shapeId="0" xr:uid="{1B972CDD-339F-45AE-9143-526F3F017999}">
      <text>
        <r>
          <rPr>
            <sz val="9"/>
            <color indexed="81"/>
            <rFont val="Tahoma"/>
            <family val="2"/>
          </rPr>
          <t>AQUÍ REGISTRAMOS EL PRECIO que sale al mercado deacuerdo a la demanda.</t>
        </r>
      </text>
    </comment>
    <comment ref="X22" authorId="0" shapeId="0" xr:uid="{E4AE7C45-ACCE-42A5-9B80-5F91CC85227F}">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G23" authorId="0" shapeId="0" xr:uid="{7271CB65-8564-47B8-8FBD-A5E522C3AE75}">
      <text>
        <r>
          <rPr>
            <sz val="9"/>
            <color indexed="81"/>
            <rFont val="Tahoma"/>
            <family val="2"/>
          </rPr>
          <t>Este elastico no viene en carrete sino enrrollado en si mismo.</t>
        </r>
      </text>
    </comment>
    <comment ref="P23" authorId="0" shapeId="0" xr:uid="{58E3A9EB-D776-46BF-93C8-52D215A60618}">
      <text>
        <r>
          <rPr>
            <sz val="9"/>
            <color indexed="81"/>
            <rFont val="Tahoma"/>
            <family val="2"/>
          </rPr>
          <t>Se aumenta el valor del flete de 1 dólar por rollo considerando que se van ha comprar 20 rollos de este elástico.</t>
        </r>
      </text>
    </comment>
    <comment ref="R23" authorId="0" shapeId="0" xr:uid="{91E77110-6AA2-42D7-8CBE-8307D6FDED64}">
      <text>
        <r>
          <rPr>
            <sz val="9"/>
            <color indexed="81"/>
            <rFont val="Tahoma"/>
            <family val="2"/>
          </rPr>
          <t>El costo que nos estamos llevando para el APU'S es en metro, ya que la impresión y las algunas telas nacionales también se las compra en metros.</t>
        </r>
      </text>
    </comment>
    <comment ref="S23" authorId="0" shapeId="0" xr:uid="{1D9A8D90-5B40-4DD0-AFF6-F656AA65B626}">
      <text>
        <r>
          <rPr>
            <sz val="9"/>
            <color indexed="81"/>
            <rFont val="Tahoma"/>
            <family val="2"/>
          </rPr>
          <t>Este elastico no viene en carrete sino enrrollado en si mismo.</t>
        </r>
      </text>
    </comment>
    <comment ref="X23" authorId="0" shapeId="0" xr:uid="{16AFCC12-4572-4602-BC8F-346033636DD9}">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F24" authorId="0" shapeId="0" xr:uid="{A841F482-7650-42AC-9D64-922D6E264318}">
      <text>
        <r>
          <rPr>
            <sz val="9"/>
            <color indexed="81"/>
            <rFont val="Tahoma"/>
            <family val="2"/>
          </rPr>
          <t>1m de dtf impreso con 58cm de ancho nos cuesta 10 dolares + 6 dolares por transporte.
Las etiquetas llevan la talla de la prenda, y los datos de la empresa, en 5.5x2.6cm.</t>
        </r>
      </text>
    </comment>
    <comment ref="Q24" authorId="0" shapeId="0" xr:uid="{5B0A50BB-88D5-4692-AC63-9004E22D6B50}">
      <text>
        <r>
          <rPr>
            <sz val="9"/>
            <color indexed="81"/>
            <rFont val="Tahoma"/>
            <family val="2"/>
          </rPr>
          <t>Agregamos 6 dolares de transporte considerando que la compra mínima sería de 1 metro y el envio de Guayaquil a Pasaje es de 4 + 2 hasta el local.</t>
        </r>
      </text>
    </comment>
    <comment ref="R24" authorId="0" shapeId="0" xr:uid="{E9D91672-EB57-44C0-9718-ACFBCC95C95C}">
      <text>
        <r>
          <rPr>
            <sz val="9"/>
            <color indexed="81"/>
            <rFont val="Tahoma"/>
            <family val="2"/>
          </rPr>
          <t>El costo que nos estamos llevando para el APU'S es en metro, ya que la impresión y las algunas telas nacionales también se las compra en metros.</t>
        </r>
      </text>
    </comment>
    <comment ref="X24" authorId="0" shapeId="0" xr:uid="{E760BBCD-A276-4CA3-9D3E-A6A2E33EBD62}">
      <text>
        <r>
          <rPr>
            <sz val="9"/>
            <color indexed="81"/>
            <rFont val="Tahoma"/>
            <family val="2"/>
          </rPr>
          <t xml:space="preserve">EN ESTE VALOR SE INCREMENTA EL VALOR DEL DISEÑO 8 doláres.
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Q</t>
        </r>
        <r>
          <rPr>
            <sz val="9"/>
            <color indexed="81"/>
            <rFont val="Tahoma"/>
            <family val="2"/>
          </rPr>
          <t xml:space="preserve">.
</t>
        </r>
      </text>
    </comment>
    <comment ref="F25" authorId="0" shapeId="0" xr:uid="{FFE608F7-0040-4853-BC12-054819EF41EB}">
      <text>
        <r>
          <rPr>
            <sz val="9"/>
            <color indexed="81"/>
            <rFont val="Tahoma"/>
            <family val="2"/>
          </rPr>
          <t>Estas fundas son utilizadas para empaquetar</t>
        </r>
      </text>
    </comment>
    <comment ref="P25" authorId="0" shapeId="0" xr:uid="{72E06E5E-F9A8-45F4-B140-7CAE364A93D9}">
      <text>
        <r>
          <rPr>
            <sz val="9"/>
            <color indexed="81"/>
            <rFont val="Tahoma"/>
            <family val="2"/>
          </rPr>
          <t>se considera 2ctvs, por transporte.</t>
        </r>
      </text>
    </comment>
    <comment ref="R25" authorId="0" shapeId="0" xr:uid="{4EC2CAA2-38B5-471F-B957-13B29636195A}">
      <text>
        <r>
          <rPr>
            <sz val="9"/>
            <color indexed="81"/>
            <rFont val="Tahoma"/>
            <family val="2"/>
          </rPr>
          <t>El costo es por la unidad.</t>
        </r>
      </text>
    </comment>
    <comment ref="P26" authorId="0" shapeId="0" xr:uid="{BF1C655F-6A76-47E5-815D-E3CE2569796A}">
      <text>
        <r>
          <rPr>
            <sz val="9"/>
            <color indexed="81"/>
            <rFont val="Tahoma"/>
            <family val="2"/>
          </rPr>
          <t>Se agrega 30ctvs por transporte.</t>
        </r>
      </text>
    </comment>
    <comment ref="R26" authorId="0" shapeId="0" xr:uid="{C6E1F1B5-9205-4A2F-9404-2BBAB4D75317}">
      <text>
        <r>
          <rPr>
            <sz val="9"/>
            <color indexed="81"/>
            <rFont val="Tahoma"/>
            <family val="2"/>
          </rPr>
          <t>El costo que nos estamos llevando para el APU'S es en metro, ya que la impresión y las algunas telas nacionales también se las compra en metros.</t>
        </r>
      </text>
    </comment>
    <comment ref="P27" authorId="0" shapeId="0" xr:uid="{C3C3D41D-A114-47D3-81CC-BD4803996365}">
      <text>
        <r>
          <rPr>
            <sz val="9"/>
            <color indexed="81"/>
            <rFont val="Tahoma"/>
            <family val="2"/>
          </rPr>
          <t>Se agrega 30ctvs por transporte.</t>
        </r>
      </text>
    </comment>
    <comment ref="R27" authorId="0" shapeId="0" xr:uid="{68DFA4D4-5CB9-4B63-9C69-C71672E62502}">
      <text>
        <r>
          <rPr>
            <sz val="9"/>
            <color indexed="81"/>
            <rFont val="Tahoma"/>
            <family val="2"/>
          </rPr>
          <t>El costo que nos estamos llevando para el APU'S es en metro, ya que la impresión y las algunas telas nacionales también se las compra en metros.</t>
        </r>
      </text>
    </comment>
    <comment ref="L28" authorId="0" shapeId="0" xr:uid="{16994BB4-8EEF-4593-94F6-AED1655FE83E}">
      <text>
        <r>
          <rPr>
            <b/>
            <sz val="9"/>
            <color indexed="81"/>
            <rFont val="Tahoma"/>
            <family val="2"/>
          </rPr>
          <t>Padilla con el 4% de descuento.</t>
        </r>
      </text>
    </comment>
    <comment ref="O28" authorId="0" shapeId="0" xr:uid="{64B8D168-5B75-413F-B23B-FDF047ED52C1}">
      <text>
        <r>
          <rPr>
            <sz val="9"/>
            <color indexed="81"/>
            <rFont val="Tahoma"/>
            <family val="2"/>
          </rPr>
          <t>Al costo de kilo se agrega el costo del transporte 1dolar.</t>
        </r>
      </text>
    </comment>
    <comment ref="Q28" authorId="0" shapeId="0" xr:uid="{E18D8B1B-6443-4F04-83FE-3736B0C0773E}">
      <text>
        <r>
          <rPr>
            <sz val="9"/>
            <color indexed="81"/>
            <rFont val="Tahoma"/>
            <family val="2"/>
          </rPr>
          <t>Ya no le agregamos el costo del transporte puesto que, ya incluiye el transporte en cada kilo.</t>
        </r>
      </text>
    </comment>
    <comment ref="R28" authorId="0" shapeId="0" xr:uid="{C71EC849-EFF5-45A8-AC1F-333DC843E701}">
      <text>
        <r>
          <rPr>
            <sz val="9"/>
            <color indexed="81"/>
            <rFont val="Tahoma"/>
            <family val="2"/>
          </rPr>
          <t>El costo que nos estamos llevando para el APU'S es en metro, ya que la impresión y las algunas telas nacionales también se las compra en metros.</t>
        </r>
      </text>
    </comment>
    <comment ref="U28" authorId="0" shapeId="0" xr:uid="{2D17C627-ED5A-4930-AF0C-22EC449EAF30}">
      <text>
        <r>
          <rPr>
            <sz val="9"/>
            <color indexed="81"/>
            <rFont val="Tahoma"/>
            <family val="2"/>
          </rPr>
          <t>AQUÍ REGISTRAMOS EL PRECIO que sale al mercado deacuerdo a la demanda.</t>
        </r>
      </text>
    </comment>
    <comment ref="X28" authorId="0" shapeId="0" xr:uid="{8B47DF03-F012-410E-A98B-8106DD300E48}">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J29" authorId="0" shapeId="0" xr:uid="{046E3146-B85A-4FA8-BEDC-EA305A904A43}">
      <text>
        <r>
          <rPr>
            <sz val="9"/>
            <color indexed="81"/>
            <rFont val="Tahoma"/>
            <family val="2"/>
          </rPr>
          <t>Este costo viene generado del APU4</t>
        </r>
      </text>
    </comment>
    <comment ref="R29" authorId="0" shapeId="0" xr:uid="{0039F100-071B-4BA9-AC58-14557DD99765}">
      <text>
        <r>
          <rPr>
            <b/>
            <sz val="9"/>
            <color indexed="81"/>
            <rFont val="Tahoma"/>
            <family val="2"/>
          </rPr>
          <t>NO SE CONSIDERA TRANSPORTE YA QUE LO USAMOS O COMERCIALIZAMOS EN SITIO.</t>
        </r>
        <r>
          <rPr>
            <sz val="9"/>
            <color indexed="81"/>
            <rFont val="Tahoma"/>
            <family val="2"/>
          </rPr>
          <t xml:space="preserve">
El costo que nos estamos llevando para el APU'S es en metro, ya que la impresión y las algunas telas nacionales también se las compra en metros.</t>
        </r>
      </text>
    </comment>
    <comment ref="X29" authorId="0" shapeId="0" xr:uid="{FC10F1C0-F118-4BD4-8983-B0D547F8DDF4}">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B30" authorId="0" shapeId="0" xr:uid="{11A37C8B-503B-4E58-AB27-C07A4935092C}">
      <text>
        <r>
          <rPr>
            <sz val="9"/>
            <color indexed="81"/>
            <rFont val="Tahoma"/>
            <family val="2"/>
          </rPr>
          <t>VENDEDOR ANIBAL ALTAMIRANO</t>
        </r>
      </text>
    </comment>
    <comment ref="Q30" authorId="0" shapeId="0" xr:uid="{E76F9CCE-305C-4A1D-A625-5EC7530BDCA7}">
      <text>
        <r>
          <rPr>
            <sz val="9"/>
            <color indexed="81"/>
            <rFont val="Tahoma"/>
            <family val="2"/>
          </rPr>
          <t>TRANSPORTE 0.2 CTV</t>
        </r>
      </text>
    </comment>
    <comment ref="R30" authorId="0" shapeId="0" xr:uid="{1ECB1B7C-CDBE-4C76-8575-93C94A6362F3}">
      <text>
        <r>
          <rPr>
            <sz val="9"/>
            <color indexed="81"/>
            <rFont val="Tahoma"/>
            <family val="2"/>
          </rPr>
          <t>El costo que nos estamos llevando para el APU'S es en metro, ya que la impresión y las algunas telas nacionales también se las compra en metros.</t>
        </r>
      </text>
    </comment>
    <comment ref="X30" authorId="0" shapeId="0" xr:uid="{190BD84E-4DF0-40FF-A589-45D7BA2CFFD6}">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Q31" authorId="0" shapeId="0" xr:uid="{99815845-2892-452F-A1CA-FD6B40C31D98}">
      <text>
        <r>
          <rPr>
            <sz val="9"/>
            <color indexed="81"/>
            <rFont val="Tahoma"/>
            <family val="2"/>
          </rPr>
          <t>TRANSPORTE 0.2 CTV</t>
        </r>
      </text>
    </comment>
    <comment ref="R31" authorId="0" shapeId="0" xr:uid="{4DA5BAB2-FB35-425B-9BAA-6AB025EDEBFD}">
      <text>
        <r>
          <rPr>
            <sz val="9"/>
            <color indexed="81"/>
            <rFont val="Tahoma"/>
            <family val="2"/>
          </rPr>
          <t>El costo que nos estamos llevando para el APU'S es en metro, ya que la impresión y las algunas telas nacionales también se las compra en metros.</t>
        </r>
      </text>
    </comment>
    <comment ref="X31" authorId="0" shapeId="0" xr:uid="{125FDB74-B418-4FFE-BB9E-9181BB1FF2D9}">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P32" authorId="0" shapeId="0" xr:uid="{571905E4-1DF7-4FEF-8189-684B2DBF5D94}">
      <text>
        <r>
          <rPr>
            <sz val="9"/>
            <color indexed="81"/>
            <rFont val="Tahoma"/>
            <family val="2"/>
          </rPr>
          <t>Se incrementa 10ctvs por transporte ya que si compro los 100 cierres tenemos 20 dolares para pagar el envio desde Guayaquil ha Pasaje y del centro al local.</t>
        </r>
      </text>
    </comment>
    <comment ref="R32" authorId="0" shapeId="0" xr:uid="{7D5274C6-8857-4609-904F-5365C650D2DC}">
      <text>
        <r>
          <rPr>
            <sz val="9"/>
            <color indexed="81"/>
            <rFont val="Tahoma"/>
            <family val="2"/>
          </rPr>
          <t>El valor aquí marcado es el de la unidad + el transporte.</t>
        </r>
      </text>
    </comment>
    <comment ref="X32" authorId="0" shapeId="0" xr:uid="{2111F871-B691-43C5-BDA3-2894165C9F5D}">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33" authorId="0" shapeId="0" xr:uid="{274D21F5-299E-40F2-B6F1-E2BBC7E08517}">
      <text>
        <r>
          <rPr>
            <sz val="9"/>
            <color indexed="81"/>
            <rFont val="Tahoma"/>
            <family val="2"/>
          </rPr>
          <t>Se calcula 0.2 ctvs del transporte local de llevar y traer las prendas para bordar.</t>
        </r>
      </text>
    </comment>
    <comment ref="R33" authorId="0" shapeId="0" xr:uid="{D49554E4-86D2-428C-B8CC-DC0D0A8AB8BF}">
      <text>
        <r>
          <rPr>
            <sz val="9"/>
            <color indexed="81"/>
            <rFont val="Tahoma"/>
            <family val="2"/>
          </rPr>
          <t>El costo que nos estamos llevando para el APU'S es en metro, ya que la impresión y las algunas telas nacionales también se las compra en metros.</t>
        </r>
      </text>
    </comment>
    <comment ref="P34" authorId="0" shapeId="0" xr:uid="{31E64E25-9026-44E9-AADA-E75A664CB8F1}">
      <text>
        <r>
          <rPr>
            <sz val="9"/>
            <color indexed="81"/>
            <rFont val="Tahoma"/>
            <family val="2"/>
          </rPr>
          <t>SE AGREGA 3CTVS, por transporte local, y la compra mínima debe ser de 72 unidades</t>
        </r>
      </text>
    </comment>
    <comment ref="R34" authorId="0" shapeId="0" xr:uid="{33775C40-39E5-45C2-A5C6-B8952BD63D96}">
      <text>
        <r>
          <rPr>
            <sz val="9"/>
            <color indexed="81"/>
            <rFont val="Tahoma"/>
            <family val="2"/>
          </rPr>
          <t>Es valor es por la unidad.</t>
        </r>
      </text>
    </comment>
    <comment ref="J35" authorId="0" shapeId="0" xr:uid="{417FE026-2522-471A-A303-530502D5FCAF}">
      <text>
        <r>
          <rPr>
            <sz val="9"/>
            <color indexed="81"/>
            <rFont val="Tahoma"/>
            <family val="2"/>
          </rPr>
          <t>Este costo viene generado del APU1.</t>
        </r>
      </text>
    </comment>
    <comment ref="R35" authorId="0" shapeId="0" xr:uid="{726D72A6-4942-4ECF-BA64-67ACAFB8775D}">
      <text>
        <r>
          <rPr>
            <b/>
            <sz val="9"/>
            <color indexed="81"/>
            <rFont val="Tahoma"/>
            <family val="2"/>
          </rPr>
          <t>NO SE CONSIDERA TRANSPORTE YA QUE LO USAMOS O COMERCIALIZAMOS EN SITIO.</t>
        </r>
        <r>
          <rPr>
            <sz val="9"/>
            <color indexed="81"/>
            <rFont val="Tahoma"/>
            <family val="2"/>
          </rPr>
          <t xml:space="preserve">
El costo que nos estamos llevando para el APU'S es en metro, ya que la impresión y las algunas telas nacionales también se las compra en metros.</t>
        </r>
      </text>
    </comment>
    <comment ref="X35" authorId="0" shapeId="0" xr:uid="{0C189226-6B3C-4D8F-995C-47A39CA693CF}">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J36" authorId="0" shapeId="0" xr:uid="{657F15E5-2A72-4FFC-96AF-7AE79C2DFCAA}">
      <text>
        <r>
          <rPr>
            <sz val="9"/>
            <color indexed="81"/>
            <rFont val="Tahoma"/>
            <family val="2"/>
          </rPr>
          <t>Este costo viene generado del APU2.</t>
        </r>
      </text>
    </comment>
    <comment ref="R36" authorId="0" shapeId="0" xr:uid="{A15DF1B8-804A-4737-AA80-D7FB156BC482}">
      <text>
        <r>
          <rPr>
            <b/>
            <sz val="9"/>
            <color indexed="81"/>
            <rFont val="Tahoma"/>
            <family val="2"/>
          </rPr>
          <t>NO SE CONSIDERA TRANSPORTE YA QUE LO USAMOS O COMERCIALIZAMOS EN SITIO.</t>
        </r>
        <r>
          <rPr>
            <sz val="9"/>
            <color indexed="81"/>
            <rFont val="Tahoma"/>
            <family val="2"/>
          </rPr>
          <t xml:space="preserve">
El costo que nos estamos llevando para el APU'S es en metro, ya que la impresión y las algunas telas nacionales también se las compra en metros.</t>
        </r>
      </text>
    </comment>
    <comment ref="X36" authorId="0" shapeId="0" xr:uid="{7127177F-3A9F-49E0-9C38-1C41F1A40E3C}">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Q37" authorId="0" shapeId="0" xr:uid="{BD724522-FF00-481F-8A63-0BEA37B4A097}">
      <text>
        <r>
          <rPr>
            <sz val="9"/>
            <color indexed="81"/>
            <rFont val="Tahoma"/>
            <family val="2"/>
          </rPr>
          <t>TRANSPORTE 0.2 CTV</t>
        </r>
      </text>
    </comment>
    <comment ref="R37" authorId="0" shapeId="0" xr:uid="{5D311148-4612-42A9-9DC9-90A3575AC945}">
      <text>
        <r>
          <rPr>
            <sz val="9"/>
            <color indexed="81"/>
            <rFont val="Tahoma"/>
            <family val="2"/>
          </rPr>
          <t>El costo que nos estamos llevando para el APU'S es en metro, ya que la impresión y las algunas telas nacionales también se las compra en metros.</t>
        </r>
      </text>
    </comment>
    <comment ref="X37" authorId="0" shapeId="0" xr:uid="{CBF3DA59-7E46-4BDA-A8BB-FF0BF878A280}">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B38" authorId="0" shapeId="0" xr:uid="{C655F832-DDA0-4519-9C15-293DC828344E}">
      <text>
        <r>
          <rPr>
            <sz val="9"/>
            <color indexed="81"/>
            <rFont val="Tahoma"/>
            <family val="2"/>
          </rPr>
          <t>Esta tela también se la encuentra en INTELA, pero al parecer la de Buenaño tiene más elongación.</t>
        </r>
      </text>
    </comment>
    <comment ref="Q38" authorId="0" shapeId="0" xr:uid="{2AD553C6-A33B-44AB-AC59-341AFAB8864B}">
      <text>
        <r>
          <rPr>
            <sz val="9"/>
            <color indexed="81"/>
            <rFont val="Tahoma"/>
            <family val="2"/>
          </rPr>
          <t>TRANSPORTE 0.2 CTV</t>
        </r>
      </text>
    </comment>
    <comment ref="R38" authorId="0" shapeId="0" xr:uid="{CA015996-5B1E-4FBF-A408-F8AAFD5328CD}">
      <text>
        <r>
          <rPr>
            <sz val="9"/>
            <color indexed="81"/>
            <rFont val="Tahoma"/>
            <family val="2"/>
          </rPr>
          <t>El costo que nos estamos llevando para el APU'S es en metro, ya que la impresión y las algunas telas nacionales también se las compra en metros.</t>
        </r>
      </text>
    </comment>
    <comment ref="X38" authorId="0" shapeId="0" xr:uid="{FDE13419-E1DA-44C2-B338-21847F827D80}">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I39" authorId="0" shapeId="0" xr:uid="{109BAD95-8F08-46B9-9872-098C05864040}">
      <text>
        <r>
          <rPr>
            <sz val="9"/>
            <color indexed="81"/>
            <rFont val="Tahoma"/>
            <family val="2"/>
          </rPr>
          <t>compre 20 rollos de 50 metros cada uno.</t>
        </r>
      </text>
    </comment>
    <comment ref="Q39" authorId="0" shapeId="0" xr:uid="{B0184C14-33C7-4C44-B1F1-75222FA0D640}">
      <text>
        <r>
          <rPr>
            <sz val="9"/>
            <color indexed="81"/>
            <rFont val="Tahoma"/>
            <family val="2"/>
          </rPr>
          <t>TRANSPORTE 0.2 CTV</t>
        </r>
      </text>
    </comment>
    <comment ref="R39" authorId="0" shapeId="0" xr:uid="{D3B533B0-1544-4A9A-BA5A-E6986B56DA4E}">
      <text>
        <r>
          <rPr>
            <sz val="9"/>
            <color indexed="81"/>
            <rFont val="Tahoma"/>
            <family val="2"/>
          </rPr>
          <t>El costo que nos estamos llevando para el APU'S es en metro, ya que la impresión y las algunas telas nacionales también se las compra en metros.</t>
        </r>
      </text>
    </comment>
    <comment ref="X39" authorId="0" shapeId="0" xr:uid="{5D3CFC7F-8B10-4364-9AC2-0603E4B6C163}">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O40" authorId="0" shapeId="0" xr:uid="{394FA9C9-5A74-4947-B081-A6935F4B1F75}">
      <text>
        <r>
          <rPr>
            <sz val="9"/>
            <color indexed="81"/>
            <rFont val="Tahoma"/>
            <family val="2"/>
          </rPr>
          <t>Al costo de kilo se agrega el costo del transporte 1dolar.</t>
        </r>
      </text>
    </comment>
    <comment ref="Q40" authorId="0" shapeId="0" xr:uid="{76D33491-AF91-472E-811E-9758359B72C3}">
      <text>
        <r>
          <rPr>
            <sz val="9"/>
            <color indexed="81"/>
            <rFont val="Tahoma"/>
            <family val="2"/>
          </rPr>
          <t>Ya no le agregamos el costo del transporte puesto que, ya incluiye el transporte en cada kilo.</t>
        </r>
      </text>
    </comment>
    <comment ref="R40" authorId="0" shapeId="0" xr:uid="{56AD70EB-80CC-4947-9FC7-A6C6EC7C851C}">
      <text>
        <r>
          <rPr>
            <sz val="9"/>
            <color indexed="81"/>
            <rFont val="Tahoma"/>
            <family val="2"/>
          </rPr>
          <t>El costo que nos estamos llevando para el APU'S es en metro, ya que la impresión y las algunas telas nacionales también se las compra en metros.</t>
        </r>
      </text>
    </comment>
    <comment ref="U40" authorId="0" shapeId="0" xr:uid="{32BEC67A-9319-49AC-A60D-26CF2020789D}">
      <text>
        <r>
          <rPr>
            <sz val="9"/>
            <color indexed="81"/>
            <rFont val="Tahoma"/>
            <family val="2"/>
          </rPr>
          <t>AQUÍ REGISTRAMOS EL PRECIO que sale al mercado deacuerdo a la demanda.</t>
        </r>
      </text>
    </comment>
    <comment ref="X40" authorId="0" shapeId="0" xr:uid="{1AF01E3F-70CD-45D6-AECE-6748DEAF369E}">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41" authorId="0" shapeId="0" xr:uid="{377A4B9D-089D-4884-A102-327112F875DD}">
      <text>
        <r>
          <rPr>
            <sz val="9"/>
            <color indexed="81"/>
            <rFont val="Tahoma"/>
            <family val="2"/>
          </rPr>
          <t>SE PARECE A LA PANAL</t>
        </r>
      </text>
    </comment>
    <comment ref="O41" authorId="0" shapeId="0" xr:uid="{533AC112-CF09-45ED-B0F0-BE4621856946}">
      <text>
        <r>
          <rPr>
            <sz val="9"/>
            <color indexed="81"/>
            <rFont val="Tahoma"/>
            <family val="2"/>
          </rPr>
          <t>Al costo de kilo se agrega el costo del transporte 1dolar.</t>
        </r>
      </text>
    </comment>
    <comment ref="Q41" authorId="0" shapeId="0" xr:uid="{02BF9562-441B-4788-A276-77AF9978F7D8}">
      <text>
        <r>
          <rPr>
            <sz val="9"/>
            <color indexed="81"/>
            <rFont val="Tahoma"/>
            <family val="2"/>
          </rPr>
          <t>Ya no le agregamos el costo del transporte puesto que, ya incluiye el transporte en cada kilo.</t>
        </r>
      </text>
    </comment>
    <comment ref="R41" authorId="0" shapeId="0" xr:uid="{0523D294-7CEF-4465-BCF9-99D37589748D}">
      <text>
        <r>
          <rPr>
            <sz val="9"/>
            <color indexed="81"/>
            <rFont val="Tahoma"/>
            <family val="2"/>
          </rPr>
          <t>El costo que nos estamos llevando para el APU'S es en metro, ya que la impresión y las algunas telas nacionales también se las compra en metros.</t>
        </r>
      </text>
    </comment>
    <comment ref="U41" authorId="0" shapeId="0" xr:uid="{86F574E8-A602-4197-B881-0DFEBC4C153E}">
      <text>
        <r>
          <rPr>
            <sz val="9"/>
            <color indexed="81"/>
            <rFont val="Tahoma"/>
            <family val="2"/>
          </rPr>
          <t>AQUÍ REGISTRAMOS EL PRECIO que sale al mercado deacuerdo a la demanda.</t>
        </r>
      </text>
    </comment>
    <comment ref="X41" authorId="0" shapeId="0" xr:uid="{2513F7FD-C468-44FC-AF48-74BFACC777F4}">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42" authorId="0" shapeId="0" xr:uid="{3AFBF6A9-AC26-474C-8015-F47D7B927990}">
      <text>
        <r>
          <rPr>
            <sz val="9"/>
            <color indexed="81"/>
            <rFont val="Tahoma"/>
            <family val="2"/>
          </rPr>
          <t>Se parece a la Ernest pero mas gruesita</t>
        </r>
      </text>
    </comment>
    <comment ref="O42" authorId="0" shapeId="0" xr:uid="{29CE9612-ADAD-4BE5-8BFB-9BAE93A35AAA}">
      <text>
        <r>
          <rPr>
            <sz val="9"/>
            <color indexed="81"/>
            <rFont val="Tahoma"/>
            <family val="2"/>
          </rPr>
          <t>Al costo de kilo se agrega el costo del transporte 1dolar.</t>
        </r>
      </text>
    </comment>
    <comment ref="Q42" authorId="0" shapeId="0" xr:uid="{0B9213DA-5BFE-4F9E-9DF8-0BFEE353A7D2}">
      <text>
        <r>
          <rPr>
            <sz val="9"/>
            <color indexed="81"/>
            <rFont val="Tahoma"/>
            <family val="2"/>
          </rPr>
          <t>Ya no le agregamos el costo del transporte puesto que, ya incluiye el transporte en cada kilo.</t>
        </r>
      </text>
    </comment>
    <comment ref="R42" authorId="0" shapeId="0" xr:uid="{5A5E3FD2-93DD-4416-8A98-57698C8947AE}">
      <text>
        <r>
          <rPr>
            <sz val="9"/>
            <color indexed="81"/>
            <rFont val="Tahoma"/>
            <family val="2"/>
          </rPr>
          <t>El costo que nos estamos llevando para el APU'S es en metro, ya que la impresión y las algunas telas nacionales también se las compra en metros.</t>
        </r>
      </text>
    </comment>
    <comment ref="U42" authorId="0" shapeId="0" xr:uid="{7B96853D-97A5-4F5D-8B9E-CA6B5E6DFF8A}">
      <text>
        <r>
          <rPr>
            <sz val="9"/>
            <color indexed="81"/>
            <rFont val="Tahoma"/>
            <family val="2"/>
          </rPr>
          <t>AQUÍ REGISTRAMOS EL PRECIO que sale al mercado deacuerdo a la demanda.</t>
        </r>
      </text>
    </comment>
    <comment ref="X42" authorId="0" shapeId="0" xr:uid="{AE4A63EB-F809-4B9B-B12B-C13248440E0D}">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P43" authorId="0" shapeId="0" xr:uid="{BBD8583A-A842-49B6-904B-C0386FBDE83E}">
      <text>
        <r>
          <rPr>
            <sz val="9"/>
            <color indexed="81"/>
            <rFont val="Tahoma"/>
            <family val="2"/>
          </rPr>
          <t>Se aumenta el valor del flete de 1 dólar por rollo considerando que se van ha comprar 20 rollos de este producto o combinado con otro mínmo 20 articulos.</t>
        </r>
      </text>
    </comment>
    <comment ref="R43" authorId="0" shapeId="0" xr:uid="{D62E9E62-460E-437B-93E2-7D60BF194854}">
      <text>
        <r>
          <rPr>
            <sz val="9"/>
            <color indexed="81"/>
            <rFont val="Tahoma"/>
            <family val="2"/>
          </rPr>
          <t>El costo que nos estamos llevando para el APU'S es en metro, ya que la impresión y las algunas telas nacionales también se las compra en metros.</t>
        </r>
      </text>
    </comment>
    <comment ref="X43" authorId="0" shapeId="0" xr:uid="{E030EAA7-2280-4366-B965-2DE3E7330436}">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44" authorId="0" shapeId="0" xr:uid="{07AF03BB-EFB1-4B83-88A4-F7783001B543}">
      <text>
        <r>
          <rPr>
            <sz val="9"/>
            <color indexed="81"/>
            <rFont val="Tahoma"/>
            <family val="2"/>
          </rPr>
          <t>El precio / para la cantidad de unidades.
No se incluye el valor del transporte porque para la cantidad de unidades es minimo y se considera comprarlo junto a otro producto.</t>
        </r>
      </text>
    </comment>
    <comment ref="R44" authorId="0" shapeId="0" xr:uid="{CC352AAA-A7C8-4255-9109-CD667F230A74}">
      <text>
        <r>
          <rPr>
            <sz val="9"/>
            <color indexed="81"/>
            <rFont val="Tahoma"/>
            <family val="2"/>
          </rPr>
          <t>El costo que nos estamos llevando para el APU'S es en metro, ya que la impresión y las algunas telas nacionales también se las compra en metros.</t>
        </r>
      </text>
    </comment>
    <comment ref="X44" authorId="0" shapeId="0" xr:uid="{5FE6419F-99AB-4517-997C-4BE12ED012C1}">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45" authorId="0" shapeId="0" xr:uid="{D60DEC05-D1D4-416E-B530-34C058815F6E}">
      <text>
        <r>
          <rPr>
            <sz val="9"/>
            <color indexed="81"/>
            <rFont val="Tahoma"/>
            <family val="2"/>
          </rPr>
          <t>este producto se lo compra por cajas, en cada caja vienen 6 unidades</t>
        </r>
      </text>
    </comment>
    <comment ref="P45" authorId="0" shapeId="0" xr:uid="{F4DED7BE-333A-48B5-A96B-3A7A6ED27C5A}">
      <text>
        <r>
          <rPr>
            <b/>
            <sz val="9"/>
            <color indexed="81"/>
            <rFont val="Tahoma"/>
            <family val="2"/>
          </rPr>
          <t>Se agrega 20ctvs. Por transporte</t>
        </r>
      </text>
    </comment>
    <comment ref="R45" authorId="0" shapeId="0" xr:uid="{81C09FD2-D4E3-42F2-B332-416B929490D0}">
      <text>
        <r>
          <rPr>
            <sz val="9"/>
            <color indexed="81"/>
            <rFont val="Tahoma"/>
            <family val="2"/>
          </rPr>
          <t>Es valor es por la unidad.</t>
        </r>
      </text>
    </comment>
    <comment ref="X45" authorId="0" shapeId="0" xr:uid="{E7A4EDA2-3E4A-4C85-8316-43F4733BECE9}">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46" authorId="0" shapeId="0" xr:uid="{224CDCD6-920D-453B-8E9D-EE7D255DA1B7}">
      <text>
        <r>
          <rPr>
            <sz val="9"/>
            <color indexed="81"/>
            <rFont val="Tahoma"/>
            <family val="2"/>
          </rPr>
          <t>Se carga 10 dolares de transporte.</t>
        </r>
      </text>
    </comment>
    <comment ref="R46" authorId="0" shapeId="0" xr:uid="{9B1A7E65-9A5F-4106-AC6E-D253BEE5BB8F}">
      <text>
        <r>
          <rPr>
            <sz val="9"/>
            <color indexed="81"/>
            <rFont val="Tahoma"/>
            <family val="2"/>
          </rPr>
          <t>El costo que nos estamos llevando para el APU'S es en metro, ya que la impresión y las algunas telas nacionales también se las compra en metros.</t>
        </r>
      </text>
    </comment>
    <comment ref="X46" authorId="0" shapeId="0" xr:uid="{CF991D4B-AB6F-40E3-8391-113C2F8B70F3}">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47" authorId="0" shapeId="0" xr:uid="{3313D752-2B5F-4C73-AA63-A2C79A3F66D9}">
      <text>
        <r>
          <rPr>
            <sz val="9"/>
            <color indexed="81"/>
            <rFont val="Tahoma"/>
            <family val="2"/>
          </rPr>
          <t>Se aumenta el valor del flete de 1 dólar por rollo considerando que se van ha comprar 20 rollos de este elástico o a su vez combinar productos.</t>
        </r>
      </text>
    </comment>
    <comment ref="R47" authorId="0" shapeId="0" xr:uid="{BFBF3C1F-0F90-4ACE-A3C9-BFF544B06535}">
      <text>
        <r>
          <rPr>
            <sz val="9"/>
            <color indexed="81"/>
            <rFont val="Tahoma"/>
            <family val="2"/>
          </rPr>
          <t>El costo que nos estamos llevando para el APU'S es en metro, ya que la impresión y las algunas telas nacionales también se las compra en metros.</t>
        </r>
      </text>
    </comment>
    <comment ref="X47" authorId="0" shapeId="0" xr:uid="{1609AD34-8D14-47BB-A995-822EC4A3FBE4}">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G48" authorId="0" shapeId="0" xr:uid="{20572B38-DB47-4B4D-9C1F-6082B3C57F29}">
      <text>
        <r>
          <rPr>
            <sz val="9"/>
            <color indexed="81"/>
            <rFont val="Tahoma"/>
            <family val="2"/>
          </rPr>
          <t>TODO PRODUCTO QUE VIENE EN CARRETE TIENE UN COSTO ADICIONAL DE 0.16</t>
        </r>
      </text>
    </comment>
    <comment ref="P48" authorId="0" shapeId="0" xr:uid="{060197CF-9587-4123-B2F4-5F76E181AADD}">
      <text>
        <r>
          <rPr>
            <sz val="9"/>
            <color indexed="81"/>
            <rFont val="Tahoma"/>
            <family val="2"/>
          </rPr>
          <t>Se aumenta el valor del flete de 1 dólar por rollo considerando que se van ha comprar 20 rollos de este elástico.</t>
        </r>
      </text>
    </comment>
    <comment ref="R48" authorId="0" shapeId="0" xr:uid="{041324D3-575F-44CB-9A42-816F78A2941B}">
      <text>
        <r>
          <rPr>
            <sz val="9"/>
            <color indexed="81"/>
            <rFont val="Tahoma"/>
            <family val="2"/>
          </rPr>
          <t>El costo que nos estamos llevando para el APU'S es en metro, ya que la impresión y las algunas telas nacionales también se las compra en metros.</t>
        </r>
      </text>
    </comment>
    <comment ref="S48" authorId="0" shapeId="0" xr:uid="{4D26E73F-15B2-491E-B088-66ECD83F6C3F}">
      <text>
        <r>
          <rPr>
            <sz val="9"/>
            <color indexed="81"/>
            <rFont val="Tahoma"/>
            <family val="2"/>
          </rPr>
          <t>TODO PRODUCTO QUE VIENE EN CARRETE TIENE UN COSTO ADICIONAL DE 0.16</t>
        </r>
      </text>
    </comment>
    <comment ref="T48" authorId="0" shapeId="0" xr:uid="{3354D4F9-5100-48A5-8C25-B03C219C0602}">
      <text>
        <r>
          <rPr>
            <sz val="9"/>
            <color indexed="81"/>
            <rFont val="Tahoma"/>
            <family val="2"/>
          </rPr>
          <t>7 dolares cada rollo</t>
        </r>
      </text>
    </comment>
    <comment ref="X48" authorId="0" shapeId="0" xr:uid="{77F3F247-5614-4346-AAB8-2091B6818B38}">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49" authorId="0" shapeId="0" xr:uid="{20910289-44AF-47B8-927E-BC773E95C8BA}">
      <text>
        <r>
          <rPr>
            <sz val="9"/>
            <color indexed="81"/>
            <rFont val="Tahoma"/>
            <family val="2"/>
          </rPr>
          <t>Se incrementa 10ctvs por transporte ya que si compro los 100 cierres tenemos 20 dolares para pagar el envio desde Guayaquil ha Pasaje y del centro al local.</t>
        </r>
      </text>
    </comment>
    <comment ref="R49" authorId="0" shapeId="0" xr:uid="{0F2CB5E4-01E4-420B-834A-25504F03C5ED}">
      <text>
        <r>
          <rPr>
            <sz val="9"/>
            <color indexed="81"/>
            <rFont val="Tahoma"/>
            <family val="2"/>
          </rPr>
          <t>El valor aquí marcado es el de la unidad + el transporte.</t>
        </r>
      </text>
    </comment>
    <comment ref="X49" authorId="0" shapeId="0" xr:uid="{915669A0-5515-4ECC-B98F-A8C7C9A259EE}">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50" authorId="0" shapeId="0" xr:uid="{C24D9DC7-D5C3-44A4-96AF-C3784EFC3E81}">
      <text>
        <r>
          <rPr>
            <sz val="9"/>
            <color indexed="81"/>
            <rFont val="Tahoma"/>
            <family val="2"/>
          </rPr>
          <t>Se incrementa 10ctvs por transporte ya que si compro los 100 cierres tenemos 20 dolares para pagar el envio desde Guayaquil ha Pasaje y del centro al local.</t>
        </r>
      </text>
    </comment>
    <comment ref="R50" authorId="0" shapeId="0" xr:uid="{08732FB3-DBCF-47F3-B2D6-5F027D444D3F}">
      <text>
        <r>
          <rPr>
            <sz val="9"/>
            <color indexed="81"/>
            <rFont val="Tahoma"/>
            <family val="2"/>
          </rPr>
          <t>El valor aquí marcado es el de la unidad + el transporte.</t>
        </r>
      </text>
    </comment>
    <comment ref="X50" authorId="0" shapeId="0" xr:uid="{D6D1E6E3-FF12-42A9-8BE8-0D43521ABCC3}">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51" authorId="0" shapeId="0" xr:uid="{2726ECE5-50E2-4522-AB4E-4E1265B4EDE3}">
      <text>
        <r>
          <rPr>
            <sz val="9"/>
            <color indexed="81"/>
            <rFont val="Tahoma"/>
            <family val="2"/>
          </rPr>
          <t>Se incrementa 10ctvs por transporte ya que si compro los 100 cierres tenemos 20 dolares para pagar el envio desde Guayaquil ha Pasaje y del centro al local.</t>
        </r>
      </text>
    </comment>
    <comment ref="R51" authorId="0" shapeId="0" xr:uid="{D6006981-2728-402E-9CFB-8BB8E94083AC}">
      <text>
        <r>
          <rPr>
            <sz val="9"/>
            <color indexed="81"/>
            <rFont val="Tahoma"/>
            <family val="2"/>
          </rPr>
          <t>El valor aquí marcado es el de la unidad + el transporte.</t>
        </r>
      </text>
    </comment>
    <comment ref="X51" authorId="0" shapeId="0" xr:uid="{36326AAD-D87C-4644-8EB2-02AA7788AD1B}">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52" authorId="0" shapeId="0" xr:uid="{5BE0C5FE-F3A2-4FBD-8EF8-E78FFC4B5598}">
      <text>
        <r>
          <rPr>
            <sz val="9"/>
            <color indexed="81"/>
            <rFont val="Tahoma"/>
            <family val="2"/>
          </rPr>
          <t>Se incrementa 10ctvs por transporte ya que si compro los 100 cierres tenemos 20 dolares para pagar el envio desde Guayaquil ha Pasaje y del centro al local.</t>
        </r>
      </text>
    </comment>
    <comment ref="R52" authorId="0" shapeId="0" xr:uid="{54EC9F60-69A5-4DB0-BDDC-FC0A7BA9AF68}">
      <text>
        <r>
          <rPr>
            <sz val="9"/>
            <color indexed="81"/>
            <rFont val="Tahoma"/>
            <family val="2"/>
          </rPr>
          <t>El valor aquí marcado es el de la unidad + el transporte.</t>
        </r>
      </text>
    </comment>
    <comment ref="X52" authorId="0" shapeId="0" xr:uid="{5F664E38-9D44-41B8-A96A-73AF87FE60E5}">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53" authorId="0" shapeId="0" xr:uid="{C084E5F1-0713-43AB-8075-9DC9E6C4C962}">
      <text>
        <r>
          <rPr>
            <sz val="9"/>
            <color indexed="81"/>
            <rFont val="Tahoma"/>
            <family val="2"/>
          </rPr>
          <t>Se incrementa 10ctvs por transporte ya que si compro los 100 cierres tenemos 20 dolares para pagar el envio desde Guayaquil ha Pasaje y del centro al local.</t>
        </r>
      </text>
    </comment>
    <comment ref="R53" authorId="0" shapeId="0" xr:uid="{7F0492B6-D336-4098-AFC9-D4501D3BF628}">
      <text>
        <r>
          <rPr>
            <sz val="9"/>
            <color indexed="81"/>
            <rFont val="Tahoma"/>
            <family val="2"/>
          </rPr>
          <t>El valor aquí marcado es el de la unidad + el transporte.</t>
        </r>
      </text>
    </comment>
    <comment ref="X53" authorId="0" shapeId="0" xr:uid="{88515DBD-3B8D-4556-BA25-BC17D572A5FA}">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54" authorId="0" shapeId="0" xr:uid="{E32C29A1-C4B3-4EDB-BD8E-E5F683CA1F22}">
      <text>
        <r>
          <rPr>
            <sz val="9"/>
            <color indexed="81"/>
            <rFont val="Tahoma"/>
            <family val="2"/>
          </rPr>
          <t>Se incrementa 10ctvs por transporte ya que si compro los 100 cierres tenemos 20 dolares para pagar el envio desde Guayaquil ha Pasaje y del centro al local.</t>
        </r>
      </text>
    </comment>
    <comment ref="R54" authorId="0" shapeId="0" xr:uid="{67EB2F68-84CE-4641-A55E-849176D4629D}">
      <text>
        <r>
          <rPr>
            <sz val="9"/>
            <color indexed="81"/>
            <rFont val="Tahoma"/>
            <family val="2"/>
          </rPr>
          <t>El valor aquí marcado es el de la unidad + el transporte.</t>
        </r>
      </text>
    </comment>
    <comment ref="X54" authorId="0" shapeId="0" xr:uid="{761A791E-27A4-4511-8C07-E6158153D658}">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55" authorId="0" shapeId="0" xr:uid="{6A29039F-DC02-4F84-82C0-D17EEEBF2118}">
      <text>
        <r>
          <rPr>
            <sz val="9"/>
            <color indexed="81"/>
            <rFont val="Tahoma"/>
            <family val="2"/>
          </rPr>
          <t>Se incrementa 10ctvs por transporte ya que si compro los 100 cierres tenemos 20 dolares para pagar el envio desde Guayaquil ha Pasaje y del centro al local.</t>
        </r>
      </text>
    </comment>
    <comment ref="R55" authorId="0" shapeId="0" xr:uid="{D886AC3E-4D31-4E73-B4BD-C1B7F357BDEF}">
      <text>
        <r>
          <rPr>
            <sz val="9"/>
            <color indexed="81"/>
            <rFont val="Tahoma"/>
            <family val="2"/>
          </rPr>
          <t>El valor aquí marcado es el de la unidad + el transporte.</t>
        </r>
      </text>
    </comment>
    <comment ref="X55" authorId="0" shapeId="0" xr:uid="{C96963DE-62A0-4CA7-B6CD-265D13D68A19}">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56" authorId="0" shapeId="0" xr:uid="{C0068EB5-984A-44B6-8657-A32EF831870A}">
      <text>
        <r>
          <rPr>
            <sz val="9"/>
            <color indexed="81"/>
            <rFont val="Tahoma"/>
            <family val="2"/>
          </rPr>
          <t>Se incrementa 10ctvs por transporte ya que si compro los 100 cierres tenemos 20 dolares para pagar el envio desde Guayaquil ha Pasaje y del centro al local.</t>
        </r>
      </text>
    </comment>
    <comment ref="R56" authorId="0" shapeId="0" xr:uid="{07255EB7-D47B-4312-A205-989B16E972C6}">
      <text>
        <r>
          <rPr>
            <sz val="9"/>
            <color indexed="81"/>
            <rFont val="Tahoma"/>
            <family val="2"/>
          </rPr>
          <t>El valor aquí marcado es el de la unidad + el transporte.</t>
        </r>
      </text>
    </comment>
    <comment ref="X56" authorId="0" shapeId="0" xr:uid="{AE716662-C8C0-4A21-B641-AF3E136654E4}">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57" authorId="0" shapeId="0" xr:uid="{D5BCED44-AFB3-407F-B3CC-081A4E50C934}">
      <text>
        <r>
          <rPr>
            <sz val="9"/>
            <color indexed="81"/>
            <rFont val="Tahoma"/>
            <family val="2"/>
          </rPr>
          <t>Se incrementa 10ctvs por transporte ya que si compro los 100 cierres tenemos 20 dolares para pagar el envio desde Guayaquil ha Pasaje y del centro al local.</t>
        </r>
      </text>
    </comment>
    <comment ref="R57" authorId="0" shapeId="0" xr:uid="{00ED4F79-2415-490D-A5DC-91B255CB8A69}">
      <text>
        <r>
          <rPr>
            <sz val="9"/>
            <color indexed="81"/>
            <rFont val="Tahoma"/>
            <family val="2"/>
          </rPr>
          <t>El valor aquí marcado es el de la unidad + el transporte.</t>
        </r>
      </text>
    </comment>
    <comment ref="X57" authorId="0" shapeId="0" xr:uid="{4256E75C-2B03-4C3A-BFDA-6929FFB51C4A}">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O58" authorId="0" shapeId="0" xr:uid="{FC06C4DC-E80C-4896-A427-E574A3B6DF47}">
      <text>
        <r>
          <rPr>
            <sz val="9"/>
            <color indexed="81"/>
            <rFont val="Tahoma"/>
            <family val="2"/>
          </rPr>
          <t>Se carga 2 dolares de transporte en cada funda.</t>
        </r>
      </text>
    </comment>
    <comment ref="R58" authorId="0" shapeId="0" xr:uid="{26030981-EF78-4C77-A347-6B499582623E}">
      <text>
        <r>
          <rPr>
            <sz val="9"/>
            <color indexed="81"/>
            <rFont val="Tahoma"/>
            <family val="2"/>
          </rPr>
          <t>El costo que nos estamos llevando para el APU'S es en metro, ya que la impresión y las algunas telas nacionales también se las compra en metros.</t>
        </r>
      </text>
    </comment>
    <comment ref="X58" authorId="0" shapeId="0" xr:uid="{2C1F7EF1-4E78-4300-AF53-38C912D8084A}">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59" authorId="0" shapeId="0" xr:uid="{AF83FAF2-FD2E-4B01-8359-45BD0D51E4D5}">
      <text>
        <r>
          <rPr>
            <sz val="9"/>
            <color indexed="81"/>
            <rFont val="Tahoma"/>
            <family val="2"/>
          </rPr>
          <t>Se incrementa 10ctvs por transporte ya que si compro los 100 cierres tenemos 20 dolares para pagar el envio desde Guayaquil ha Pasaje y del centro al local.</t>
        </r>
      </text>
    </comment>
    <comment ref="R59" authorId="0" shapeId="0" xr:uid="{B45B5259-5AAB-44DE-AA03-B2865ABDF4F6}">
      <text>
        <r>
          <rPr>
            <sz val="9"/>
            <color indexed="81"/>
            <rFont val="Tahoma"/>
            <family val="2"/>
          </rPr>
          <t>El valor aquí marcado es el de la unidad + el transporte.</t>
        </r>
      </text>
    </comment>
    <comment ref="X59" authorId="0" shapeId="0" xr:uid="{3DD59E6E-8719-445B-B4A7-4BD428C5E638}">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J60" authorId="0" shapeId="0" xr:uid="{07BCECC7-F502-46AC-A5D4-BB5399231EF9}">
      <text>
        <r>
          <rPr>
            <sz val="9"/>
            <color indexed="81"/>
            <rFont val="Tahoma"/>
            <family val="2"/>
          </rPr>
          <t>ESTA REATA SE COMPRA CON EL CARRETE DE PLASTICO</t>
        </r>
      </text>
    </comment>
    <comment ref="P60" authorId="0" shapeId="0" xr:uid="{8CA45C35-1DA7-4D10-B486-E2C3CA2F8E02}">
      <text>
        <r>
          <rPr>
            <sz val="9"/>
            <color indexed="81"/>
            <rFont val="Tahoma"/>
            <family val="2"/>
          </rPr>
          <t>Se aumenta el valor del flete de 1 dólar por rollo considerando que se van ha comprar 20 rollos de este elástico.</t>
        </r>
      </text>
    </comment>
    <comment ref="R60" authorId="0" shapeId="0" xr:uid="{D7DDB727-2DC5-41A8-BF64-CBA25389EB69}">
      <text>
        <r>
          <rPr>
            <sz val="9"/>
            <color indexed="81"/>
            <rFont val="Tahoma"/>
            <family val="2"/>
          </rPr>
          <t>El costo que nos estamos llevando para el APU'S es en metro, ya que la impresión y las algunas telas nacionales también se las compra en metros.</t>
        </r>
      </text>
    </comment>
    <comment ref="X60" authorId="0" shapeId="0" xr:uid="{496604C6-BCFF-46BD-AC9C-75A86793A8F5}">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L61" authorId="0" shapeId="0" xr:uid="{6878C556-2CAD-40CB-8412-F2B23277EB12}">
      <text>
        <r>
          <rPr>
            <b/>
            <sz val="9"/>
            <color indexed="81"/>
            <rFont val="Tahoma"/>
            <family val="2"/>
          </rPr>
          <t>Padilla con el 4% de descuento.</t>
        </r>
      </text>
    </comment>
    <comment ref="O61" authorId="0" shapeId="0" xr:uid="{9EC9B791-B290-470B-9A84-3ACC62F81255}">
      <text>
        <r>
          <rPr>
            <sz val="9"/>
            <color indexed="81"/>
            <rFont val="Tahoma"/>
            <family val="2"/>
          </rPr>
          <t>Al costo de kilo se agrega el costo del transporte 1dolar.</t>
        </r>
      </text>
    </comment>
    <comment ref="Q61" authorId="0" shapeId="0" xr:uid="{BD5E584B-4320-4891-9E65-5FC6B78CEA01}">
      <text>
        <r>
          <rPr>
            <sz val="9"/>
            <color indexed="81"/>
            <rFont val="Tahoma"/>
            <family val="2"/>
          </rPr>
          <t>Ya no le agregamos el costo del transporte puesto que, ya incluiye el transporte en cada kilo.</t>
        </r>
      </text>
    </comment>
    <comment ref="R61" authorId="0" shapeId="0" xr:uid="{0EC3E16E-B224-4C2A-A01A-3184B7F4C3B1}">
      <text>
        <r>
          <rPr>
            <sz val="9"/>
            <color indexed="81"/>
            <rFont val="Tahoma"/>
            <family val="2"/>
          </rPr>
          <t>El costo que nos estamos llevando para el APU'S es en metro, ya que la impresión y las algunas telas nacionales también se las compra en metros.</t>
        </r>
      </text>
    </comment>
    <comment ref="U61" authorId="0" shapeId="0" xr:uid="{1A0249F3-123B-44D4-8DFB-4414A981A5F6}">
      <text>
        <r>
          <rPr>
            <sz val="9"/>
            <color indexed="81"/>
            <rFont val="Tahoma"/>
            <family val="2"/>
          </rPr>
          <t>AQUÍ REGISTRAMOS EL PRECIO que sale al mercado deacuerdo a la demanda.</t>
        </r>
      </text>
    </comment>
    <comment ref="X61" authorId="0" shapeId="0" xr:uid="{19E92862-EBAF-4031-9B29-9D240BFF8E9D}">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62" authorId="0" shapeId="0" xr:uid="{36F63110-3B4B-40C6-AA14-667165B312CE}">
      <text>
        <r>
          <rPr>
            <sz val="9"/>
            <color indexed="81"/>
            <rFont val="Tahoma"/>
            <family val="2"/>
          </rPr>
          <t>PIKE DE COSTURA</t>
        </r>
      </text>
    </comment>
    <comment ref="L62" authorId="0" shapeId="0" xr:uid="{90328DAA-061F-47EF-A997-F22F495286EE}">
      <text>
        <r>
          <rPr>
            <b/>
            <sz val="9"/>
            <color indexed="81"/>
            <rFont val="Tahoma"/>
            <family val="2"/>
          </rPr>
          <t>Padilla con el 4% de descuento.</t>
        </r>
      </text>
    </comment>
    <comment ref="O62" authorId="0" shapeId="0" xr:uid="{E4F33B1D-F8F5-4687-A5CE-2DE743D448E9}">
      <text>
        <r>
          <rPr>
            <sz val="9"/>
            <color indexed="81"/>
            <rFont val="Tahoma"/>
            <family val="2"/>
          </rPr>
          <t>Al costo de kilo se agrega el costo del transporte 1dolar.</t>
        </r>
      </text>
    </comment>
    <comment ref="Q62" authorId="0" shapeId="0" xr:uid="{C85B86E0-E5C5-4B9D-A39E-335EE2FBAF92}">
      <text>
        <r>
          <rPr>
            <sz val="9"/>
            <color indexed="81"/>
            <rFont val="Tahoma"/>
            <family val="2"/>
          </rPr>
          <t>Ya no le agregamos el costo del transporte puesto que, ya incluiye el transporte en cada kilo.</t>
        </r>
      </text>
    </comment>
    <comment ref="R62" authorId="0" shapeId="0" xr:uid="{E7FE6711-8B6F-42A6-AD4A-EAE6B4ACFC6D}">
      <text>
        <r>
          <rPr>
            <sz val="9"/>
            <color indexed="81"/>
            <rFont val="Tahoma"/>
            <family val="2"/>
          </rPr>
          <t>El costo que nos estamos llevando para el APU'S es en metro, ya que la impresión y las algunas telas nacionales también se las compra en metros.</t>
        </r>
      </text>
    </comment>
    <comment ref="U62" authorId="0" shapeId="0" xr:uid="{843AC88D-31EB-492C-A4A6-3908E8EF3C24}">
      <text>
        <r>
          <rPr>
            <sz val="9"/>
            <color indexed="81"/>
            <rFont val="Tahoma"/>
            <family val="2"/>
          </rPr>
          <t>AQUÍ REGISTRAMOS EL PRECIO que sale al mercado deacuerdo a la demanda.</t>
        </r>
      </text>
    </comment>
    <comment ref="X62" authorId="0" shapeId="0" xr:uid="{96C00495-815E-4795-8CD0-6035A9508EFA}">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63" authorId="0" shapeId="0" xr:uid="{E955F55C-C3CC-4259-884D-13FC1C4735CF}">
      <text>
        <r>
          <rPr>
            <sz val="9"/>
            <color indexed="81"/>
            <rFont val="Tahoma"/>
            <family val="2"/>
          </rPr>
          <t>ALGODHON DE SUBLIMACIÓN GRUESO</t>
        </r>
      </text>
    </comment>
    <comment ref="L63" authorId="0" shapeId="0" xr:uid="{0336A00E-067A-4D7A-8831-090303681DF1}">
      <text>
        <r>
          <rPr>
            <b/>
            <sz val="9"/>
            <color indexed="81"/>
            <rFont val="Tahoma"/>
            <family val="2"/>
          </rPr>
          <t>Padilla con el 4% de descuento.</t>
        </r>
      </text>
    </comment>
    <comment ref="O63" authorId="0" shapeId="0" xr:uid="{CCB6D27A-5E18-4C8B-A0BE-93856F9ABCF6}">
      <text>
        <r>
          <rPr>
            <sz val="9"/>
            <color indexed="81"/>
            <rFont val="Tahoma"/>
            <family val="2"/>
          </rPr>
          <t>Al precio de kilo se agrega el costo del transporte 1dolar.</t>
        </r>
      </text>
    </comment>
    <comment ref="Q63" authorId="0" shapeId="0" xr:uid="{C605CB14-1156-42E3-9E09-80979E5C0033}">
      <text>
        <r>
          <rPr>
            <sz val="9"/>
            <color indexed="81"/>
            <rFont val="Tahoma"/>
            <family val="2"/>
          </rPr>
          <t>Ya no le agregamos el costo del transporte puesto que, ya incluiye el transporte en cada kilo.</t>
        </r>
      </text>
    </comment>
    <comment ref="R63" authorId="0" shapeId="0" xr:uid="{93A9F827-0DA1-4064-8BFA-1DA93E143F32}">
      <text>
        <r>
          <rPr>
            <sz val="9"/>
            <color indexed="81"/>
            <rFont val="Tahoma"/>
            <family val="2"/>
          </rPr>
          <t>El costo que nos estamos llevando para el APU'S es en metro, ya que la impresión y las algunas telas nacionales también se las compra en metros.</t>
        </r>
      </text>
    </comment>
    <comment ref="U63" authorId="0" shapeId="0" xr:uid="{6B040CE2-AA08-4B58-A7FA-10C0FAAB5179}">
      <text>
        <r>
          <rPr>
            <sz val="9"/>
            <color indexed="81"/>
            <rFont val="Tahoma"/>
            <family val="2"/>
          </rPr>
          <t>AQUÍ REGISTRAMOS EL PRECIO que sale al mercado deacuerdo a la demanda.</t>
        </r>
      </text>
    </comment>
    <comment ref="X63" authorId="0" shapeId="0" xr:uid="{2EF6BDDF-4E45-4F96-BD4B-A0FE4F2BABFD}">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64" authorId="0" shapeId="0" xr:uid="{23FD10A1-4E28-4174-BD96-4351DC21CD3F}">
      <text>
        <r>
          <rPr>
            <sz val="9"/>
            <color indexed="81"/>
            <rFont val="Tahoma"/>
            <family val="2"/>
          </rPr>
          <t>ALGODÓN DE SUBLIMACION FINO</t>
        </r>
      </text>
    </comment>
    <comment ref="L64" authorId="0" shapeId="0" xr:uid="{66C23E72-401A-4D52-A6B5-DCEDD60A5728}">
      <text>
        <r>
          <rPr>
            <b/>
            <sz val="9"/>
            <color indexed="81"/>
            <rFont val="Tahoma"/>
            <family val="2"/>
          </rPr>
          <t>Padilla con el 4% de descuento.</t>
        </r>
      </text>
    </comment>
    <comment ref="O64" authorId="0" shapeId="0" xr:uid="{EA9E6930-52D1-4F6B-86CD-DAB6DAE15EF8}">
      <text>
        <r>
          <rPr>
            <sz val="9"/>
            <color indexed="81"/>
            <rFont val="Tahoma"/>
            <family val="2"/>
          </rPr>
          <t>Al costo de kilo se agrega el costo del transporte 1dolar.</t>
        </r>
      </text>
    </comment>
    <comment ref="Q64" authorId="0" shapeId="0" xr:uid="{CEBD56E9-9D1E-41C3-A42C-7056C0F565CF}">
      <text>
        <r>
          <rPr>
            <sz val="9"/>
            <color indexed="81"/>
            <rFont val="Tahoma"/>
            <family val="2"/>
          </rPr>
          <t>Ya no le agregamos el costo del transporte puesto que, ya incluiye el transporte en cada kilo.</t>
        </r>
      </text>
    </comment>
    <comment ref="R64" authorId="0" shapeId="0" xr:uid="{7B2FBA0A-638E-44F8-8F02-341D59B8E5C9}">
      <text>
        <r>
          <rPr>
            <sz val="9"/>
            <color indexed="81"/>
            <rFont val="Tahoma"/>
            <family val="2"/>
          </rPr>
          <t>El costo que nos estamos llevando para el APU'S es en metro, ya que la impresión y las algunas telas nacionales también se las compra en metros.</t>
        </r>
      </text>
    </comment>
    <comment ref="U64" authorId="0" shapeId="0" xr:uid="{CFF18EF6-37E8-45A9-90FA-2784AFFD6100}">
      <text>
        <r>
          <rPr>
            <sz val="9"/>
            <color indexed="81"/>
            <rFont val="Tahoma"/>
            <family val="2"/>
          </rPr>
          <t>AQUÍ REGISTRAMOS EL PRECIO que sale al mercado deacuerdo a la demanda.</t>
        </r>
      </text>
    </comment>
    <comment ref="X64" authorId="0" shapeId="0" xr:uid="{D858F8EB-D3CC-49BF-88A2-0E53F8E45C3D}">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65" authorId="0" shapeId="0" xr:uid="{B7309944-D756-4043-8D7A-EA749F867931}">
      <text>
        <r>
          <rPr>
            <sz val="9"/>
            <color indexed="81"/>
            <rFont val="Tahoma"/>
            <family val="2"/>
          </rPr>
          <t>esta tela es más gruesita que la otra tela de 1.2</t>
        </r>
      </text>
    </comment>
    <comment ref="L65" authorId="0" shapeId="0" xr:uid="{0F68BD88-1EF5-4E4A-A55C-11A3CCD88193}">
      <text>
        <r>
          <rPr>
            <b/>
            <sz val="9"/>
            <color indexed="81"/>
            <rFont val="Tahoma"/>
            <family val="2"/>
          </rPr>
          <t>Padilla con el 4% de descuento.</t>
        </r>
      </text>
    </comment>
    <comment ref="O65" authorId="0" shapeId="0" xr:uid="{B9404E67-95C6-4606-82AF-838B36874B1F}">
      <text>
        <r>
          <rPr>
            <sz val="9"/>
            <color indexed="81"/>
            <rFont val="Tahoma"/>
            <family val="2"/>
          </rPr>
          <t>Al costo de kilo se agrega el costo del transporte 1dolar.</t>
        </r>
      </text>
    </comment>
    <comment ref="Q65" authorId="0" shapeId="0" xr:uid="{21032533-CB3E-4E87-B0CE-C83301AA36A7}">
      <text>
        <r>
          <rPr>
            <sz val="9"/>
            <color indexed="81"/>
            <rFont val="Tahoma"/>
            <family val="2"/>
          </rPr>
          <t>Ya no le agregamos el costo del transporte puesto que, ya incluiye el transporte en cada kilo.</t>
        </r>
      </text>
    </comment>
    <comment ref="R65" authorId="0" shapeId="0" xr:uid="{39C79674-7694-4787-9A13-33EB710FF162}">
      <text>
        <r>
          <rPr>
            <sz val="9"/>
            <color indexed="81"/>
            <rFont val="Tahoma"/>
            <family val="2"/>
          </rPr>
          <t>El costo que nos estamos llevando para el APU'S es en metro, ya que la impresión y las algunas telas nacionales también se las compra en metros.</t>
        </r>
      </text>
    </comment>
    <comment ref="U65" authorId="0" shapeId="0" xr:uid="{29DC6B09-53B4-47D0-9A49-C54E28947A89}">
      <text>
        <r>
          <rPr>
            <sz val="9"/>
            <color indexed="81"/>
            <rFont val="Tahoma"/>
            <family val="2"/>
          </rPr>
          <t>AQUÍ REGISTRAMOS EL PRECIO que sale al mercado deacuerdo a la demanda.</t>
        </r>
      </text>
    </comment>
    <comment ref="X65" authorId="0" shapeId="0" xr:uid="{ADAE6EA8-7D2C-4F08-93B7-1C983BDC6E2A}">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F66" authorId="0" shapeId="0" xr:uid="{C50F9F30-8433-405B-9F91-AD3FDCC4684B}">
      <text>
        <r>
          <rPr>
            <sz val="9"/>
            <color indexed="81"/>
            <rFont val="Tahoma"/>
            <family val="2"/>
          </rPr>
          <t>utilizada para hacer los chalecos de Fútbol.</t>
        </r>
      </text>
    </comment>
    <comment ref="L66" authorId="0" shapeId="0" xr:uid="{AC0D734C-F46F-4AF6-97CA-4E85B1AE70EB}">
      <text>
        <r>
          <rPr>
            <b/>
            <sz val="9"/>
            <color indexed="81"/>
            <rFont val="Tahoma"/>
            <family val="2"/>
          </rPr>
          <t>Padilla con el 4% de descuento.</t>
        </r>
      </text>
    </comment>
    <comment ref="O66" authorId="0" shapeId="0" xr:uid="{4D73D4EA-0106-4754-B65B-DCA8A52F12E4}">
      <text>
        <r>
          <rPr>
            <sz val="9"/>
            <color indexed="81"/>
            <rFont val="Tahoma"/>
            <family val="2"/>
          </rPr>
          <t>Al costo de kilo se agrega el costo del transporte 1dolar.</t>
        </r>
      </text>
    </comment>
    <comment ref="Q66" authorId="0" shapeId="0" xr:uid="{FD46F445-7F30-4485-A375-9FDF575358D9}">
      <text>
        <r>
          <rPr>
            <sz val="9"/>
            <color indexed="81"/>
            <rFont val="Tahoma"/>
            <family val="2"/>
          </rPr>
          <t>Ya no le agregamos el costo del transporte puesto que, ya incluiye el transporte en cada kilo.</t>
        </r>
      </text>
    </comment>
    <comment ref="R66" authorId="0" shapeId="0" xr:uid="{BFCCD3B6-F701-43CB-84D1-3FE76BB5AA66}">
      <text>
        <r>
          <rPr>
            <sz val="9"/>
            <color indexed="81"/>
            <rFont val="Tahoma"/>
            <family val="2"/>
          </rPr>
          <t>El costo que nos estamos llevando para el APU'S es en metro, ya que la impresión y las algunas telas nacionales también se las compra en metros.</t>
        </r>
      </text>
    </comment>
    <comment ref="U66" authorId="0" shapeId="0" xr:uid="{A19B6741-8A12-4D55-AA41-9AE6BFF8EAA2}">
      <text>
        <r>
          <rPr>
            <sz val="9"/>
            <color indexed="81"/>
            <rFont val="Tahoma"/>
            <family val="2"/>
          </rPr>
          <t>AQUÍ REGISTRAMOS EL PRECIO que sale al mercado deacuerdo a la demanda.</t>
        </r>
      </text>
    </comment>
    <comment ref="X66" authorId="0" shapeId="0" xr:uid="{D7BF17D2-AE03-4008-9726-78DD5FA86B93}">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L67" authorId="0" shapeId="0" xr:uid="{9E2F5114-C936-4728-8EE4-70CA097C866E}">
      <text>
        <r>
          <rPr>
            <b/>
            <sz val="9"/>
            <color indexed="81"/>
            <rFont val="Tahoma"/>
            <family val="2"/>
          </rPr>
          <t>Padilla con el 4% de descuento.</t>
        </r>
      </text>
    </comment>
    <comment ref="O67" authorId="0" shapeId="0" xr:uid="{41245D96-C256-4647-BC9B-B415EE0D5EBB}">
      <text>
        <r>
          <rPr>
            <sz val="9"/>
            <color indexed="81"/>
            <rFont val="Tahoma"/>
            <family val="2"/>
          </rPr>
          <t>Agregamos 2 dolares de transporte considerando que la compra mínima sería de 3 kilos.</t>
        </r>
      </text>
    </comment>
    <comment ref="R67" authorId="0" shapeId="0" xr:uid="{AF0F4DB6-3483-4907-B2C0-1696476730C0}">
      <text>
        <r>
          <rPr>
            <sz val="9"/>
            <color indexed="81"/>
            <rFont val="Tahoma"/>
            <family val="2"/>
          </rPr>
          <t>El costo que nos estamos llevando para el APU'S es en metro, ya que la impresión y las algunas telas nacionales también se las compra en metros.</t>
        </r>
      </text>
    </comment>
    <comment ref="X67" authorId="0" shapeId="0" xr:uid="{993B2D05-8CA7-4CBA-9DEE-C22A8FF84CBE}">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L68" authorId="0" shapeId="0" xr:uid="{E42B1AD3-21BB-49BB-A687-0937E0B5F556}">
      <text>
        <r>
          <rPr>
            <b/>
            <sz val="9"/>
            <color indexed="81"/>
            <rFont val="Tahoma"/>
            <family val="2"/>
          </rPr>
          <t>Padilla con el 4% de descuento.</t>
        </r>
      </text>
    </comment>
    <comment ref="O68" authorId="0" shapeId="0" xr:uid="{FE48C257-2755-4934-9A92-0172B21A44AB}">
      <text>
        <r>
          <rPr>
            <sz val="9"/>
            <color indexed="81"/>
            <rFont val="Tahoma"/>
            <family val="2"/>
          </rPr>
          <t>Agregamos 2 dolares de transporte considerando que la compra mínima sería de 3 kilos.</t>
        </r>
      </text>
    </comment>
    <comment ref="R68" authorId="0" shapeId="0" xr:uid="{F7C8DEF3-CA87-431B-9003-E23FB3C122B7}">
      <text>
        <r>
          <rPr>
            <sz val="9"/>
            <color indexed="81"/>
            <rFont val="Tahoma"/>
            <family val="2"/>
          </rPr>
          <t>El costo que nos estamos llevando para el APU'S es en metro, ya que la impresión y las algunas telas nacionales también se las compra en metros.</t>
        </r>
      </text>
    </comment>
    <comment ref="F69" authorId="0" shapeId="0" xr:uid="{01629F66-DF6B-4C16-84E5-A88D0ECB9934}">
      <text>
        <r>
          <rPr>
            <sz val="9"/>
            <color indexed="81"/>
            <rFont val="Tahoma"/>
            <family val="2"/>
          </rPr>
          <t>1m de dtf impreso con el ancho de 58cm nos cuesta 10 dolares + 6 dolares por transporte.
Estas etiquetas son negras de 5x2cm, de la marca de Yunpar.</t>
        </r>
      </text>
    </comment>
    <comment ref="Q69" authorId="0" shapeId="0" xr:uid="{6E8B9238-74C0-4AFB-861E-8FCA85EE37FF}">
      <text>
        <r>
          <rPr>
            <sz val="9"/>
            <color indexed="81"/>
            <rFont val="Tahoma"/>
            <family val="2"/>
          </rPr>
          <t>Agregamos 6 dolares de transporte considerando que la compra mínima sería de 1 metro y el envio de Guayaquil a Pasaje es de 4 + 2 hasta el local.</t>
        </r>
      </text>
    </comment>
    <comment ref="R69" authorId="0" shapeId="0" xr:uid="{7759E621-E5D2-49E0-A880-B4E808A566BA}">
      <text>
        <r>
          <rPr>
            <sz val="9"/>
            <color indexed="81"/>
            <rFont val="Tahoma"/>
            <family val="2"/>
          </rPr>
          <t>El costo que nos estamos llevando para el APU'S es en metro, ya que la impresión y las algunas telas nacionales también se las compra en metros.</t>
        </r>
      </text>
    </comment>
    <comment ref="X69" authorId="0" shapeId="0" xr:uid="{91431326-45FB-4881-A2B1-8EDEC9086611}">
      <text>
        <r>
          <rPr>
            <sz val="9"/>
            <color indexed="81"/>
            <rFont val="Tahoma"/>
            <family val="2"/>
          </rPr>
          <t xml:space="preserve">Este producto se lo vende solo por unidad.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F70" authorId="0" shapeId="0" xr:uid="{BDC10EAC-3576-41B0-9355-A9F13429C26C}">
      <text>
        <r>
          <rPr>
            <sz val="9"/>
            <color indexed="81"/>
            <rFont val="Tahoma"/>
            <family val="2"/>
          </rPr>
          <t>Estas fundas las de alar utilizadas para entregar al cliente.</t>
        </r>
      </text>
    </comment>
    <comment ref="R70" authorId="0" shapeId="0" xr:uid="{1D3F4716-308E-476F-8157-7EF7106C3394}">
      <text>
        <r>
          <rPr>
            <sz val="9"/>
            <color indexed="81"/>
            <rFont val="Tahoma"/>
            <family val="2"/>
          </rPr>
          <t>El costo es por la unidad.</t>
        </r>
      </text>
    </comment>
    <comment ref="P71" authorId="0" shapeId="0" xr:uid="{3D07C65A-5B71-40B1-9EBD-EBDD71977663}">
      <text>
        <r>
          <rPr>
            <sz val="9"/>
            <color indexed="81"/>
            <rFont val="Tahoma"/>
            <family val="2"/>
          </rPr>
          <t>Cada rollo tiene ese costo, ya incluido impuestos y transporte hasta nuestras bodegas.</t>
        </r>
      </text>
    </comment>
    <comment ref="R71" authorId="0" shapeId="0" xr:uid="{11987174-1C27-48A7-8EAA-3F4FB1942DEF}">
      <text>
        <r>
          <rPr>
            <sz val="9"/>
            <color indexed="81"/>
            <rFont val="Tahoma"/>
            <family val="2"/>
          </rPr>
          <t>Cada ROLLO, refleja el valor mas bajo de comercialización en el mercado deacuerdo a la demanda.</t>
        </r>
      </text>
    </comment>
    <comment ref="U71" authorId="0" shapeId="0" xr:uid="{B9659533-FB33-4DDA-BB39-E5B925ADA436}">
      <text>
        <r>
          <rPr>
            <sz val="9"/>
            <color indexed="81"/>
            <rFont val="Tahoma"/>
            <family val="2"/>
          </rPr>
          <t>Estos valores de aquí van ha variar deacuerdo a la competencia.</t>
        </r>
      </text>
    </comment>
    <comment ref="X71" authorId="0" shapeId="0" xr:uid="{4A6E6C11-8B0B-4322-A8F4-5748057E47E9}">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P72" authorId="0" shapeId="0" xr:uid="{5F43E5BD-CB8F-46F1-A6E8-7A9E25827EE9}">
      <text>
        <r>
          <rPr>
            <sz val="9"/>
            <color indexed="81"/>
            <rFont val="Tahoma"/>
            <family val="2"/>
          </rPr>
          <t>Este articulo la unidad es el litro.
El precio generado en base a el precio mas bajo del mercado.
No agregamos el valor del transporte porque ya esta incluido hasta nuestras bodegas.</t>
        </r>
      </text>
    </comment>
    <comment ref="R72" authorId="0" shapeId="0" xr:uid="{1C5E9A0D-6C67-458F-9EE1-E018BE470BDE}">
      <text>
        <r>
          <rPr>
            <sz val="9"/>
            <color indexed="81"/>
            <rFont val="Tahoma"/>
            <family val="2"/>
          </rPr>
          <t>Cada litro refleja el valor mas bajo que lo comercializamos en el mercado deacuerdo a la demanda</t>
        </r>
      </text>
    </comment>
    <comment ref="U72" authorId="0" shapeId="0" xr:uid="{CA70B61C-54FA-4DD7-9C1E-7A4C8BE4BFC1}">
      <text>
        <r>
          <rPr>
            <sz val="9"/>
            <color indexed="81"/>
            <rFont val="Tahoma"/>
            <family val="2"/>
          </rPr>
          <t>Estos valores de aquí van ha variar deacuerdo a la competencia.</t>
        </r>
      </text>
    </comment>
    <comment ref="X72" authorId="0" shapeId="0" xr:uid="{28F91FD7-2BA6-4723-A926-F25E7C49D608}">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P73" authorId="0" shapeId="0" xr:uid="{DD07909E-A4BF-4C44-A0E7-9C08E5EFE4EF}">
      <text>
        <r>
          <rPr>
            <sz val="9"/>
            <color indexed="81"/>
            <rFont val="Tahoma"/>
            <family val="2"/>
          </rPr>
          <t>Este articulo la unidad es el litro.
El precio generado en base a el precio mas bajo del mercado.
No agregamos el valor del transporte porque ya esta incluido hasta nuestras bodegas.</t>
        </r>
      </text>
    </comment>
    <comment ref="R73" authorId="0" shapeId="0" xr:uid="{6826A828-21FE-466B-8981-B00D9B09982D}">
      <text>
        <r>
          <rPr>
            <sz val="9"/>
            <color indexed="81"/>
            <rFont val="Tahoma"/>
            <family val="2"/>
          </rPr>
          <t>Cada litro refleja el valor mas bajo que lo comercializamos en el mercado deacuerdo a la demanda</t>
        </r>
      </text>
    </comment>
    <comment ref="U73" authorId="0" shapeId="0" xr:uid="{DBF3EDE9-2FC9-41C9-BFD7-863E667FF697}">
      <text>
        <r>
          <rPr>
            <sz val="9"/>
            <color indexed="81"/>
            <rFont val="Tahoma"/>
            <family val="2"/>
          </rPr>
          <t>Estos valores de aquí van ha variar deacuerdo a la competencia.</t>
        </r>
      </text>
    </comment>
    <comment ref="X73" authorId="0" shapeId="0" xr:uid="{2124528A-1A1D-4CB3-909A-F1EFC93A03DC}">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P74" authorId="0" shapeId="0" xr:uid="{C5D56227-16D1-4F29-B2FF-92A9C54C71A3}">
      <text>
        <r>
          <rPr>
            <sz val="9"/>
            <color indexed="81"/>
            <rFont val="Tahoma"/>
            <family val="2"/>
          </rPr>
          <t>Este articulo la unidad es el litro.
El precio generado en base a el precio mas bajo del mercado.
No agregamos el valor del transporte porque ya esta incluido hasta nuestras bodegas.</t>
        </r>
      </text>
    </comment>
    <comment ref="R74" authorId="0" shapeId="0" xr:uid="{C2C1E670-94FC-4471-BDF2-09DD1561C7A4}">
      <text>
        <r>
          <rPr>
            <sz val="9"/>
            <color indexed="81"/>
            <rFont val="Tahoma"/>
            <family val="2"/>
          </rPr>
          <t>Cada litro refleja el valor mas bajo que lo comercializamos en el mercado deacuerdo a la demanda</t>
        </r>
      </text>
    </comment>
    <comment ref="U74" authorId="0" shapeId="0" xr:uid="{F65A44A4-559C-40DC-93FD-6C5B1D7229AD}">
      <text>
        <r>
          <rPr>
            <sz val="9"/>
            <color indexed="81"/>
            <rFont val="Tahoma"/>
            <family val="2"/>
          </rPr>
          <t>Estos valores de aquí van ha variar deacuerdo a la competencia.</t>
        </r>
      </text>
    </comment>
    <comment ref="X74" authorId="0" shapeId="0" xr:uid="{9CF90CE1-4DC9-4BA7-B00A-21B4B486163C}">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 ref="P75" authorId="0" shapeId="0" xr:uid="{16AE587D-9C4E-49C1-B36B-FA1C65D71126}">
      <text>
        <r>
          <rPr>
            <sz val="9"/>
            <color indexed="81"/>
            <rFont val="Tahoma"/>
            <family val="2"/>
          </rPr>
          <t>Se incrementa 10ctvs por transporte ya que si compro los 100 cierres tenemos 20 dolares para pagar el envio desde Guayaquil ha Pasaje y del centro al local.</t>
        </r>
      </text>
    </comment>
    <comment ref="R75" authorId="0" shapeId="0" xr:uid="{8684C32A-583F-44D4-AAC0-19A62F7F0509}">
      <text>
        <r>
          <rPr>
            <sz val="9"/>
            <color indexed="81"/>
            <rFont val="Tahoma"/>
            <family val="2"/>
          </rPr>
          <t>El valor aquí marcado es el de la unidad + el transporte.</t>
        </r>
      </text>
    </comment>
    <comment ref="X75" authorId="0" shapeId="0" xr:uid="{35CA0CDA-A55B-4B86-9D91-5906D5880CE6}">
      <text>
        <r>
          <rPr>
            <sz val="9"/>
            <color indexed="81"/>
            <rFont val="Tahoma"/>
            <family val="2"/>
          </rPr>
          <t xml:space="preserve">Se le coloco un formato condicionante para tener la precausión de no ingresar un valor menor al costo de compra.
El mismo que debe marcar "ERROR", en el caso que el valor de la columna </t>
        </r>
        <r>
          <rPr>
            <b/>
            <sz val="9"/>
            <color indexed="81"/>
            <rFont val="Tahoma"/>
            <family val="2"/>
          </rPr>
          <t>V</t>
        </r>
        <r>
          <rPr>
            <sz val="9"/>
            <color indexed="81"/>
            <rFont val="Tahoma"/>
            <family val="2"/>
          </rPr>
          <t xml:space="preserve"> sea menor al valor de la columna </t>
        </r>
        <r>
          <rPr>
            <b/>
            <sz val="9"/>
            <color indexed="81"/>
            <rFont val="Tahoma"/>
            <family val="2"/>
          </rPr>
          <t>P</t>
        </r>
        <r>
          <rPr>
            <sz val="9"/>
            <color indexed="81"/>
            <rFont val="Tahoma"/>
            <family val="2"/>
          </rPr>
          <t>.</t>
        </r>
      </text>
    </comment>
    <comment ref="P76" authorId="0" shapeId="0" xr:uid="{51E110AE-407B-406E-87B0-1C0EF8575BB9}">
      <text>
        <r>
          <rPr>
            <sz val="9"/>
            <color indexed="81"/>
            <rFont val="Tahoma"/>
            <family val="2"/>
          </rPr>
          <t>Se incrementa 10ctvs por transporte ya que si compro los 100 cierres tenemos 20 dolares para pagar el envio desde Guayaquil ha Pasaje y del centro al local.</t>
        </r>
      </text>
    </comment>
    <comment ref="R76" authorId="0" shapeId="0" xr:uid="{0FB4D1DA-2EDD-4599-8194-BEE862121D76}">
      <text>
        <r>
          <rPr>
            <sz val="9"/>
            <color indexed="81"/>
            <rFont val="Tahoma"/>
            <family val="2"/>
          </rPr>
          <t>Lo conseguimos localmente a ese precio.</t>
        </r>
      </text>
    </comment>
    <comment ref="O77" authorId="0" shapeId="0" xr:uid="{A68C37FB-9A69-4F94-A629-92BE7C2CAD5E}">
      <text>
        <r>
          <rPr>
            <sz val="9"/>
            <color indexed="81"/>
            <rFont val="Tahoma"/>
            <family val="2"/>
          </rPr>
          <t>Se incrementa 0.6ctvs por transporte ya que si compro 20 kilos de este ribb tendría 12 dolares para pagar el flete de Quito a Pasaje y al local.
Compra mínima para este costo sería de 1 rollo de 20kilos.</t>
        </r>
      </text>
    </comment>
    <comment ref="Q77" authorId="0" shapeId="0" xr:uid="{83D0BC90-9495-44A7-AB54-361E1C373033}">
      <text>
        <r>
          <rPr>
            <sz val="9"/>
            <color indexed="81"/>
            <rFont val="Tahoma"/>
            <family val="2"/>
          </rPr>
          <t>Ya no le agregamos el costo del transporte puesto que, ya incluiye el transporte en cada kilo.</t>
        </r>
      </text>
    </comment>
    <comment ref="R77" authorId="0" shapeId="0" xr:uid="{1AEC0A14-6D01-4B8D-96B1-CC83D14E3F2B}">
      <text>
        <r>
          <rPr>
            <sz val="9"/>
            <color indexed="81"/>
            <rFont val="Tahoma"/>
            <family val="2"/>
          </rPr>
          <t>El costo que nos estamos llevando para el APU'S es en metro, ya que la impresión y las algunas telas nacionales también se las compra en metros.</t>
        </r>
      </text>
    </comment>
    <comment ref="O78" authorId="0" shapeId="0" xr:uid="{91503D96-66AA-42E6-8348-305A976DC9AF}">
      <text>
        <r>
          <rPr>
            <sz val="9"/>
            <color indexed="81"/>
            <rFont val="Tahoma"/>
            <family val="2"/>
          </rPr>
          <t>Se incrementa 0.6ctvs por transporte ya que si compro 20 kilos de este ribb tendría 12 dolares para pagar el flete de Quito a Pasaje y al local.
Compra mínima para este costo sería de 1 rollo de 20kilos.</t>
        </r>
      </text>
    </comment>
    <comment ref="Q78" authorId="0" shapeId="0" xr:uid="{11FAD227-4D1D-40E8-8CD2-64CC57CFE82B}">
      <text>
        <r>
          <rPr>
            <sz val="9"/>
            <color indexed="81"/>
            <rFont val="Tahoma"/>
            <family val="2"/>
          </rPr>
          <t>Ya no le agregamos el costo del transporte puesto que, ya incluiye el transporte en cada kilo.</t>
        </r>
      </text>
    </comment>
    <comment ref="R78" authorId="0" shapeId="0" xr:uid="{903CC860-9153-411F-ADAF-9F09FF0B1CA4}">
      <text>
        <r>
          <rPr>
            <sz val="9"/>
            <color indexed="81"/>
            <rFont val="Tahoma"/>
            <family val="2"/>
          </rPr>
          <t>El costo que nos estamos llevando para el APU'S es en metro, ya que la impresión y las algunas telas nacionales también se las compra en metros.</t>
        </r>
      </text>
    </comment>
    <comment ref="O80" authorId="0" shapeId="0" xr:uid="{B1551678-9E8C-48AD-8157-CEF0B7EB892E}">
      <text>
        <r>
          <rPr>
            <sz val="9"/>
            <color indexed="81"/>
            <rFont val="Tahoma"/>
            <family val="2"/>
          </rPr>
          <t>Transporte interno, se incrementa 0.1ctvs por prenda.</t>
        </r>
      </text>
    </comment>
    <comment ref="F81" authorId="0" shapeId="0" xr:uid="{AB5F02A0-9C8B-4C85-A8A4-9BA14E49E0F6}">
      <text>
        <r>
          <rPr>
            <sz val="9"/>
            <color indexed="81"/>
            <rFont val="Tahoma"/>
            <family val="2"/>
          </rPr>
          <t>1m de dtf impreso con el ancho de 58cm nos cuesta 10 dolares + 6 dolares por transporte.
Estas etiquetas son negras de 5x2cm, de la marca de Yunpar.</t>
        </r>
      </text>
    </comment>
    <comment ref="Q81" authorId="0" shapeId="0" xr:uid="{2D9E104C-43C5-4FF0-99B7-6988DD0212BA}">
      <text>
        <r>
          <rPr>
            <sz val="9"/>
            <color indexed="81"/>
            <rFont val="Tahoma"/>
            <family val="2"/>
          </rPr>
          <t>Agregamos 6 dolares de transporte considerando que la compra mínima sería de 1 metro y el envio de Guayaquil a Pasaje es de 4 + 2 hasta el local.</t>
        </r>
      </text>
    </comment>
    <comment ref="R81" authorId="0" shapeId="0" xr:uid="{592A9F7C-65D9-4622-882F-27A76332058B}">
      <text>
        <r>
          <rPr>
            <sz val="9"/>
            <color indexed="81"/>
            <rFont val="Tahoma"/>
            <family val="2"/>
          </rPr>
          <t>El costo que nos estamos llevando para el APU'S es en metro, ya que la impresión y las algunas telas nacionales también se las compra en metros.</t>
        </r>
      </text>
    </comment>
    <comment ref="F83" authorId="0" shapeId="0" xr:uid="{9C3F12A0-B1D1-41D5-BAC0-EAFD53B57543}">
      <text>
        <r>
          <rPr>
            <sz val="9"/>
            <color indexed="81"/>
            <rFont val="Tahoma"/>
            <family val="2"/>
          </rPr>
          <t>utilizada para hacer los chalecos de Fútbol.</t>
        </r>
      </text>
    </comment>
    <comment ref="F84" authorId="0" shapeId="0" xr:uid="{F930117C-EDAF-4A17-8039-F0BEDA138D71}">
      <text>
        <r>
          <rPr>
            <b/>
            <sz val="9"/>
            <color indexed="81"/>
            <rFont val="Tahoma"/>
            <family val="2"/>
          </rPr>
          <t>no hay stock</t>
        </r>
      </text>
    </comment>
    <comment ref="Q84" authorId="0" shapeId="0" xr:uid="{DC8DF05D-8B39-42B4-9926-582D2FB0EE90}">
      <text>
        <r>
          <rPr>
            <sz val="9"/>
            <color indexed="81"/>
            <rFont val="Tahoma"/>
            <family val="2"/>
          </rPr>
          <t>EL costo del precio por metro esta generado en base a el precio mas bajo del mercado / para su rendimiento.
Ya no agregamos costo del flete porque ya esta incluido el transporte hasta nuestras bodegas.</t>
        </r>
      </text>
    </comment>
    <comment ref="R84" authorId="0" shapeId="0" xr:uid="{52DFA947-A668-4E16-AAFC-FE3C9F35FEED}">
      <text>
        <r>
          <rPr>
            <sz val="9"/>
            <color indexed="81"/>
            <rFont val="Tahoma"/>
            <family val="2"/>
          </rPr>
          <t>El costo que nos estamos llevando para el APU'S es en metro, ya que la impresión y las algunas telas nacionales también se las compra en metros.</t>
        </r>
      </text>
    </comment>
    <comment ref="T84" authorId="0" shapeId="0" xr:uid="{B136B9B9-6FD2-45D7-9D91-3A8E0508D9B4}">
      <text>
        <r>
          <rPr>
            <sz val="9"/>
            <color indexed="81"/>
            <rFont val="Tahoma"/>
            <family val="2"/>
          </rPr>
          <t>NO SE VENDE POR METRO.</t>
        </r>
      </text>
    </comment>
    <comment ref="U84" authorId="0" shapeId="0" xr:uid="{7F70E97A-6D56-4C1D-905D-EE279745F444}">
      <text>
        <r>
          <rPr>
            <sz val="9"/>
            <color indexed="81"/>
            <rFont val="Tahoma"/>
            <family val="2"/>
          </rPr>
          <t>AQUÍ REGISTRAMOS EL PRECIO que sale al mercado deacuerdo a la demanda.</t>
        </r>
      </text>
    </comment>
    <comment ref="X84" authorId="0" shapeId="0" xr:uid="{181A09E5-200B-4A18-B02C-98A504D2004D}">
      <text>
        <r>
          <rPr>
            <sz val="9"/>
            <color indexed="81"/>
            <rFont val="Tahoma"/>
            <family val="2"/>
          </rPr>
          <t>Se le coloco un formato condicionante para tener la precausión de no ingresar un valor menor al costo de importación.
El mismo que debe marcar "ERROR", en el caso que el valor de la columna U sea menor al valor de la columna R.</t>
        </r>
      </text>
    </comment>
  </commentList>
</comments>
</file>

<file path=xl/sharedStrings.xml><?xml version="1.0" encoding="utf-8"?>
<sst xmlns="http://schemas.openxmlformats.org/spreadsheetml/2006/main" count="660" uniqueCount="310">
  <si>
    <t>TEXTILERA</t>
  </si>
  <si>
    <t>BUENAÑO</t>
  </si>
  <si>
    <t>DESCRIPCION</t>
  </si>
  <si>
    <t>UNIDAD</t>
  </si>
  <si>
    <t>PRECIO UNITARIO</t>
  </si>
  <si>
    <t>DESCUENTO</t>
  </si>
  <si>
    <t>IVA 15%</t>
  </si>
  <si>
    <t>SUBTOTAL</t>
  </si>
  <si>
    <t>TELA</t>
  </si>
  <si>
    <t>TIPO</t>
  </si>
  <si>
    <t>CIERRE</t>
  </si>
  <si>
    <t>RIBB</t>
  </si>
  <si>
    <t>PADILLA</t>
  </si>
  <si>
    <t>KILOS</t>
  </si>
  <si>
    <t>ID</t>
  </si>
  <si>
    <t>M1</t>
  </si>
  <si>
    <t>M2</t>
  </si>
  <si>
    <t>M3</t>
  </si>
  <si>
    <t>YUNPAR</t>
  </si>
  <si>
    <t>M4</t>
  </si>
  <si>
    <t>M5</t>
  </si>
  <si>
    <t>M6</t>
  </si>
  <si>
    <t>M7</t>
  </si>
  <si>
    <t>CABEZAL EPSON PLOTTER 1</t>
  </si>
  <si>
    <t>CHINA</t>
  </si>
  <si>
    <t>M8</t>
  </si>
  <si>
    <t>CINTA DE PAPEL</t>
  </si>
  <si>
    <t>LOCAL</t>
  </si>
  <si>
    <t>M9</t>
  </si>
  <si>
    <t>DAMPERS</t>
  </si>
  <si>
    <t>M10</t>
  </si>
  <si>
    <t>M11</t>
  </si>
  <si>
    <t>M12</t>
  </si>
  <si>
    <t>EL BARATA</t>
  </si>
  <si>
    <t>M13</t>
  </si>
  <si>
    <t>M14</t>
  </si>
  <si>
    <t>M15</t>
  </si>
  <si>
    <t>M16</t>
  </si>
  <si>
    <t>M17</t>
  </si>
  <si>
    <t>M18</t>
  </si>
  <si>
    <t>M19</t>
  </si>
  <si>
    <t>M20</t>
  </si>
  <si>
    <t>ELASTICO</t>
  </si>
  <si>
    <t>M21</t>
  </si>
  <si>
    <t>M22</t>
  </si>
  <si>
    <t>FUNDAS</t>
  </si>
  <si>
    <t>M23</t>
  </si>
  <si>
    <t>M24</t>
  </si>
  <si>
    <t>M25</t>
  </si>
  <si>
    <t>M26</t>
  </si>
  <si>
    <t>M27</t>
  </si>
  <si>
    <t>M28</t>
  </si>
  <si>
    <t>M29</t>
  </si>
  <si>
    <t>LA CASA DEL CIERRE</t>
  </si>
  <si>
    <t>M30</t>
  </si>
  <si>
    <t>M31</t>
  </si>
  <si>
    <t>TOLEDO</t>
  </si>
  <si>
    <t>M32</t>
  </si>
  <si>
    <t>COSTO/kilo</t>
  </si>
  <si>
    <t>RINDE</t>
  </si>
  <si>
    <t>VALOR</t>
  </si>
  <si>
    <t>PUÑO</t>
  </si>
  <si>
    <t>CUELLO</t>
  </si>
  <si>
    <t>CHELSEA MIC NARANJA FOSFORESCENTE</t>
  </si>
  <si>
    <t>RIVER TEX NEGRO|COLORES</t>
  </si>
  <si>
    <t>RIBB 150TEX COLORES| POLIESTER</t>
  </si>
  <si>
    <t>PRADA LISA</t>
  </si>
  <si>
    <t>PRADA ROMBOS|CUADROS</t>
  </si>
  <si>
    <t>LIRA</t>
  </si>
  <si>
    <t>MURRAY|BLANCA</t>
  </si>
  <si>
    <t>ZIDAN</t>
  </si>
  <si>
    <t>ABIERTA</t>
  </si>
  <si>
    <t>TAPA ULISES</t>
  </si>
  <si>
    <t>GUTMAN</t>
  </si>
  <si>
    <t>ABIERTO</t>
  </si>
  <si>
    <t>DOCENA</t>
  </si>
  <si>
    <t>GEMSY</t>
  </si>
  <si>
    <t>HILO</t>
  </si>
  <si>
    <t>PELLON</t>
  </si>
  <si>
    <t>HILOS DE 10000 YDS</t>
  </si>
  <si>
    <t>ROLLO</t>
  </si>
  <si>
    <t>CAJA</t>
  </si>
  <si>
    <t>POLIN GUTMAN T4-6 |T6-8</t>
  </si>
  <si>
    <t>POLIN GUTMAN T8-10 | T10-12</t>
  </si>
  <si>
    <t>NYLON</t>
  </si>
  <si>
    <t>LINO JARUBA</t>
  </si>
  <si>
    <t>PIKE LACOAST 20 PEI CELESTE| CLARO</t>
  </si>
  <si>
    <t>PIKE LACOAST 20 PEI AZUL MARINO| OSCURO</t>
  </si>
  <si>
    <t>VIOTO PESADA BLANCA|NEGRO|NARANJA FOSFORESCENTE</t>
  </si>
  <si>
    <t>DIS.PAU</t>
  </si>
  <si>
    <t>ANCHO</t>
  </si>
  <si>
    <t>TUB./ABIERTA</t>
  </si>
  <si>
    <t>4cm</t>
  </si>
  <si>
    <t>normal</t>
  </si>
  <si>
    <t>ELASTICO LLANO NORMAL 40mm CRUDO 45metros</t>
  </si>
  <si>
    <t>PVP/metro</t>
  </si>
  <si>
    <t>1.9cm</t>
  </si>
  <si>
    <t>1cm</t>
  </si>
  <si>
    <t>CARRETE</t>
  </si>
  <si>
    <t>Reata hiladilla Po 10mm de colores + carretes plásticos de 91m</t>
  </si>
  <si>
    <t>ELASTICO LLANO REFORZADO 19mm CRUDO 45metros</t>
  </si>
  <si>
    <t>CORDON POLI RIGIDO UMBRO 20mm COLORES</t>
  </si>
  <si>
    <t>20mm</t>
  </si>
  <si>
    <t>CORDON</t>
  </si>
  <si>
    <t>8cm</t>
  </si>
  <si>
    <t>ELASTICO LLANO NORMAL 80mm CRUDO 45metros</t>
  </si>
  <si>
    <t>IMPORSOPAPEL</t>
  </si>
  <si>
    <t>A4</t>
  </si>
  <si>
    <t>HOJA</t>
  </si>
  <si>
    <t>HOJA PAPEL ADHESIVO BON A4 75GR</t>
  </si>
  <si>
    <t>LINOTEXTIL</t>
  </si>
  <si>
    <t>PLUMON</t>
  </si>
  <si>
    <t>KILO</t>
  </si>
  <si>
    <t>PLUMON (FUNDA)</t>
  </si>
  <si>
    <t>CIERRE POLIESTER 5 FIJO 18CM CAMPANA</t>
  </si>
  <si>
    <t>CIERRE POLIESTER 3 FIJO 30CM SENCILLO</t>
  </si>
  <si>
    <t>TIRA CIERRES S99 COLOR NEGRO 580 PALETA CUADRADO CORDON PUNTOS BLANCO</t>
  </si>
  <si>
    <t>Papel de Sublimación 1.12mx100mx90g</t>
  </si>
  <si>
    <t>Papel de Sublimación 1.62mx200mx70g</t>
  </si>
  <si>
    <t>Papel de Sublimación 1.62mx100mx90g</t>
  </si>
  <si>
    <t>Papel Crakf 1.62m x 1000m x 30g.</t>
  </si>
  <si>
    <t>Rollo de Galeon 150 ancho</t>
  </si>
  <si>
    <t>Tinta Jaz Negra</t>
  </si>
  <si>
    <t>Tinta Jaz Azul</t>
  </si>
  <si>
    <t>Tinta Jaz Amarilla</t>
  </si>
  <si>
    <t>Tinta Jaz Roja</t>
  </si>
  <si>
    <t>Papel de Sublimación 1.80mx200mx70g</t>
  </si>
  <si>
    <t>1.62X100</t>
  </si>
  <si>
    <t>1.62X200</t>
  </si>
  <si>
    <t>1.8X200</t>
  </si>
  <si>
    <t>1.62X1000</t>
  </si>
  <si>
    <t>PAPEL</t>
  </si>
  <si>
    <t>TINTA</t>
  </si>
  <si>
    <t>METRO</t>
  </si>
  <si>
    <t>LITRO</t>
  </si>
  <si>
    <t>MARIA RIVERA</t>
  </si>
  <si>
    <t>CIERRE POLIESTER 3 FIJO 35CM SENCILLO</t>
  </si>
  <si>
    <t>NILOTEX</t>
  </si>
  <si>
    <t>CIERRE PLASTICO 5 DESPLEGABLE 65CM</t>
  </si>
  <si>
    <t>CIERRE METAL 5 DESPLEGABLE 75CM</t>
  </si>
  <si>
    <t>CIERRE POLIESTER 5 DESPLEGABLE 70CM</t>
  </si>
  <si>
    <t>CIERRE POLIESTER 5 DESPLEGABLE 40CM</t>
  </si>
  <si>
    <t>CIERRE INVISIBLE POLIESTER 5 DESPLEGABLE 80CM</t>
  </si>
  <si>
    <t>MATEW VERA</t>
  </si>
  <si>
    <t>TUBO</t>
  </si>
  <si>
    <t>FUNDAS PARA EMPAQUETAR</t>
  </si>
  <si>
    <t>FUNDAS PARA ENTREGAR PRENDAS</t>
  </si>
  <si>
    <t>PLANCHA</t>
  </si>
  <si>
    <t>ALGODÓN ARUBA PEI AZUL MARINO| COLORES| BLANCO</t>
  </si>
  <si>
    <t>ALGODÓN DENISSE PEI AZUL MARINO |COLORES | BLANCO</t>
  </si>
  <si>
    <t>IMPRESIÓN</t>
  </si>
  <si>
    <t>IMPRESIÓN SIN DISEÑO, ANCHO 1.12mX90gsm</t>
  </si>
  <si>
    <t>IMPRESIÓN SIN DISEÑO, ANCHO 1.8X90gsm</t>
  </si>
  <si>
    <t>M44</t>
  </si>
  <si>
    <t>CIERRE POLIESTER 5 DESPLEGABLE 80CM SENCILLO</t>
  </si>
  <si>
    <t>YOMMI</t>
  </si>
  <si>
    <t>BORDADO</t>
  </si>
  <si>
    <t>BORDADO CARMEN MORA ESPALDA</t>
  </si>
  <si>
    <t>GAFETE</t>
  </si>
  <si>
    <t>TIRA DE GAFETE #3 X 24UNI.</t>
  </si>
  <si>
    <t>IMPRESIÓN SIN DISEÑO, ANCHO 1.62mX70gsm</t>
  </si>
  <si>
    <t>M33</t>
  </si>
  <si>
    <t>IMPRESIÓN SIN DISEÑO ANCHO 1.62m x 90gsm</t>
  </si>
  <si>
    <t>M34</t>
  </si>
  <si>
    <t>M35</t>
  </si>
  <si>
    <t>M36</t>
  </si>
  <si>
    <t>M37</t>
  </si>
  <si>
    <t>M38</t>
  </si>
  <si>
    <t>M39</t>
  </si>
  <si>
    <t>M40</t>
  </si>
  <si>
    <t>M41</t>
  </si>
  <si>
    <t>M42</t>
  </si>
  <si>
    <t>M45</t>
  </si>
  <si>
    <t>M47</t>
  </si>
  <si>
    <t>M43</t>
  </si>
  <si>
    <t>M46</t>
  </si>
  <si>
    <t>M48</t>
  </si>
  <si>
    <t>M49</t>
  </si>
  <si>
    <t>NICO SPORT|BLANCO</t>
  </si>
  <si>
    <t>M50</t>
  </si>
  <si>
    <t>M51</t>
  </si>
  <si>
    <t>M52</t>
  </si>
  <si>
    <t>M54</t>
  </si>
  <si>
    <t>M59</t>
  </si>
  <si>
    <t>M53</t>
  </si>
  <si>
    <t>M55</t>
  </si>
  <si>
    <t>M56</t>
  </si>
  <si>
    <t>M57</t>
  </si>
  <si>
    <t>M58</t>
  </si>
  <si>
    <t>M60</t>
  </si>
  <si>
    <t>M61</t>
  </si>
  <si>
    <t>M62</t>
  </si>
  <si>
    <t>M63</t>
  </si>
  <si>
    <t>M64</t>
  </si>
  <si>
    <t>M65</t>
  </si>
  <si>
    <t>M66</t>
  </si>
  <si>
    <t>M67</t>
  </si>
  <si>
    <t>M68</t>
  </si>
  <si>
    <t>M69</t>
  </si>
  <si>
    <t>M70</t>
  </si>
  <si>
    <t>FLEQUILLO</t>
  </si>
  <si>
    <t>M71</t>
  </si>
  <si>
    <t>FLEQUILLO 20 Yardas| 18.29m</t>
  </si>
  <si>
    <t>SUMINISTROS YUNPAR</t>
  </si>
  <si>
    <t>PVP|DOCENA |X4</t>
  </si>
  <si>
    <t>PVP|UNIDAD</t>
  </si>
  <si>
    <t>PVP KILO|PROMO</t>
  </si>
  <si>
    <t>TUBULAR</t>
  </si>
  <si>
    <t>SESGO</t>
  </si>
  <si>
    <r>
      <t xml:space="preserve">ALGODÓN INTERLOCK </t>
    </r>
    <r>
      <rPr>
        <b/>
        <sz val="11"/>
        <color theme="1"/>
        <rFont val="Calibri"/>
        <family val="2"/>
        <scheme val="minor"/>
      </rPr>
      <t>SPUN</t>
    </r>
    <r>
      <rPr>
        <sz val="11"/>
        <color theme="1"/>
        <rFont val="Calibri"/>
        <family val="2"/>
        <scheme val="minor"/>
      </rPr>
      <t xml:space="preserve"> 30 BLANCO FROZEN</t>
    </r>
  </si>
  <si>
    <t>CANTIDAD METROS/KILO</t>
  </si>
  <si>
    <t>COSTO X Metro + TRANSPORTE</t>
  </si>
  <si>
    <t>M72</t>
  </si>
  <si>
    <t>DSS</t>
  </si>
  <si>
    <t>CABEZAL</t>
  </si>
  <si>
    <t>CINTA</t>
  </si>
  <si>
    <t>M73</t>
  </si>
  <si>
    <t>3cm</t>
  </si>
  <si>
    <t>CINTA REFLECTIVA DE 3cm de anchox1m</t>
  </si>
  <si>
    <t>M74</t>
  </si>
  <si>
    <t>M75</t>
  </si>
  <si>
    <t>NORMAL</t>
  </si>
  <si>
    <t>1.12X100</t>
  </si>
  <si>
    <t>CINTA TERMICA</t>
  </si>
  <si>
    <t>ETIQUETA</t>
  </si>
  <si>
    <t>BOTON</t>
  </si>
  <si>
    <t>REATA</t>
  </si>
  <si>
    <t>ALMACENES JOSÉ PUEBLA</t>
  </si>
  <si>
    <t>Ribb Lugano 100% POLIESTER</t>
  </si>
  <si>
    <t>POLIN</t>
  </si>
  <si>
    <t>Ribb Acanalado color negro POLIALGODON</t>
  </si>
  <si>
    <t>58cm</t>
  </si>
  <si>
    <t>ETIQUETAS DTF MARCA 2X5cm</t>
  </si>
  <si>
    <t>ETIQUETAS DTF TALLA 5.5x2cm</t>
  </si>
  <si>
    <t>M76</t>
  </si>
  <si>
    <t>BORDADO EN EL PECHO VARIOS COLORES</t>
  </si>
  <si>
    <t>BOTON DE CAMISA 2 HUECOS</t>
  </si>
  <si>
    <t>PELLON PEGABLE FINO 70GSM|150cmX100m</t>
  </si>
  <si>
    <t>UNIDAD HOMOLOGADAS</t>
  </si>
  <si>
    <t>INSUMOS</t>
  </si>
  <si>
    <t>PUÑOS20 PEI|NEGRO AZABACHE Y MAS.</t>
  </si>
  <si>
    <t>CUELLOS20 PEI|NEGRO AZABACHE Y MAS.</t>
  </si>
  <si>
    <t>M77</t>
  </si>
  <si>
    <t>DTF EL METRO 58cm X 1m</t>
  </si>
  <si>
    <t>M78</t>
  </si>
  <si>
    <t>PIEL DE DURAZNO</t>
  </si>
  <si>
    <t>DON EDDY</t>
  </si>
  <si>
    <t>D2002 Rollo Ernest 1.70m x 140gr</t>
  </si>
  <si>
    <t>D2008 Rollo Jersy Spandex 1.80m x 275gr</t>
  </si>
  <si>
    <t>D2006 Rollo Panal 1.70m x 160gr</t>
  </si>
  <si>
    <t>D2003 Rollo Pike Deportivo 1.70m x 160gr</t>
  </si>
  <si>
    <t>M79</t>
  </si>
  <si>
    <t>RESMA PAPEL DE SUBLIMACIÓN A4 75GR</t>
  </si>
  <si>
    <t>POR METRO</t>
  </si>
  <si>
    <t>10 METROS</t>
  </si>
  <si>
    <t>20 METROS</t>
  </si>
  <si>
    <t>MAS DE 3</t>
  </si>
  <si>
    <t>MAS DE 10</t>
  </si>
  <si>
    <t>MAS DE 4</t>
  </si>
  <si>
    <t>NN</t>
  </si>
  <si>
    <t>PRADA ROMBOS</t>
  </si>
  <si>
    <t>INTERLOCK SPUN</t>
  </si>
  <si>
    <t>CHELSEA 1.2</t>
  </si>
  <si>
    <t>LINO</t>
  </si>
  <si>
    <t>NICO</t>
  </si>
  <si>
    <t>MURRAY</t>
  </si>
  <si>
    <t>TAPA</t>
  </si>
  <si>
    <t>PIKE OSCURO</t>
  </si>
  <si>
    <t>ALGODÓN 1.2</t>
  </si>
  <si>
    <t>ALGODÓN 90cm</t>
  </si>
  <si>
    <t>PIKE CLARO</t>
  </si>
  <si>
    <t>RIVER</t>
  </si>
  <si>
    <t>GALEON</t>
  </si>
  <si>
    <t>ERNEST</t>
  </si>
  <si>
    <t>RIBB ACANALADO</t>
  </si>
  <si>
    <t>RIBB LUGANO</t>
  </si>
  <si>
    <t>RIBB POLIESTER</t>
  </si>
  <si>
    <t>JERSEY</t>
  </si>
  <si>
    <t>PANAL</t>
  </si>
  <si>
    <t>PIKE DEPORTIVO</t>
  </si>
  <si>
    <t>VIOTO</t>
  </si>
  <si>
    <t>DURAZNO</t>
  </si>
  <si>
    <t>SPUN MEDIO</t>
  </si>
  <si>
    <r>
      <t xml:space="preserve">INTERLOCK 40 </t>
    </r>
    <r>
      <rPr>
        <b/>
        <sz val="11"/>
        <color theme="1"/>
        <rFont val="Calibri"/>
        <family val="2"/>
        <scheme val="minor"/>
      </rPr>
      <t>SPUN</t>
    </r>
    <r>
      <rPr>
        <sz val="11"/>
        <color theme="1"/>
        <rFont val="Calibri"/>
        <family val="2"/>
        <scheme val="minor"/>
      </rPr>
      <t xml:space="preserve"> 1.2 BLANCO FROZEN</t>
    </r>
  </si>
  <si>
    <t>5KILOS</t>
  </si>
  <si>
    <t>10 KILOS</t>
  </si>
  <si>
    <t>ENVIO= $ 2</t>
  </si>
  <si>
    <t>ENVIO= $ 3</t>
  </si>
  <si>
    <t>CALANDRADO</t>
  </si>
  <si>
    <t>SERVICIO</t>
  </si>
  <si>
    <t>50 METROS</t>
  </si>
  <si>
    <t>100 METROS</t>
  </si>
  <si>
    <t>IMPRESIÓN+CALANDRA+ TELA ERNEST (juventus)</t>
  </si>
  <si>
    <t>SERVICIO ICTE</t>
  </si>
  <si>
    <t>100METROS</t>
  </si>
  <si>
    <t>1 METRO</t>
  </si>
  <si>
    <t>SERVICIO ICTP</t>
  </si>
  <si>
    <t>IMPRESIÓN+CALANDRA+ TELA PANAL (sevilla)</t>
  </si>
  <si>
    <t>SERVICIO ICTJ</t>
  </si>
  <si>
    <t>IMPRESIÓN+CALANDRA+ TELA JERSEY (LICRA)</t>
  </si>
  <si>
    <t>SERVICIO ICTG</t>
  </si>
  <si>
    <t>IMPRESIÓN+CALANDRA+ TELA GALEON (banderas)</t>
  </si>
  <si>
    <t>JUVENTUS MIC BLANCO OPTICO</t>
  </si>
  <si>
    <t>PVP 100m</t>
  </si>
  <si>
    <t>Diferencia</t>
  </si>
  <si>
    <t>PVP COSTO DE INSUMOS</t>
  </si>
  <si>
    <t>M80</t>
  </si>
  <si>
    <t>D2003 Rollo Pike Deportivo BLACK 1.70m x 160gr</t>
  </si>
  <si>
    <t>SESGO ANCHO CUELLO|SISA EN TELA ERNEST 1.7 ABIERTA</t>
  </si>
  <si>
    <t>COSTO UNIDAD KL + TRANSPORTE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</si>
</sst>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0.00_ ;_ &quot;$&quot;* \-#,##0.00_ ;_ &quot;$&quot;* &quot;-&quot;??_ ;_ @_ "/>
    <numFmt numFmtId="43" formatCode="_ * #,##0.00_ ;_ * \-#,##0.00_ ;_ * &quot;-&quot;??_ ;_ @_ "/>
  </numFmts>
  <fonts count="12" x14ac:knownFonts="1">
    <font>
      <sz val="11"/>
      <color theme="1"/>
      <name val="Calibri"/>
      <family val="2"/>
      <scheme val="minor"/>
    </font>
    <font>
      <b/>
      <sz val="11"/>
      <color theme="1"/>
      <name val="Calibri"/>
      <family val="2"/>
      <scheme val="minor"/>
    </font>
    <font>
      <b/>
      <sz val="20"/>
      <color theme="1"/>
      <name val="Calibri"/>
      <family val="2"/>
      <scheme val="minor"/>
    </font>
    <font>
      <sz val="9"/>
      <color indexed="81"/>
      <name val="Tahoma"/>
      <family val="2"/>
    </font>
    <font>
      <b/>
      <sz val="9"/>
      <color indexed="81"/>
      <name val="Tahoma"/>
      <family val="2"/>
    </font>
    <font>
      <sz val="8"/>
      <name val="Calibri"/>
      <family val="2"/>
      <scheme val="minor"/>
    </font>
    <font>
      <sz val="11"/>
      <color rgb="FFFF0000"/>
      <name val="Calibri"/>
      <family val="2"/>
      <scheme val="minor"/>
    </font>
    <font>
      <b/>
      <sz val="11"/>
      <name val="Calibri"/>
      <family val="2"/>
      <scheme val="minor"/>
    </font>
    <font>
      <sz val="11"/>
      <name val="Calibri"/>
      <family val="2"/>
      <scheme val="minor"/>
    </font>
    <font>
      <b/>
      <sz val="30"/>
      <color rgb="FF0070C0"/>
      <name val="Calibri"/>
      <family val="2"/>
      <scheme val="minor"/>
    </font>
    <font>
      <b/>
      <sz val="11"/>
      <color theme="0"/>
      <name val="Calibri"/>
      <family val="2"/>
      <scheme val="minor"/>
    </font>
    <font>
      <sz val="11"/>
      <color theme="0" tint="-4.9989318521683403E-2"/>
      <name val="Calibri"/>
      <family val="2"/>
      <scheme val="minor"/>
    </font>
  </fonts>
  <fills count="24">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99FFCC"/>
        <bgColor indexed="64"/>
      </patternFill>
    </fill>
    <fill>
      <patternFill patternType="solid">
        <fgColor rgb="FFFFCCFF"/>
        <bgColor indexed="64"/>
      </patternFill>
    </fill>
    <fill>
      <patternFill patternType="solid">
        <fgColor rgb="FFFFFF6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CCCCFF"/>
        <bgColor indexed="64"/>
      </patternFill>
    </fill>
    <fill>
      <patternFill patternType="solid">
        <fgColor rgb="FFCCFF99"/>
        <bgColor indexed="64"/>
      </patternFill>
    </fill>
    <fill>
      <patternFill patternType="solid">
        <fgColor rgb="FFFFCC99"/>
        <bgColor indexed="64"/>
      </patternFill>
    </fill>
    <fill>
      <patternFill patternType="solid">
        <fgColor rgb="FF993366"/>
        <bgColor indexed="64"/>
      </patternFill>
    </fill>
    <fill>
      <patternFill patternType="solid">
        <fgColor rgb="FFCCFF66"/>
        <bgColor indexed="64"/>
      </patternFill>
    </fill>
    <fill>
      <patternFill patternType="solid">
        <fgColor rgb="FFFF0000"/>
        <bgColor indexed="64"/>
      </patternFill>
    </fill>
    <fill>
      <patternFill patternType="solid">
        <fgColor rgb="FF00B0F0"/>
        <bgColor indexed="64"/>
      </patternFill>
    </fill>
    <fill>
      <patternFill patternType="solid">
        <fgColor rgb="FFFF993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311">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4" fontId="0" fillId="0" borderId="0" xfId="0" applyNumberFormat="1"/>
    <xf numFmtId="4" fontId="1" fillId="0" borderId="0" xfId="0" applyNumberFormat="1" applyFont="1" applyAlignment="1">
      <alignment horizontal="center" vertical="center"/>
    </xf>
    <xf numFmtId="4" fontId="1" fillId="0" borderId="0" xfId="0" applyNumberFormat="1" applyFont="1" applyAlignment="1">
      <alignment horizontal="center" vertical="center" wrapText="1"/>
    </xf>
    <xf numFmtId="4" fontId="0" fillId="2" borderId="0" xfId="0" applyNumberFormat="1" applyFill="1" applyAlignment="1">
      <alignment horizontal="center" vertical="center"/>
    </xf>
    <xf numFmtId="4" fontId="0" fillId="0" borderId="0" xfId="0" applyNumberFormat="1" applyAlignment="1">
      <alignment horizontal="center" vertical="center"/>
    </xf>
    <xf numFmtId="4" fontId="0" fillId="0" borderId="1" xfId="0" applyNumberFormat="1" applyBorder="1" applyAlignment="1">
      <alignment horizontal="center" vertical="center"/>
    </xf>
    <xf numFmtId="0" fontId="1" fillId="3" borderId="0" xfId="0" applyFont="1" applyFill="1" applyAlignment="1">
      <alignment horizontal="center" vertical="center"/>
    </xf>
    <xf numFmtId="4" fontId="0" fillId="4" borderId="1" xfId="0" applyNumberFormat="1" applyFill="1" applyBorder="1" applyAlignment="1">
      <alignment horizontal="center" vertical="center"/>
    </xf>
    <xf numFmtId="4" fontId="0" fillId="4" borderId="0" xfId="0" applyNumberFormat="1" applyFill="1" applyAlignment="1">
      <alignment horizontal="center" vertical="center"/>
    </xf>
    <xf numFmtId="4" fontId="1" fillId="4" borderId="0" xfId="0" applyNumberFormat="1" applyFont="1" applyFill="1" applyAlignment="1">
      <alignment horizontal="center" vertical="center"/>
    </xf>
    <xf numFmtId="4" fontId="1" fillId="2" borderId="0" xfId="0" applyNumberFormat="1" applyFont="1" applyFill="1" applyAlignment="1">
      <alignment horizontal="center" vertical="center" wrapText="1"/>
    </xf>
    <xf numFmtId="0" fontId="1" fillId="5" borderId="0" xfId="0" applyFont="1" applyFill="1" applyAlignment="1">
      <alignment horizontal="center" vertical="center"/>
    </xf>
    <xf numFmtId="4" fontId="0" fillId="5" borderId="0" xfId="0" applyNumberFormat="1" applyFill="1" applyAlignment="1">
      <alignment horizontal="center" vertical="center"/>
    </xf>
    <xf numFmtId="4" fontId="0" fillId="5" borderId="1" xfId="0" applyNumberFormat="1" applyFill="1" applyBorder="1" applyAlignment="1">
      <alignment horizontal="center" vertical="center"/>
    </xf>
    <xf numFmtId="4" fontId="1" fillId="2" borderId="0" xfId="0" applyNumberFormat="1" applyFont="1" applyFill="1" applyAlignment="1">
      <alignment horizontal="center" vertical="center"/>
    </xf>
    <xf numFmtId="44" fontId="1" fillId="0" borderId="0" xfId="0" applyNumberFormat="1" applyFont="1" applyAlignment="1">
      <alignment horizontal="center" vertical="center"/>
    </xf>
    <xf numFmtId="44" fontId="0" fillId="0" borderId="1" xfId="0" applyNumberFormat="1" applyBorder="1" applyAlignment="1">
      <alignment horizontal="center" vertical="center"/>
    </xf>
    <xf numFmtId="44" fontId="0" fillId="0" borderId="0" xfId="0" applyNumberFormat="1" applyAlignment="1">
      <alignment horizontal="center" vertical="center"/>
    </xf>
    <xf numFmtId="0" fontId="0" fillId="0" borderId="1" xfId="0" applyBorder="1"/>
    <xf numFmtId="4" fontId="1" fillId="0" borderId="0" xfId="0" applyNumberFormat="1" applyFont="1" applyAlignment="1">
      <alignment horizontal="right" vertical="center"/>
    </xf>
    <xf numFmtId="4" fontId="0" fillId="0" borderId="0" xfId="0" applyNumberFormat="1" applyAlignment="1">
      <alignment horizontal="right"/>
    </xf>
    <xf numFmtId="4" fontId="0" fillId="0" borderId="1" xfId="0" applyNumberFormat="1" applyBorder="1" applyAlignment="1">
      <alignment horizontal="right"/>
    </xf>
    <xf numFmtId="43" fontId="0" fillId="0" borderId="0" xfId="0" applyNumberFormat="1" applyAlignment="1">
      <alignment horizontal="center" vertical="center"/>
    </xf>
    <xf numFmtId="0" fontId="1" fillId="0" borderId="1" xfId="0" applyFont="1" applyBorder="1" applyAlignment="1">
      <alignment horizontal="center" vertical="center"/>
    </xf>
    <xf numFmtId="4" fontId="1" fillId="0" borderId="1" xfId="0" applyNumberFormat="1" applyFont="1" applyBorder="1" applyAlignment="1">
      <alignment horizontal="right"/>
    </xf>
    <xf numFmtId="4" fontId="0" fillId="2" borderId="1" xfId="0" applyNumberFormat="1" applyFill="1" applyBorder="1" applyAlignment="1">
      <alignment horizontal="center" vertical="center"/>
    </xf>
    <xf numFmtId="0" fontId="0" fillId="9" borderId="1" xfId="0" applyFill="1" applyBorder="1" applyAlignment="1">
      <alignment horizontal="center" vertical="center"/>
    </xf>
    <xf numFmtId="4" fontId="0" fillId="9" borderId="1" xfId="0" applyNumberFormat="1" applyFill="1" applyBorder="1" applyAlignment="1">
      <alignment horizontal="center" vertical="center"/>
    </xf>
    <xf numFmtId="4" fontId="0" fillId="9" borderId="1" xfId="0" applyNumberFormat="1" applyFill="1" applyBorder="1"/>
    <xf numFmtId="4" fontId="0" fillId="9" borderId="1" xfId="0" applyNumberFormat="1" applyFill="1" applyBorder="1" applyAlignment="1">
      <alignment horizontal="right"/>
    </xf>
    <xf numFmtId="0" fontId="0" fillId="8" borderId="1" xfId="0" applyFill="1" applyBorder="1"/>
    <xf numFmtId="0" fontId="0" fillId="7" borderId="1" xfId="0" applyFill="1" applyBorder="1" applyAlignment="1">
      <alignment horizontal="center" vertical="center"/>
    </xf>
    <xf numFmtId="44" fontId="0" fillId="7" borderId="1" xfId="0" applyNumberFormat="1" applyFill="1" applyBorder="1" applyAlignment="1">
      <alignment horizontal="center" vertical="center"/>
    </xf>
    <xf numFmtId="4" fontId="0" fillId="7" borderId="1" xfId="0" applyNumberFormat="1" applyFill="1" applyBorder="1" applyAlignment="1">
      <alignment horizontal="center" vertical="center"/>
    </xf>
    <xf numFmtId="0" fontId="0" fillId="7" borderId="1" xfId="0" applyFill="1" applyBorder="1"/>
    <xf numFmtId="4" fontId="0" fillId="7" borderId="1" xfId="0" applyNumberFormat="1" applyFill="1" applyBorder="1" applyAlignment="1">
      <alignment horizontal="right"/>
    </xf>
    <xf numFmtId="0" fontId="2" fillId="6" borderId="0" xfId="0" applyFont="1" applyFill="1" applyAlignment="1">
      <alignment vertical="center"/>
    </xf>
    <xf numFmtId="0" fontId="1" fillId="9"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7" borderId="1" xfId="0" applyFont="1" applyFill="1" applyBorder="1" applyAlignment="1">
      <alignment horizontal="center" vertical="center"/>
    </xf>
    <xf numFmtId="0" fontId="2" fillId="6" borderId="0" xfId="0" applyFont="1" applyFill="1" applyAlignment="1">
      <alignment horizontal="center" vertical="center"/>
    </xf>
    <xf numFmtId="0" fontId="2" fillId="6" borderId="0" xfId="0" applyFont="1" applyFill="1" applyAlignment="1">
      <alignment horizontal="left" vertical="center"/>
    </xf>
    <xf numFmtId="0" fontId="1" fillId="0" borderId="0" xfId="0" applyFont="1" applyAlignment="1">
      <alignment horizontal="left" vertical="center"/>
    </xf>
    <xf numFmtId="0" fontId="0" fillId="7" borderId="1" xfId="0" applyFill="1" applyBorder="1" applyAlignment="1">
      <alignment horizontal="left" vertical="center"/>
    </xf>
    <xf numFmtId="0" fontId="0" fillId="0" borderId="1" xfId="0" applyBorder="1" applyAlignment="1">
      <alignment horizontal="left" vertical="center"/>
    </xf>
    <xf numFmtId="0" fontId="0" fillId="9" borderId="1" xfId="0" applyFill="1" applyBorder="1" applyAlignment="1">
      <alignment horizontal="left" vertical="center"/>
    </xf>
    <xf numFmtId="0" fontId="0" fillId="0" borderId="0" xfId="0"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left" vertical="center"/>
    </xf>
    <xf numFmtId="44" fontId="0" fillId="2" borderId="1" xfId="0" applyNumberFormat="1" applyFill="1" applyBorder="1" applyAlignment="1">
      <alignment horizontal="center" vertical="center"/>
    </xf>
    <xf numFmtId="4" fontId="0" fillId="2" borderId="1" xfId="0" applyNumberFormat="1" applyFill="1" applyBorder="1" applyAlignment="1">
      <alignment horizontal="right"/>
    </xf>
    <xf numFmtId="0" fontId="0" fillId="2" borderId="1" xfId="0" applyFill="1" applyBorder="1"/>
    <xf numFmtId="4" fontId="1" fillId="0" borderId="1" xfId="0" applyNumberFormat="1" applyFont="1" applyBorder="1" applyAlignment="1">
      <alignment horizontal="center" vertical="center"/>
    </xf>
    <xf numFmtId="4" fontId="0" fillId="6" borderId="0" xfId="0" applyNumberFormat="1" applyFill="1" applyAlignment="1">
      <alignment horizontal="center" vertical="center"/>
    </xf>
    <xf numFmtId="4" fontId="1" fillId="6" borderId="0" xfId="0" applyNumberFormat="1" applyFont="1" applyFill="1" applyAlignment="1">
      <alignment horizontal="center" vertical="center" wrapText="1"/>
    </xf>
    <xf numFmtId="4" fontId="0" fillId="6" borderId="4" xfId="0" applyNumberFormat="1" applyFill="1" applyBorder="1" applyAlignment="1">
      <alignment horizontal="center"/>
    </xf>
    <xf numFmtId="4" fontId="0" fillId="6" borderId="0" xfId="0" applyNumberFormat="1" applyFill="1" applyAlignment="1">
      <alignment horizontal="center"/>
    </xf>
    <xf numFmtId="0" fontId="1" fillId="0" borderId="0" xfId="0" applyFont="1" applyAlignment="1">
      <alignment horizontal="center" vertical="center" wrapText="1"/>
    </xf>
    <xf numFmtId="0" fontId="0" fillId="10" borderId="0" xfId="0" applyFill="1"/>
    <xf numFmtId="4" fontId="0" fillId="7" borderId="1" xfId="0" applyNumberFormat="1" applyFill="1" applyBorder="1"/>
    <xf numFmtId="0" fontId="0" fillId="6" borderId="0" xfId="0" applyFill="1" applyAlignment="1">
      <alignment horizontal="center" vertical="center"/>
    </xf>
    <xf numFmtId="0" fontId="1" fillId="11" borderId="1" xfId="0" applyFont="1"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applyAlignment="1">
      <alignment horizontal="left" vertical="center"/>
    </xf>
    <xf numFmtId="44" fontId="0" fillId="11" borderId="1" xfId="0" applyNumberFormat="1" applyFill="1" applyBorder="1" applyAlignment="1">
      <alignment horizontal="center" vertical="center"/>
    </xf>
    <xf numFmtId="4" fontId="0" fillId="11" borderId="1" xfId="0" applyNumberFormat="1" applyFill="1" applyBorder="1" applyAlignment="1">
      <alignment horizontal="center" vertical="center"/>
    </xf>
    <xf numFmtId="4" fontId="0" fillId="11" borderId="1" xfId="0" applyNumberFormat="1" applyFill="1" applyBorder="1" applyAlignment="1">
      <alignment horizontal="right"/>
    </xf>
    <xf numFmtId="0" fontId="0" fillId="11" borderId="1" xfId="0" applyFill="1" applyBorder="1"/>
    <xf numFmtId="4" fontId="0" fillId="11" borderId="1" xfId="0" applyNumberFormat="1" applyFill="1" applyBorder="1"/>
    <xf numFmtId="4" fontId="8" fillId="6" borderId="4" xfId="0" applyNumberFormat="1" applyFont="1" applyFill="1" applyBorder="1" applyAlignment="1">
      <alignment horizontal="center"/>
    </xf>
    <xf numFmtId="0" fontId="7" fillId="0" borderId="1" xfId="0" applyFont="1" applyBorder="1" applyAlignment="1">
      <alignment horizontal="center" vertical="center"/>
    </xf>
    <xf numFmtId="0" fontId="8" fillId="0" borderId="0" xfId="0" applyFont="1"/>
    <xf numFmtId="43" fontId="2" fillId="6" borderId="0" xfId="0" applyNumberFormat="1" applyFont="1" applyFill="1" applyAlignment="1">
      <alignment horizontal="right" vertical="center"/>
    </xf>
    <xf numFmtId="43" fontId="0" fillId="0" borderId="0" xfId="0" applyNumberFormat="1" applyAlignment="1">
      <alignment horizontal="right" vertical="center"/>
    </xf>
    <xf numFmtId="43" fontId="0" fillId="9" borderId="1" xfId="0" applyNumberFormat="1" applyFill="1" applyBorder="1" applyAlignment="1">
      <alignment horizontal="right"/>
    </xf>
    <xf numFmtId="43" fontId="0" fillId="11" borderId="1" xfId="0" applyNumberFormat="1" applyFill="1" applyBorder="1" applyAlignment="1">
      <alignment horizontal="right"/>
    </xf>
    <xf numFmtId="43" fontId="0" fillId="7" borderId="1" xfId="0" applyNumberFormat="1" applyFill="1" applyBorder="1" applyAlignment="1">
      <alignment horizontal="right" vertical="center"/>
    </xf>
    <xf numFmtId="43" fontId="0" fillId="7" borderId="1" xfId="0" applyNumberFormat="1" applyFill="1" applyBorder="1" applyAlignment="1">
      <alignment horizontal="right"/>
    </xf>
    <xf numFmtId="43" fontId="0" fillId="0" borderId="0" xfId="0" applyNumberFormat="1" applyAlignment="1">
      <alignment horizontal="right"/>
    </xf>
    <xf numFmtId="4" fontId="0" fillId="0" borderId="3" xfId="0" applyNumberFormat="1" applyBorder="1" applyAlignment="1">
      <alignment horizontal="center" vertical="center"/>
    </xf>
    <xf numFmtId="4" fontId="0" fillId="0" borderId="5" xfId="0" applyNumberFormat="1" applyBorder="1" applyAlignment="1">
      <alignment horizontal="center" vertical="center"/>
    </xf>
    <xf numFmtId="4" fontId="0" fillId="0" borderId="4" xfId="0" applyNumberFormat="1" applyBorder="1" applyAlignment="1">
      <alignment horizontal="center" vertical="center"/>
    </xf>
    <xf numFmtId="43" fontId="0" fillId="0" borderId="3" xfId="0" applyNumberFormat="1" applyBorder="1" applyAlignment="1">
      <alignment horizontal="right" vertical="center"/>
    </xf>
    <xf numFmtId="4" fontId="0" fillId="0" borderId="4" xfId="0" applyNumberFormat="1" applyBorder="1" applyAlignment="1">
      <alignment horizontal="right"/>
    </xf>
    <xf numFmtId="4" fontId="0" fillId="0" borderId="1" xfId="0" applyNumberFormat="1" applyBorder="1"/>
    <xf numFmtId="0" fontId="8" fillId="0" borderId="1" xfId="0" applyFont="1" applyBorder="1" applyAlignment="1">
      <alignment horizontal="center" vertical="center"/>
    </xf>
    <xf numFmtId="0" fontId="8" fillId="0" borderId="1" xfId="0" applyFont="1" applyBorder="1" applyAlignment="1">
      <alignment horizontal="left" vertical="center"/>
    </xf>
    <xf numFmtId="44" fontId="8"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8" fillId="0" borderId="4" xfId="0" applyNumberFormat="1" applyFont="1" applyBorder="1" applyAlignment="1">
      <alignment horizontal="center" vertical="center"/>
    </xf>
    <xf numFmtId="43" fontId="8" fillId="0" borderId="1" xfId="0" applyNumberFormat="1" applyFont="1" applyBorder="1" applyAlignment="1">
      <alignment horizontal="right"/>
    </xf>
    <xf numFmtId="4" fontId="8" fillId="0" borderId="1" xfId="0" applyNumberFormat="1" applyFont="1" applyBorder="1" applyAlignment="1">
      <alignment horizontal="right"/>
    </xf>
    <xf numFmtId="4" fontId="8" fillId="0" borderId="1" xfId="0" applyNumberFormat="1" applyFont="1" applyBorder="1"/>
    <xf numFmtId="4" fontId="1" fillId="2" borderId="2" xfId="0" applyNumberFormat="1" applyFont="1" applyFill="1" applyBorder="1" applyAlignment="1">
      <alignment horizontal="center" vertical="center" wrapText="1"/>
    </xf>
    <xf numFmtId="4" fontId="0" fillId="12" borderId="0" xfId="0" applyNumberFormat="1" applyFill="1" applyAlignment="1">
      <alignment horizontal="center" vertical="center"/>
    </xf>
    <xf numFmtId="4" fontId="1" fillId="12" borderId="0" xfId="0" applyNumberFormat="1" applyFont="1" applyFill="1" applyAlignment="1">
      <alignment horizontal="center" vertical="center" wrapText="1"/>
    </xf>
    <xf numFmtId="4" fontId="0" fillId="12" borderId="1" xfId="0" applyNumberFormat="1" applyFill="1" applyBorder="1" applyAlignment="1">
      <alignment horizontal="center" vertical="center"/>
    </xf>
    <xf numFmtId="4" fontId="8" fillId="12" borderId="1" xfId="0" applyNumberFormat="1" applyFont="1" applyFill="1" applyBorder="1" applyAlignment="1">
      <alignment horizontal="center" vertical="center"/>
    </xf>
    <xf numFmtId="43" fontId="0" fillId="12" borderId="1" xfId="0" applyNumberFormat="1" applyFill="1" applyBorder="1" applyAlignment="1">
      <alignment horizontal="left" vertical="center"/>
    </xf>
    <xf numFmtId="0" fontId="2" fillId="12" borderId="0" xfId="0" applyFont="1" applyFill="1" applyAlignment="1">
      <alignment horizontal="center" vertical="center"/>
    </xf>
    <xf numFmtId="0" fontId="2" fillId="4" borderId="0" xfId="0" applyFont="1" applyFill="1" applyAlignment="1">
      <alignment vertical="center"/>
    </xf>
    <xf numFmtId="4" fontId="1" fillId="4" borderId="1" xfId="0" applyNumberFormat="1" applyFont="1" applyFill="1" applyBorder="1" applyAlignment="1">
      <alignment horizontal="center" vertical="center"/>
    </xf>
    <xf numFmtId="4" fontId="8" fillId="4" borderId="1" xfId="0" applyNumberFormat="1" applyFont="1" applyFill="1" applyBorder="1" applyAlignment="1">
      <alignment horizontal="center" vertical="center"/>
    </xf>
    <xf numFmtId="43" fontId="0" fillId="0" borderId="1" xfId="0" applyNumberFormat="1" applyBorder="1" applyAlignment="1">
      <alignment horizontal="right" vertical="center"/>
    </xf>
    <xf numFmtId="43" fontId="0" fillId="0" borderId="1" xfId="0" applyNumberFormat="1" applyBorder="1" applyAlignment="1">
      <alignment horizontal="right"/>
    </xf>
    <xf numFmtId="4" fontId="0" fillId="0" borderId="1" xfId="0" applyNumberFormat="1" applyBorder="1" applyAlignment="1">
      <alignment horizontal="right" vertical="center"/>
    </xf>
    <xf numFmtId="0" fontId="0" fillId="0" borderId="1" xfId="0" applyBorder="1" applyAlignment="1">
      <alignment horizontal="left" vertical="center" wrapText="1"/>
    </xf>
    <xf numFmtId="0" fontId="1" fillId="13" borderId="1" xfId="0" applyFont="1" applyFill="1" applyBorder="1" applyAlignment="1">
      <alignment horizontal="center" vertical="center"/>
    </xf>
    <xf numFmtId="0" fontId="0" fillId="13" borderId="1" xfId="0" applyFill="1" applyBorder="1" applyAlignment="1">
      <alignment horizontal="center" vertical="center"/>
    </xf>
    <xf numFmtId="0" fontId="0" fillId="13" borderId="1" xfId="0" applyFill="1" applyBorder="1" applyAlignment="1">
      <alignment horizontal="left" vertical="center"/>
    </xf>
    <xf numFmtId="44" fontId="0" fillId="13" borderId="1" xfId="0" applyNumberFormat="1" applyFill="1" applyBorder="1" applyAlignment="1">
      <alignment horizontal="center" vertical="center"/>
    </xf>
    <xf numFmtId="4" fontId="0" fillId="13" borderId="1" xfId="0" applyNumberFormat="1" applyFill="1" applyBorder="1" applyAlignment="1">
      <alignment horizontal="center" vertical="center"/>
    </xf>
    <xf numFmtId="43" fontId="0" fillId="13" borderId="1" xfId="0" applyNumberFormat="1" applyFill="1" applyBorder="1" applyAlignment="1">
      <alignment horizontal="right"/>
    </xf>
    <xf numFmtId="4" fontId="8" fillId="13" borderId="4" xfId="0" applyNumberFormat="1" applyFont="1" applyFill="1" applyBorder="1" applyAlignment="1">
      <alignment horizontal="center"/>
    </xf>
    <xf numFmtId="4" fontId="0" fillId="13" borderId="1" xfId="0" applyNumberFormat="1" applyFill="1" applyBorder="1" applyAlignment="1">
      <alignment horizontal="right"/>
    </xf>
    <xf numFmtId="4" fontId="0" fillId="13" borderId="1" xfId="0" applyNumberFormat="1" applyFill="1" applyBorder="1"/>
    <xf numFmtId="0" fontId="0" fillId="13" borderId="0" xfId="0" applyFill="1" applyAlignment="1">
      <alignment horizontal="center" vertical="center"/>
    </xf>
    <xf numFmtId="0" fontId="0" fillId="13" borderId="0" xfId="0" applyFill="1"/>
    <xf numFmtId="0" fontId="0" fillId="13" borderId="1" xfId="0" applyFill="1" applyBorder="1"/>
    <xf numFmtId="4" fontId="0" fillId="11" borderId="3" xfId="0" applyNumberFormat="1" applyFill="1" applyBorder="1" applyAlignment="1">
      <alignment horizontal="center" vertical="center"/>
    </xf>
    <xf numFmtId="4" fontId="0" fillId="13" borderId="3" xfId="0" applyNumberFormat="1" applyFill="1" applyBorder="1" applyAlignment="1">
      <alignment horizontal="center" vertical="center"/>
    </xf>
    <xf numFmtId="4" fontId="0" fillId="11" borderId="5" xfId="0" applyNumberFormat="1" applyFill="1" applyBorder="1" applyAlignment="1">
      <alignment horizontal="center" vertical="center"/>
    </xf>
    <xf numFmtId="4" fontId="0" fillId="11" borderId="4" xfId="0" applyNumberFormat="1" applyFill="1" applyBorder="1" applyAlignment="1">
      <alignment horizontal="center" vertical="center"/>
    </xf>
    <xf numFmtId="4" fontId="0" fillId="13" borderId="4" xfId="0" applyNumberFormat="1" applyFill="1" applyBorder="1" applyAlignment="1">
      <alignment horizontal="center" vertical="center"/>
    </xf>
    <xf numFmtId="4" fontId="0" fillId="9" borderId="4" xfId="0" applyNumberFormat="1" applyFill="1" applyBorder="1" applyAlignment="1">
      <alignment horizontal="center" vertical="center"/>
    </xf>
    <xf numFmtId="4" fontId="0" fillId="7" borderId="4" xfId="0" applyNumberFormat="1" applyFill="1" applyBorder="1" applyAlignment="1">
      <alignment horizontal="center" vertical="center"/>
    </xf>
    <xf numFmtId="43" fontId="0" fillId="11" borderId="3" xfId="0" applyNumberFormat="1" applyFill="1" applyBorder="1" applyAlignment="1">
      <alignment horizontal="right"/>
    </xf>
    <xf numFmtId="43" fontId="0" fillId="13" borderId="3" xfId="0" applyNumberFormat="1" applyFill="1" applyBorder="1" applyAlignment="1">
      <alignment horizontal="right"/>
    </xf>
    <xf numFmtId="4" fontId="1" fillId="11" borderId="4" xfId="0" applyNumberFormat="1" applyFont="1" applyFill="1" applyBorder="1" applyAlignment="1">
      <alignment horizontal="right"/>
    </xf>
    <xf numFmtId="4" fontId="8" fillId="0" borderId="0" xfId="0" applyNumberFormat="1" applyFont="1" applyAlignment="1">
      <alignment horizontal="right"/>
    </xf>
    <xf numFmtId="4" fontId="0" fillId="13" borderId="0" xfId="0" applyNumberFormat="1" applyFill="1" applyAlignment="1">
      <alignment horizontal="right"/>
    </xf>
    <xf numFmtId="0" fontId="0" fillId="11" borderId="0" xfId="0" applyFill="1"/>
    <xf numFmtId="4" fontId="8" fillId="0" borderId="0" xfId="0" applyNumberFormat="1" applyFont="1"/>
    <xf numFmtId="4" fontId="0" fillId="0" borderId="0" xfId="0" applyNumberFormat="1" applyAlignment="1">
      <alignment horizontal="right" vertical="center"/>
    </xf>
    <xf numFmtId="4" fontId="0" fillId="13" borderId="0" xfId="0" applyNumberFormat="1" applyFill="1"/>
    <xf numFmtId="4" fontId="0" fillId="9" borderId="3" xfId="0" applyNumberFormat="1" applyFill="1" applyBorder="1" applyAlignment="1">
      <alignment horizontal="center" vertical="center"/>
    </xf>
    <xf numFmtId="4" fontId="0" fillId="9" borderId="5" xfId="0" applyNumberFormat="1" applyFill="1" applyBorder="1" applyAlignment="1">
      <alignment horizontal="center" vertical="center"/>
    </xf>
    <xf numFmtId="4" fontId="0" fillId="7" borderId="3" xfId="0" applyNumberFormat="1" applyFill="1" applyBorder="1" applyAlignment="1">
      <alignment horizontal="center" vertical="center"/>
    </xf>
    <xf numFmtId="43" fontId="0" fillId="11" borderId="3" xfId="0" applyNumberFormat="1" applyFill="1" applyBorder="1" applyAlignment="1">
      <alignment horizontal="right" vertical="center"/>
    </xf>
    <xf numFmtId="43" fontId="0" fillId="9" borderId="3" xfId="0" applyNumberFormat="1" applyFill="1" applyBorder="1" applyAlignment="1">
      <alignment horizontal="right"/>
    </xf>
    <xf numFmtId="43" fontId="0" fillId="13" borderId="0" xfId="0" applyNumberFormat="1" applyFill="1" applyAlignment="1">
      <alignment horizontal="right"/>
    </xf>
    <xf numFmtId="43" fontId="0" fillId="7" borderId="3" xfId="0" applyNumberFormat="1" applyFill="1" applyBorder="1" applyAlignment="1">
      <alignment horizontal="right"/>
    </xf>
    <xf numFmtId="4" fontId="0" fillId="13" borderId="4" xfId="0" applyNumberFormat="1" applyFill="1" applyBorder="1" applyAlignment="1">
      <alignment horizontal="right"/>
    </xf>
    <xf numFmtId="4" fontId="0" fillId="9" borderId="0" xfId="0" applyNumberFormat="1" applyFill="1" applyAlignment="1">
      <alignment horizontal="right"/>
    </xf>
    <xf numFmtId="4" fontId="0" fillId="9" borderId="4" xfId="0" applyNumberFormat="1" applyFill="1" applyBorder="1" applyAlignment="1">
      <alignment horizontal="right"/>
    </xf>
    <xf numFmtId="4" fontId="0" fillId="7" borderId="4" xfId="0" applyNumberFormat="1" applyFill="1" applyBorder="1" applyAlignment="1">
      <alignment horizontal="right"/>
    </xf>
    <xf numFmtId="4" fontId="0" fillId="11" borderId="4" xfId="0" applyNumberFormat="1" applyFill="1" applyBorder="1"/>
    <xf numFmtId="4" fontId="0" fillId="9" borderId="4" xfId="0" applyNumberFormat="1" applyFill="1" applyBorder="1"/>
    <xf numFmtId="4" fontId="0" fillId="11" borderId="0" xfId="0" applyNumberFormat="1" applyFill="1"/>
    <xf numFmtId="0" fontId="1" fillId="10" borderId="1" xfId="0" applyFont="1"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left" vertical="center"/>
    </xf>
    <xf numFmtId="44" fontId="0" fillId="10" borderId="1" xfId="0" applyNumberFormat="1" applyFill="1" applyBorder="1" applyAlignment="1">
      <alignment horizontal="center" vertical="center"/>
    </xf>
    <xf numFmtId="4" fontId="0" fillId="10" borderId="1" xfId="0" applyNumberFormat="1" applyFill="1" applyBorder="1" applyAlignment="1">
      <alignment horizontal="center" vertical="center"/>
    </xf>
    <xf numFmtId="0" fontId="0" fillId="10" borderId="0" xfId="0" applyFill="1" applyAlignment="1">
      <alignment horizontal="center" vertical="center"/>
    </xf>
    <xf numFmtId="0" fontId="0" fillId="14" borderId="1" xfId="0" applyFill="1" applyBorder="1" applyAlignment="1">
      <alignment horizontal="center" vertical="center"/>
    </xf>
    <xf numFmtId="0" fontId="0" fillId="14" borderId="1" xfId="0" applyFill="1" applyBorder="1" applyAlignment="1">
      <alignment horizontal="left" vertical="center"/>
    </xf>
    <xf numFmtId="43" fontId="0" fillId="14" borderId="1" xfId="0" applyNumberFormat="1" applyFill="1" applyBorder="1" applyAlignment="1">
      <alignment horizontal="center" vertical="center"/>
    </xf>
    <xf numFmtId="44" fontId="0" fillId="14" borderId="1" xfId="0" applyNumberFormat="1" applyFill="1" applyBorder="1" applyAlignment="1">
      <alignment horizontal="center" vertical="center"/>
    </xf>
    <xf numFmtId="43" fontId="0" fillId="9" borderId="1" xfId="0" applyNumberFormat="1" applyFill="1" applyBorder="1" applyAlignment="1">
      <alignment horizontal="center" vertical="center"/>
    </xf>
    <xf numFmtId="44" fontId="0" fillId="9" borderId="1" xfId="0" applyNumberFormat="1" applyFill="1" applyBorder="1" applyAlignment="1">
      <alignment horizontal="center" vertical="center"/>
    </xf>
    <xf numFmtId="0" fontId="0" fillId="15" borderId="1" xfId="0" applyFill="1" applyBorder="1" applyAlignment="1">
      <alignment horizontal="center" vertical="center"/>
    </xf>
    <xf numFmtId="0" fontId="0" fillId="15" borderId="1" xfId="0" applyFill="1" applyBorder="1" applyAlignment="1">
      <alignment horizontal="left" vertical="center"/>
    </xf>
    <xf numFmtId="43" fontId="0" fillId="15" borderId="1" xfId="0" applyNumberFormat="1" applyFill="1" applyBorder="1" applyAlignment="1">
      <alignment horizontal="center" vertical="center"/>
    </xf>
    <xf numFmtId="44" fontId="0" fillId="15" borderId="1" xfId="0" applyNumberFormat="1" applyFill="1" applyBorder="1" applyAlignment="1">
      <alignment horizontal="center" vertical="center"/>
    </xf>
    <xf numFmtId="43" fontId="0" fillId="0" borderId="1" xfId="0" applyNumberFormat="1" applyBorder="1" applyAlignment="1">
      <alignment horizontal="center" vertical="center"/>
    </xf>
    <xf numFmtId="0" fontId="0" fillId="9" borderId="1" xfId="0" applyFill="1" applyBorder="1" applyAlignment="1">
      <alignment horizontal="left"/>
    </xf>
    <xf numFmtId="0" fontId="0" fillId="7" borderId="1" xfId="0" applyFill="1" applyBorder="1" applyAlignment="1">
      <alignment horizontal="left" vertical="center" wrapText="1"/>
    </xf>
    <xf numFmtId="0" fontId="8" fillId="0" borderId="1" xfId="0" applyFont="1" applyBorder="1" applyAlignment="1">
      <alignment horizontal="left" vertical="center" wrapText="1"/>
    </xf>
    <xf numFmtId="0" fontId="0" fillId="2" borderId="1" xfId="0" applyFill="1" applyBorder="1" applyAlignment="1">
      <alignment horizontal="left" vertical="center" wrapText="1"/>
    </xf>
    <xf numFmtId="0" fontId="1" fillId="14" borderId="1" xfId="0" applyFont="1" applyFill="1" applyBorder="1" applyAlignment="1">
      <alignment horizontal="center" vertical="center"/>
    </xf>
    <xf numFmtId="0" fontId="1" fillId="15" borderId="1" xfId="0" applyFont="1" applyFill="1" applyBorder="1" applyAlignment="1">
      <alignment horizontal="center" vertical="center"/>
    </xf>
    <xf numFmtId="0" fontId="1" fillId="10" borderId="2" xfId="0" applyFont="1" applyFill="1" applyBorder="1" applyAlignment="1">
      <alignment horizontal="center" vertical="center"/>
    </xf>
    <xf numFmtId="0" fontId="0" fillId="10" borderId="2" xfId="0" applyFill="1" applyBorder="1" applyAlignment="1">
      <alignment horizontal="center" vertical="center"/>
    </xf>
    <xf numFmtId="0" fontId="0" fillId="10" borderId="2" xfId="0" applyFill="1" applyBorder="1" applyAlignment="1">
      <alignment horizontal="left" vertical="center"/>
    </xf>
    <xf numFmtId="44" fontId="0" fillId="10" borderId="2" xfId="0" applyNumberFormat="1" applyFill="1" applyBorder="1" applyAlignment="1">
      <alignment horizontal="center" vertical="center"/>
    </xf>
    <xf numFmtId="4" fontId="0" fillId="10" borderId="2" xfId="0" applyNumberFormat="1" applyFill="1" applyBorder="1" applyAlignment="1">
      <alignment horizontal="center" vertical="center"/>
    </xf>
    <xf numFmtId="4" fontId="1" fillId="2" borderId="1" xfId="0" applyNumberFormat="1" applyFont="1" applyFill="1" applyBorder="1" applyAlignment="1">
      <alignment horizontal="center" vertical="center"/>
    </xf>
    <xf numFmtId="4" fontId="0" fillId="6" borderId="1" xfId="0" applyNumberFormat="1" applyFill="1" applyBorder="1" applyAlignment="1">
      <alignment horizontal="center"/>
    </xf>
    <xf numFmtId="0" fontId="1" fillId="12" borderId="1" xfId="0" applyFont="1" applyFill="1" applyBorder="1" applyAlignment="1">
      <alignment horizontal="center" vertical="center"/>
    </xf>
    <xf numFmtId="0" fontId="0" fillId="12" borderId="1" xfId="0" applyFill="1" applyBorder="1" applyAlignment="1">
      <alignment horizontal="center" vertical="center"/>
    </xf>
    <xf numFmtId="0" fontId="0" fillId="12" borderId="1" xfId="0" applyFill="1" applyBorder="1" applyAlignment="1">
      <alignment horizontal="left" vertical="center"/>
    </xf>
    <xf numFmtId="43" fontId="0" fillId="12" borderId="1" xfId="0" applyNumberFormat="1" applyFill="1" applyBorder="1" applyAlignment="1">
      <alignment horizontal="center" vertical="center"/>
    </xf>
    <xf numFmtId="44" fontId="0" fillId="12" borderId="1" xfId="0" applyNumberFormat="1" applyFill="1" applyBorder="1" applyAlignment="1">
      <alignment horizontal="center" vertical="center"/>
    </xf>
    <xf numFmtId="0" fontId="1" fillId="6" borderId="1" xfId="0" applyFont="1"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left" vertical="center"/>
    </xf>
    <xf numFmtId="44" fontId="0" fillId="6" borderId="1" xfId="0" applyNumberFormat="1" applyFill="1" applyBorder="1" applyAlignment="1">
      <alignment horizontal="center" vertical="center"/>
    </xf>
    <xf numFmtId="43" fontId="0" fillId="6" borderId="1" xfId="0" applyNumberFormat="1" applyFill="1" applyBorder="1" applyAlignment="1">
      <alignment horizontal="center" vertical="center"/>
    </xf>
    <xf numFmtId="0" fontId="1" fillId="16" borderId="1" xfId="0" applyFont="1" applyFill="1" applyBorder="1" applyAlignment="1">
      <alignment horizontal="center" vertical="center"/>
    </xf>
    <xf numFmtId="0" fontId="0" fillId="16" borderId="1" xfId="0" applyFill="1" applyBorder="1" applyAlignment="1">
      <alignment horizontal="center" vertical="center"/>
    </xf>
    <xf numFmtId="0" fontId="0" fillId="16" borderId="1" xfId="0" applyFill="1" applyBorder="1" applyAlignment="1">
      <alignment horizontal="left" vertical="center"/>
    </xf>
    <xf numFmtId="43" fontId="0" fillId="16" borderId="1" xfId="0" applyNumberFormat="1" applyFill="1" applyBorder="1" applyAlignment="1">
      <alignment horizontal="center" vertical="center"/>
    </xf>
    <xf numFmtId="44" fontId="0" fillId="16" borderId="1" xfId="0" applyNumberFormat="1" applyFill="1" applyBorder="1" applyAlignment="1">
      <alignment horizontal="center" vertical="center"/>
    </xf>
    <xf numFmtId="0" fontId="1" fillId="17" borderId="1" xfId="0" applyFont="1" applyFill="1" applyBorder="1" applyAlignment="1">
      <alignment horizontal="center" vertical="center"/>
    </xf>
    <xf numFmtId="0" fontId="0" fillId="17" borderId="1" xfId="0" applyFill="1" applyBorder="1" applyAlignment="1">
      <alignment horizontal="center" vertical="center"/>
    </xf>
    <xf numFmtId="0" fontId="0" fillId="17" borderId="1" xfId="0" applyFill="1" applyBorder="1" applyAlignment="1">
      <alignment horizontal="left" vertical="center"/>
    </xf>
    <xf numFmtId="43" fontId="0" fillId="17" borderId="1" xfId="0" applyNumberFormat="1" applyFill="1" applyBorder="1" applyAlignment="1">
      <alignment horizontal="center" vertical="center"/>
    </xf>
    <xf numFmtId="44" fontId="0" fillId="17" borderId="1" xfId="0" applyNumberFormat="1" applyFill="1" applyBorder="1" applyAlignment="1">
      <alignment horizontal="center" vertical="center"/>
    </xf>
    <xf numFmtId="0" fontId="1" fillId="18" borderId="1" xfId="0" applyFont="1" applyFill="1" applyBorder="1" applyAlignment="1">
      <alignment horizontal="center" vertical="center"/>
    </xf>
    <xf numFmtId="0" fontId="0" fillId="18" borderId="1" xfId="0" applyFill="1" applyBorder="1" applyAlignment="1">
      <alignment horizontal="center" vertical="center"/>
    </xf>
    <xf numFmtId="0" fontId="0" fillId="18" borderId="1" xfId="0" applyFill="1" applyBorder="1" applyAlignment="1">
      <alignment horizontal="left" vertical="center"/>
    </xf>
    <xf numFmtId="43" fontId="0" fillId="18" borderId="1" xfId="0" applyNumberFormat="1" applyFill="1" applyBorder="1" applyAlignment="1">
      <alignment horizontal="center" vertical="center"/>
    </xf>
    <xf numFmtId="44" fontId="0" fillId="18" borderId="1" xfId="0" applyNumberFormat="1" applyFill="1" applyBorder="1" applyAlignment="1">
      <alignment horizontal="center" vertical="center"/>
    </xf>
    <xf numFmtId="43" fontId="0" fillId="11" borderId="1" xfId="0" applyNumberFormat="1" applyFill="1" applyBorder="1" applyAlignment="1">
      <alignment horizontal="center" vertical="center"/>
    </xf>
    <xf numFmtId="4" fontId="0" fillId="12" borderId="2" xfId="0" applyNumberFormat="1" applyFill="1" applyBorder="1" applyAlignment="1">
      <alignment horizontal="center" vertical="center"/>
    </xf>
    <xf numFmtId="0" fontId="0" fillId="10" borderId="1" xfId="0" applyFill="1" applyBorder="1"/>
    <xf numFmtId="4" fontId="0" fillId="10" borderId="1" xfId="0" applyNumberFormat="1" applyFill="1" applyBorder="1" applyAlignment="1">
      <alignment horizontal="right"/>
    </xf>
    <xf numFmtId="4" fontId="8" fillId="6" borderId="1" xfId="0" applyNumberFormat="1" applyFont="1" applyFill="1" applyBorder="1" applyAlignment="1">
      <alignment horizontal="center"/>
    </xf>
    <xf numFmtId="0" fontId="0" fillId="16" borderId="1" xfId="0" applyFill="1"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horizontal="left" vertical="center"/>
    </xf>
    <xf numFmtId="44" fontId="0" fillId="0" borderId="2" xfId="0" applyNumberFormat="1" applyBorder="1" applyAlignment="1">
      <alignment horizontal="center" vertical="center"/>
    </xf>
    <xf numFmtId="4" fontId="0" fillId="0" borderId="2" xfId="0" applyNumberFormat="1" applyBorder="1" applyAlignment="1">
      <alignment horizontal="center" vertical="center"/>
    </xf>
    <xf numFmtId="4" fontId="0" fillId="4" borderId="2" xfId="0" applyNumberFormat="1" applyFill="1" applyBorder="1" applyAlignment="1">
      <alignment horizontal="center" vertical="center"/>
    </xf>
    <xf numFmtId="4" fontId="8" fillId="6" borderId="6" xfId="0" applyNumberFormat="1" applyFont="1" applyFill="1" applyBorder="1" applyAlignment="1">
      <alignment horizontal="center"/>
    </xf>
    <xf numFmtId="4" fontId="0" fillId="0" borderId="2" xfId="0" applyNumberFormat="1" applyBorder="1" applyAlignment="1">
      <alignment horizontal="right"/>
    </xf>
    <xf numFmtId="0" fontId="0" fillId="0" borderId="2" xfId="0" applyBorder="1"/>
    <xf numFmtId="0" fontId="1" fillId="19" borderId="1" xfId="0" applyFont="1" applyFill="1" applyBorder="1" applyAlignment="1">
      <alignment horizontal="center" vertical="center"/>
    </xf>
    <xf numFmtId="0" fontId="0" fillId="19" borderId="1" xfId="0" applyFill="1" applyBorder="1" applyAlignment="1">
      <alignment horizontal="center" vertical="center"/>
    </xf>
    <xf numFmtId="0" fontId="0" fillId="19" borderId="1" xfId="0" applyFill="1" applyBorder="1" applyAlignment="1">
      <alignment horizontal="left" vertical="center"/>
    </xf>
    <xf numFmtId="43" fontId="0" fillId="19" borderId="1" xfId="0" applyNumberFormat="1" applyFill="1" applyBorder="1" applyAlignment="1">
      <alignment horizontal="center" vertical="center"/>
    </xf>
    <xf numFmtId="44" fontId="0" fillId="19" borderId="1" xfId="0" applyNumberFormat="1" applyFill="1" applyBorder="1" applyAlignment="1">
      <alignment horizontal="center" vertical="center"/>
    </xf>
    <xf numFmtId="0" fontId="1" fillId="20" borderId="1" xfId="0" applyFont="1" applyFill="1" applyBorder="1" applyAlignment="1">
      <alignment horizontal="center" vertical="center"/>
    </xf>
    <xf numFmtId="0" fontId="0" fillId="20" borderId="1" xfId="0" applyFill="1" applyBorder="1" applyAlignment="1">
      <alignment horizontal="center" vertical="center"/>
    </xf>
    <xf numFmtId="0" fontId="0" fillId="20" borderId="1" xfId="0" applyFill="1" applyBorder="1" applyAlignment="1">
      <alignment horizontal="left" vertical="center"/>
    </xf>
    <xf numFmtId="43" fontId="0" fillId="20" borderId="1" xfId="0" applyNumberFormat="1" applyFill="1" applyBorder="1" applyAlignment="1">
      <alignment horizontal="center" vertical="center"/>
    </xf>
    <xf numFmtId="44" fontId="0" fillId="20" borderId="1" xfId="0" applyNumberFormat="1" applyFill="1" applyBorder="1" applyAlignment="1">
      <alignment horizontal="center" vertical="center"/>
    </xf>
    <xf numFmtId="0" fontId="9" fillId="0" borderId="1" xfId="0" applyFont="1" applyBorder="1" applyAlignment="1">
      <alignment horizontal="left" vertical="center"/>
    </xf>
    <xf numFmtId="43" fontId="1" fillId="6" borderId="1" xfId="0" applyNumberFormat="1" applyFont="1" applyFill="1" applyBorder="1" applyAlignment="1">
      <alignment horizontal="center" vertical="center"/>
    </xf>
    <xf numFmtId="4" fontId="1" fillId="6" borderId="1" xfId="0" applyNumberFormat="1" applyFont="1" applyFill="1" applyBorder="1" applyAlignment="1">
      <alignment horizontal="center" vertical="center"/>
    </xf>
    <xf numFmtId="4" fontId="1" fillId="6" borderId="1" xfId="0" applyNumberFormat="1" applyFont="1" applyFill="1" applyBorder="1" applyAlignment="1">
      <alignment horizontal="left" vertical="center"/>
    </xf>
    <xf numFmtId="43" fontId="1" fillId="6" borderId="1" xfId="0" applyNumberFormat="1" applyFont="1" applyFill="1" applyBorder="1" applyAlignment="1">
      <alignment horizontal="center" vertical="center" wrapText="1"/>
    </xf>
    <xf numFmtId="44" fontId="1" fillId="6" borderId="1" xfId="0" applyNumberFormat="1" applyFont="1" applyFill="1" applyBorder="1" applyAlignment="1">
      <alignment horizontal="center" vertical="center" wrapText="1"/>
    </xf>
    <xf numFmtId="43" fontId="10" fillId="21" borderId="1" xfId="0" applyNumberFormat="1" applyFont="1" applyFill="1" applyBorder="1" applyAlignment="1">
      <alignment horizontal="center" vertical="center"/>
    </xf>
    <xf numFmtId="44" fontId="10" fillId="21" borderId="1" xfId="0" applyNumberFormat="1" applyFont="1" applyFill="1" applyBorder="1" applyAlignment="1">
      <alignment horizontal="center" vertical="center"/>
    </xf>
    <xf numFmtId="43" fontId="11" fillId="21" borderId="1" xfId="0" applyNumberFormat="1" applyFont="1" applyFill="1" applyBorder="1" applyAlignment="1">
      <alignment horizontal="center" vertical="center"/>
    </xf>
    <xf numFmtId="44" fontId="11" fillId="21" borderId="1" xfId="0" applyNumberFormat="1" applyFont="1" applyFill="1" applyBorder="1" applyAlignment="1">
      <alignment horizontal="center" vertical="center"/>
    </xf>
    <xf numFmtId="0" fontId="0" fillId="0" borderId="0" xfId="0" applyFill="1" applyAlignment="1">
      <alignment horizontal="center" vertical="center"/>
    </xf>
    <xf numFmtId="0" fontId="0" fillId="0" borderId="0" xfId="0" applyFill="1"/>
    <xf numFmtId="0" fontId="1" fillId="0" borderId="0" xfId="0" applyFont="1" applyFill="1" applyAlignment="1">
      <alignment horizontal="center" vertical="center"/>
    </xf>
    <xf numFmtId="0" fontId="1" fillId="0" borderId="0" xfId="0" applyFont="1" applyFill="1"/>
    <xf numFmtId="0" fontId="1"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left" vertical="center"/>
    </xf>
    <xf numFmtId="43" fontId="0" fillId="0" borderId="1" xfId="0" applyNumberFormat="1" applyFill="1" applyBorder="1" applyAlignment="1">
      <alignment horizontal="center" vertical="center"/>
    </xf>
    <xf numFmtId="44" fontId="0" fillId="0" borderId="1" xfId="0" applyNumberFormat="1" applyFill="1" applyBorder="1" applyAlignment="1">
      <alignment horizontal="center" vertical="center"/>
    </xf>
    <xf numFmtId="0" fontId="0" fillId="22" borderId="0" xfId="0" applyFill="1" applyAlignment="1">
      <alignment horizontal="center" vertical="center"/>
    </xf>
    <xf numFmtId="0" fontId="0" fillId="2" borderId="0" xfId="0" applyFill="1" applyAlignment="1">
      <alignment horizontal="center" vertical="center"/>
    </xf>
    <xf numFmtId="43" fontId="0" fillId="2" borderId="0" xfId="0" applyNumberFormat="1" applyFill="1" applyAlignment="1">
      <alignment horizontal="center" vertical="center"/>
    </xf>
    <xf numFmtId="0" fontId="0" fillId="2" borderId="0" xfId="0" applyFill="1" applyAlignment="1">
      <alignment horizontal="left" vertical="center"/>
    </xf>
    <xf numFmtId="44" fontId="0" fillId="2" borderId="0" xfId="0" applyNumberFormat="1" applyFill="1" applyAlignment="1">
      <alignment horizontal="center" vertical="center"/>
    </xf>
    <xf numFmtId="0" fontId="0" fillId="2" borderId="0" xfId="0" applyFill="1"/>
    <xf numFmtId="0" fontId="1"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left" vertical="center"/>
    </xf>
    <xf numFmtId="44" fontId="0" fillId="0" borderId="0" xfId="0" applyNumberFormat="1" applyFill="1" applyAlignment="1">
      <alignment horizontal="center" vertical="center"/>
    </xf>
    <xf numFmtId="43" fontId="10" fillId="21" borderId="2" xfId="0" applyNumberFormat="1" applyFont="1" applyFill="1" applyBorder="1" applyAlignment="1">
      <alignment horizontal="center" vertical="center"/>
    </xf>
    <xf numFmtId="44" fontId="10" fillId="21" borderId="2" xfId="0" applyNumberFormat="1" applyFont="1" applyFill="1" applyBorder="1" applyAlignment="1">
      <alignment horizontal="center" vertical="center"/>
    </xf>
    <xf numFmtId="43" fontId="7" fillId="0" borderId="1" xfId="0" applyNumberFormat="1" applyFont="1" applyFill="1" applyBorder="1" applyAlignment="1">
      <alignment horizontal="center" vertical="center"/>
    </xf>
    <xf numFmtId="44" fontId="7" fillId="0" borderId="1" xfId="0" applyNumberFormat="1" applyFont="1" applyFill="1" applyBorder="1" applyAlignment="1">
      <alignment horizontal="center" vertical="center"/>
    </xf>
    <xf numFmtId="49" fontId="0" fillId="0" borderId="1" xfId="0" applyNumberFormat="1" applyFont="1" applyBorder="1" applyAlignment="1">
      <alignment horizontal="center" vertical="center" wrapText="1"/>
    </xf>
    <xf numFmtId="0" fontId="0" fillId="0" borderId="1" xfId="0" applyFont="1" applyBorder="1" applyAlignment="1">
      <alignment horizontal="center" vertical="center"/>
    </xf>
    <xf numFmtId="4" fontId="0" fillId="2" borderId="1" xfId="0" applyNumberFormat="1" applyFont="1" applyFill="1" applyBorder="1" applyAlignment="1">
      <alignment horizontal="center" vertical="center"/>
    </xf>
    <xf numFmtId="43" fontId="0" fillId="0" borderId="0" xfId="0" applyNumberFormat="1" applyFill="1" applyAlignment="1">
      <alignment horizontal="center" vertical="center"/>
    </xf>
    <xf numFmtId="0" fontId="1" fillId="11" borderId="0" xfId="0" applyFont="1" applyFill="1" applyAlignment="1">
      <alignment horizontal="center"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horizontal="left" vertical="center"/>
    </xf>
    <xf numFmtId="44" fontId="8" fillId="0" borderId="2" xfId="0" applyNumberFormat="1" applyFont="1" applyBorder="1" applyAlignment="1">
      <alignment horizontal="center" vertical="center"/>
    </xf>
    <xf numFmtId="4" fontId="8" fillId="0" borderId="2" xfId="0" applyNumberFormat="1" applyFont="1" applyBorder="1" applyAlignment="1">
      <alignment horizontal="center" vertical="center"/>
    </xf>
    <xf numFmtId="4" fontId="8" fillId="4" borderId="2" xfId="0" applyNumberFormat="1" applyFont="1" applyFill="1" applyBorder="1" applyAlignment="1">
      <alignment horizontal="center" vertical="center"/>
    </xf>
    <xf numFmtId="0" fontId="8" fillId="0" borderId="6" xfId="0" applyFont="1" applyBorder="1"/>
    <xf numFmtId="4" fontId="8" fillId="12" borderId="2" xfId="0" applyNumberFormat="1" applyFont="1" applyFill="1" applyBorder="1" applyAlignment="1">
      <alignment horizontal="center" vertical="center"/>
    </xf>
    <xf numFmtId="4" fontId="8" fillId="0" borderId="2" xfId="0" applyNumberFormat="1" applyFont="1" applyBorder="1" applyAlignment="1">
      <alignment horizontal="right" vertical="center"/>
    </xf>
    <xf numFmtId="4" fontId="8" fillId="0" borderId="2" xfId="0" applyNumberFormat="1" applyFont="1" applyBorder="1" applyAlignment="1">
      <alignment horizontal="right"/>
    </xf>
    <xf numFmtId="4" fontId="8" fillId="0" borderId="2" xfId="0" applyNumberFormat="1" applyFont="1" applyBorder="1"/>
    <xf numFmtId="0" fontId="1" fillId="0" borderId="7" xfId="0" applyFont="1" applyBorder="1" applyAlignment="1">
      <alignment horizontal="center" vertical="center"/>
    </xf>
    <xf numFmtId="0" fontId="0" fillId="0" borderId="7" xfId="0" applyBorder="1" applyAlignment="1">
      <alignment horizontal="center" vertical="center"/>
    </xf>
    <xf numFmtId="0" fontId="8" fillId="0" borderId="7" xfId="0" applyFont="1" applyBorder="1" applyAlignment="1">
      <alignment horizontal="left" vertical="center"/>
    </xf>
    <xf numFmtId="0" fontId="0" fillId="0" borderId="7" xfId="0" applyBorder="1" applyAlignment="1">
      <alignment horizontal="left" vertical="center"/>
    </xf>
    <xf numFmtId="44" fontId="0" fillId="0" borderId="7" xfId="0" applyNumberFormat="1" applyBorder="1" applyAlignment="1">
      <alignment horizontal="center" vertical="center"/>
    </xf>
    <xf numFmtId="4" fontId="0" fillId="0" borderId="7" xfId="0" applyNumberFormat="1" applyBorder="1" applyAlignment="1">
      <alignment horizontal="center" vertical="center"/>
    </xf>
    <xf numFmtId="4" fontId="0" fillId="2" borderId="7" xfId="0" applyNumberFormat="1" applyFill="1" applyBorder="1" applyAlignment="1">
      <alignment horizontal="center" vertical="center"/>
    </xf>
    <xf numFmtId="4" fontId="0" fillId="5" borderId="7" xfId="0" applyNumberFormat="1" applyFill="1" applyBorder="1" applyAlignment="1">
      <alignment horizontal="center" vertical="center"/>
    </xf>
    <xf numFmtId="4" fontId="0" fillId="4" borderId="7" xfId="0" applyNumberFormat="1" applyFill="1" applyBorder="1" applyAlignment="1">
      <alignment horizontal="center" vertical="center"/>
    </xf>
    <xf numFmtId="4" fontId="0" fillId="4" borderId="8" xfId="0" applyNumberFormat="1" applyFill="1" applyBorder="1" applyAlignment="1">
      <alignment horizontal="center" vertical="center"/>
    </xf>
    <xf numFmtId="4" fontId="0" fillId="12" borderId="7" xfId="0" applyNumberFormat="1" applyFill="1" applyBorder="1" applyAlignment="1">
      <alignment horizontal="center" vertical="center"/>
    </xf>
    <xf numFmtId="43" fontId="0" fillId="3" borderId="7" xfId="0" applyNumberFormat="1" applyFill="1" applyBorder="1" applyAlignment="1">
      <alignment horizontal="right" vertical="center"/>
    </xf>
    <xf numFmtId="4" fontId="8" fillId="6" borderId="8" xfId="0" applyNumberFormat="1" applyFont="1" applyFill="1" applyBorder="1" applyAlignment="1">
      <alignment horizontal="center"/>
    </xf>
    <xf numFmtId="0" fontId="0" fillId="0" borderId="7" xfId="0" applyBorder="1"/>
    <xf numFmtId="4" fontId="1" fillId="0" borderId="7" xfId="0" applyNumberFormat="1" applyFont="1" applyBorder="1" applyAlignment="1">
      <alignment horizontal="right"/>
    </xf>
    <xf numFmtId="0" fontId="1" fillId="23" borderId="1" xfId="0" applyFont="1" applyFill="1" applyBorder="1" applyAlignment="1">
      <alignment horizontal="center" vertical="center"/>
    </xf>
    <xf numFmtId="0" fontId="0" fillId="23" borderId="1" xfId="0" applyFill="1" applyBorder="1" applyAlignment="1">
      <alignment horizontal="center" vertical="center"/>
    </xf>
    <xf numFmtId="0" fontId="0" fillId="23" borderId="1" xfId="0" applyFill="1" applyBorder="1" applyAlignment="1">
      <alignment horizontal="left" vertical="center"/>
    </xf>
    <xf numFmtId="44" fontId="0" fillId="23" borderId="1" xfId="0" applyNumberFormat="1" applyFill="1" applyBorder="1" applyAlignment="1">
      <alignment horizontal="center" vertical="center"/>
    </xf>
    <xf numFmtId="4" fontId="0" fillId="23" borderId="1" xfId="0" applyNumberFormat="1" applyFill="1" applyBorder="1" applyAlignment="1">
      <alignment horizontal="center" vertical="center"/>
    </xf>
    <xf numFmtId="44" fontId="0" fillId="23" borderId="1" xfId="0" applyNumberFormat="1" applyFill="1" applyBorder="1"/>
    <xf numFmtId="4" fontId="0" fillId="23" borderId="1" xfId="0" applyNumberFormat="1" applyFill="1" applyBorder="1" applyAlignment="1">
      <alignment horizontal="center"/>
    </xf>
    <xf numFmtId="4" fontId="0" fillId="23" borderId="1" xfId="0" applyNumberFormat="1" applyFill="1" applyBorder="1" applyAlignment="1">
      <alignment horizontal="right"/>
    </xf>
    <xf numFmtId="4" fontId="0" fillId="23" borderId="1" xfId="0" applyNumberFormat="1" applyFill="1" applyBorder="1"/>
    <xf numFmtId="0" fontId="0" fillId="23" borderId="1" xfId="0" applyFill="1" applyBorder="1"/>
    <xf numFmtId="0" fontId="6" fillId="23" borderId="1" xfId="0" applyFont="1" applyFill="1" applyBorder="1"/>
    <xf numFmtId="0" fontId="8" fillId="23" borderId="1" xfId="0" applyFont="1" applyFill="1" applyBorder="1"/>
    <xf numFmtId="0" fontId="0" fillId="23" borderId="0" xfId="0" applyFill="1" applyAlignment="1">
      <alignment horizontal="center" vertical="center"/>
    </xf>
    <xf numFmtId="0" fontId="8" fillId="23" borderId="0" xfId="0" applyFont="1" applyFill="1"/>
    <xf numFmtId="4" fontId="8" fillId="23" borderId="1" xfId="0" applyNumberFormat="1" applyFont="1" applyFill="1" applyBorder="1"/>
  </cellXfs>
  <cellStyles count="1">
    <cellStyle name="Normal" xfId="0" builtinId="0"/>
  </cellStyles>
  <dxfs count="6">
    <dxf>
      <font>
        <b/>
        <i val="0"/>
        <color theme="0"/>
      </font>
      <fill>
        <patternFill>
          <bgColor rgb="FFFF0000"/>
        </patternFill>
      </fill>
    </dxf>
    <dxf>
      <fill>
        <patternFill>
          <bgColor rgb="FFFF0000"/>
        </patternFill>
      </fill>
    </dxf>
    <dxf>
      <font>
        <b/>
        <i val="0"/>
        <color theme="0"/>
      </font>
      <fill>
        <patternFill>
          <bgColor rgb="FFFF0000"/>
        </patternFill>
      </fill>
    </dxf>
    <dxf>
      <fill>
        <patternFill>
          <bgColor rgb="FFFF0000"/>
        </patternFill>
      </fill>
    </dxf>
    <dxf>
      <font>
        <b/>
        <i val="0"/>
        <color theme="0"/>
      </font>
      <fill>
        <patternFill>
          <bgColor rgb="FFFF0000"/>
        </patternFill>
      </fill>
    </dxf>
    <dxf>
      <fill>
        <patternFill>
          <bgColor rgb="FFFF0000"/>
        </patternFill>
      </fill>
    </dxf>
  </dxfs>
  <tableStyles count="0" defaultTableStyle="TableStyleMedium2" defaultPivotStyle="PivotStyleLight16"/>
  <colors>
    <mruColors>
      <color rgb="FFFF9933"/>
      <color rgb="FF99FFCC"/>
      <color rgb="FFCCFF66"/>
      <color rgb="FF993366"/>
      <color rgb="FFFFCCFF"/>
      <color rgb="FFFFCC99"/>
      <color rgb="FF996600"/>
      <color rgb="FFCCFF99"/>
      <color rgb="FF339966"/>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12</xdr:col>
      <xdr:colOff>180976</xdr:colOff>
      <xdr:row>7</xdr:row>
      <xdr:rowOff>9525</xdr:rowOff>
    </xdr:from>
    <xdr:to>
      <xdr:col>13</xdr:col>
      <xdr:colOff>619126</xdr:colOff>
      <xdr:row>10</xdr:row>
      <xdr:rowOff>95250</xdr:rowOff>
    </xdr:to>
    <xdr:sp macro="" textlink="">
      <xdr:nvSpPr>
        <xdr:cNvPr id="2" name="CuadroTexto 1">
          <a:extLst>
            <a:ext uri="{FF2B5EF4-FFF2-40B4-BE49-F238E27FC236}">
              <a16:creationId xmlns:a16="http://schemas.microsoft.com/office/drawing/2014/main" id="{968EC449-12FF-4636-99CF-4B68DF590642}"/>
            </a:ext>
          </a:extLst>
        </xdr:cNvPr>
        <xdr:cNvSpPr txBox="1"/>
      </xdr:nvSpPr>
      <xdr:spPr>
        <a:xfrm>
          <a:off x="11991976" y="1905000"/>
          <a:ext cx="120015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100" b="1"/>
            <a:t>A PARTIR DE LOS 2 ROLLOS EL ENVIO ES GRATIS</a:t>
          </a:r>
        </a:p>
      </xdr:txBody>
    </xdr:sp>
    <xdr:clientData/>
  </xdr:twoCellAnchor>
  <xdr:twoCellAnchor>
    <xdr:from>
      <xdr:col>9</xdr:col>
      <xdr:colOff>628651</xdr:colOff>
      <xdr:row>28</xdr:row>
      <xdr:rowOff>62500</xdr:rowOff>
    </xdr:from>
    <xdr:to>
      <xdr:col>11</xdr:col>
      <xdr:colOff>609601</xdr:colOff>
      <xdr:row>29</xdr:row>
      <xdr:rowOff>123826</xdr:rowOff>
    </xdr:to>
    <xdr:sp macro="" textlink="">
      <xdr:nvSpPr>
        <xdr:cNvPr id="3" name="CuadroTexto 2">
          <a:extLst>
            <a:ext uri="{FF2B5EF4-FFF2-40B4-BE49-F238E27FC236}">
              <a16:creationId xmlns:a16="http://schemas.microsoft.com/office/drawing/2014/main" id="{4352E02C-5E70-4188-9AE6-5BBD51FFC317}"/>
            </a:ext>
          </a:extLst>
        </xdr:cNvPr>
        <xdr:cNvSpPr txBox="1"/>
      </xdr:nvSpPr>
      <xdr:spPr>
        <a:xfrm>
          <a:off x="9782176" y="5958475"/>
          <a:ext cx="1752600" cy="251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C" sz="1100"/>
            <a:t>ANCHO DE</a:t>
          </a:r>
          <a:r>
            <a:rPr lang="es-EC" sz="1100" baseline="0"/>
            <a:t> IMPRESION 1.7</a:t>
          </a:r>
          <a:endParaRPr lang="es-EC" sz="1100"/>
        </a:p>
      </xdr:txBody>
    </xdr:sp>
    <xdr:clientData/>
  </xdr:twoCellAnchor>
  <xdr:twoCellAnchor>
    <xdr:from>
      <xdr:col>6</xdr:col>
      <xdr:colOff>695325</xdr:colOff>
      <xdr:row>39</xdr:row>
      <xdr:rowOff>123824</xdr:rowOff>
    </xdr:from>
    <xdr:to>
      <xdr:col>11</xdr:col>
      <xdr:colOff>647700</xdr:colOff>
      <xdr:row>41</xdr:row>
      <xdr:rowOff>47625</xdr:rowOff>
    </xdr:to>
    <xdr:sp macro="" textlink="">
      <xdr:nvSpPr>
        <xdr:cNvPr id="4" name="CuadroTexto 3">
          <a:extLst>
            <a:ext uri="{FF2B5EF4-FFF2-40B4-BE49-F238E27FC236}">
              <a16:creationId xmlns:a16="http://schemas.microsoft.com/office/drawing/2014/main" id="{2C82980C-99C8-42FC-94B9-0F77BE34D188}"/>
            </a:ext>
          </a:extLst>
        </xdr:cNvPr>
        <xdr:cNvSpPr txBox="1"/>
      </xdr:nvSpPr>
      <xdr:spPr>
        <a:xfrm>
          <a:off x="7429500" y="8877299"/>
          <a:ext cx="4143375" cy="304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100" b="1"/>
            <a:t>TELA</a:t>
          </a:r>
          <a:r>
            <a:rPr lang="es-EC" sz="1100" b="1" baseline="0"/>
            <a:t> JERSEY A PARTIR DE LOS 46 METROS CON EL VALOR POR 50m.</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6/APUs%202026/ANALISIS%20DE%20PRECIOS%20UNITARIOS%20enero%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JY"/>
      <sheetName val="BD-MAT"/>
      <sheetName val="BD-MOb"/>
      <sheetName val="BD-EQ"/>
      <sheetName val="APU1"/>
      <sheetName val="APU2"/>
      <sheetName val="APU3"/>
      <sheetName val="APU4"/>
      <sheetName val="APU5"/>
      <sheetName val="APU6"/>
      <sheetName val="APU7"/>
      <sheetName val="APU8"/>
      <sheetName val="APU9"/>
      <sheetName val="APU10"/>
      <sheetName val="APU11"/>
      <sheetName val="APU12"/>
      <sheetName val="APU13"/>
      <sheetName val="APU14"/>
      <sheetName val="APU15"/>
      <sheetName val="APU16"/>
      <sheetName val="APU17"/>
      <sheetName val="APU18"/>
      <sheetName val="APU19"/>
      <sheetName val="APU20"/>
      <sheetName val="APU21"/>
      <sheetName val="APU22"/>
      <sheetName val="APU23"/>
      <sheetName val="APU24"/>
      <sheetName val="APU25"/>
      <sheetName val="APU26"/>
      <sheetName val="APU27"/>
      <sheetName val="APU28"/>
      <sheetName val="APU29"/>
      <sheetName val="APU30"/>
      <sheetName val="APU31"/>
      <sheetName val="APU32"/>
      <sheetName val="APU33"/>
      <sheetName val="APU34"/>
      <sheetName val="APU35"/>
      <sheetName val="APU36"/>
      <sheetName val="APU37"/>
      <sheetName val="APU38"/>
      <sheetName val="APU39"/>
      <sheetName val="APU40"/>
      <sheetName val="APU41"/>
      <sheetName val="APU42"/>
      <sheetName val="APU43"/>
      <sheetName val="APU44"/>
      <sheetName val="APU45"/>
      <sheetName val="APU46"/>
      <sheetName val="APU47"/>
      <sheetName val="APU48"/>
      <sheetName val="APU49"/>
      <sheetName val="APU50"/>
      <sheetName val="APU51"/>
      <sheetName val="APU52"/>
      <sheetName val="APU53"/>
      <sheetName val="APU54"/>
      <sheetName val="APU55"/>
      <sheetName val="APU56"/>
      <sheetName val="APU57"/>
      <sheetName val="APU58"/>
      <sheetName val="APU59"/>
      <sheetName val="APU60"/>
      <sheetName val="APU61"/>
      <sheetName val="APU62"/>
      <sheetName val="APU63"/>
      <sheetName val="APU64"/>
      <sheetName val="APU65"/>
      <sheetName val="APU66"/>
      <sheetName val="APU67"/>
      <sheetName val="APU68"/>
      <sheetName val="APU69"/>
      <sheetName val="APU70"/>
      <sheetName val="APU71"/>
      <sheetName val="APU72"/>
      <sheetName val="APU73"/>
      <sheetName val="APU74"/>
      <sheetName val="APU75"/>
      <sheetName val="APU76"/>
      <sheetName val="APU77"/>
      <sheetName val="APU78"/>
      <sheetName val="APU79"/>
      <sheetName val="APU80"/>
      <sheetName val="APU81"/>
      <sheetName val="APU82"/>
      <sheetName val="APU83"/>
      <sheetName val="APU84"/>
      <sheetName val="APU85"/>
      <sheetName val="APU86"/>
      <sheetName val="APU87"/>
      <sheetName val="APU88"/>
      <sheetName val="APU89"/>
      <sheetName val="APU90"/>
      <sheetName val="APU91"/>
      <sheetName val="APU92"/>
      <sheetName val="APU93"/>
      <sheetName val="APU94"/>
      <sheetName val="APU95"/>
      <sheetName val="APU96"/>
      <sheetName val="APU97"/>
      <sheetName val="APU98"/>
      <sheetName val="APU99"/>
      <sheetName val="APU100"/>
      <sheetName val="APU101"/>
      <sheetName val="APU102"/>
      <sheetName val="APU103"/>
      <sheetName val="APU104"/>
      <sheetName val="APU105"/>
      <sheetName val="APU106"/>
      <sheetName val="APU107"/>
      <sheetName val="APU108"/>
      <sheetName val="APU109"/>
      <sheetName val="APU110"/>
      <sheetName val="APU111"/>
      <sheetName val="APU112"/>
      <sheetName val="APU113"/>
      <sheetName val="APU114"/>
      <sheetName val="APU115"/>
      <sheetName val="APU116"/>
      <sheetName val="APU117"/>
      <sheetName val="APU118"/>
      <sheetName val="APU119"/>
      <sheetName val="APU120"/>
      <sheetName val="APU121"/>
      <sheetName val="APU122"/>
      <sheetName val="APU123"/>
      <sheetName val="APU124"/>
    </sheetNames>
    <sheetDataSet>
      <sheetData sheetId="0"/>
      <sheetData sheetId="1"/>
      <sheetData sheetId="2"/>
      <sheetData sheetId="3"/>
      <sheetData sheetId="4"/>
      <sheetData sheetId="5">
        <row r="3">
          <cell r="C3">
            <v>0.97304718690742986</v>
          </cell>
        </row>
      </sheetData>
      <sheetData sheetId="6">
        <row r="3">
          <cell r="C3">
            <v>1.1330471869074299</v>
          </cell>
        </row>
      </sheetData>
      <sheetData sheetId="7">
        <row r="3">
          <cell r="C3">
            <v>1.387984064708671</v>
          </cell>
        </row>
      </sheetData>
      <sheetData sheetId="8">
        <row r="3">
          <cell r="C3">
            <v>0.83972037760416673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1DBD-C2DD-489A-BE68-3881860B8DFB}">
  <sheetPr codeName="Hoja1">
    <pageSetUpPr fitToPage="1"/>
  </sheetPr>
  <dimension ref="A1:AO86"/>
  <sheetViews>
    <sheetView topLeftCell="G1" workbookViewId="0">
      <selection activeCell="P19" sqref="P19"/>
    </sheetView>
  </sheetViews>
  <sheetFormatPr baseColWidth="10" defaultRowHeight="14.4" x14ac:dyDescent="0.3"/>
  <cols>
    <col min="1" max="1" width="5.6640625" style="2" bestFit="1" customWidth="1"/>
    <col min="2" max="2" width="23.6640625" style="2" bestFit="1" customWidth="1"/>
    <col min="3" max="3" width="11" style="2" bestFit="1" customWidth="1"/>
    <col min="4" max="4" width="9.6640625" style="2" bestFit="1" customWidth="1"/>
    <col min="5" max="5" width="13.44140625" style="50" customWidth="1"/>
    <col min="6" max="6" width="56.88671875" style="50" customWidth="1"/>
    <col min="7" max="7" width="11.44140625" style="21"/>
    <col min="8" max="8" width="11.44140625" style="2"/>
    <col min="9" max="9" width="13.88671875" style="7" customWidth="1"/>
    <col min="10" max="10" width="11.44140625" style="18"/>
    <col min="11" max="11" width="11.44140625" style="16"/>
    <col min="12" max="13" width="11.44140625" style="8"/>
    <col min="14" max="15" width="11.44140625" style="12"/>
    <col min="16" max="16" width="12.5546875" style="98" bestFit="1" customWidth="1"/>
    <col min="17" max="17" width="13" style="82" customWidth="1"/>
    <col min="18" max="18" width="13.88671875" style="60" customWidth="1"/>
    <col min="19" max="19" width="16.44140625" style="60" customWidth="1"/>
    <col min="20" max="20" width="11.44140625" style="24"/>
    <col min="21" max="21" width="12.88671875" customWidth="1"/>
    <col min="22" max="23" width="13" bestFit="1" customWidth="1"/>
    <col min="24" max="24" width="11.44140625" style="2"/>
  </cols>
  <sheetData>
    <row r="1" spans="1:41" ht="32.25" customHeight="1" x14ac:dyDescent="0.3">
      <c r="A1" s="40" t="s">
        <v>239</v>
      </c>
      <c r="B1" s="40"/>
      <c r="C1" s="40"/>
      <c r="D1" s="40"/>
      <c r="E1" s="45"/>
      <c r="F1" s="45"/>
      <c r="G1" s="40"/>
      <c r="H1" s="40"/>
      <c r="I1" s="44"/>
      <c r="J1" s="44"/>
      <c r="K1" s="40"/>
      <c r="L1" s="40"/>
      <c r="M1" s="40"/>
      <c r="N1" s="104"/>
      <c r="O1" s="40"/>
      <c r="P1" s="103"/>
      <c r="Q1" s="76"/>
      <c r="R1" s="44"/>
      <c r="S1" s="44"/>
      <c r="T1" s="40"/>
      <c r="U1" s="40"/>
      <c r="V1" s="40"/>
    </row>
    <row r="2" spans="1:41" x14ac:dyDescent="0.3">
      <c r="B2" s="1"/>
      <c r="C2" s="1"/>
      <c r="D2" s="1"/>
      <c r="E2" s="46"/>
      <c r="F2" s="46"/>
      <c r="G2" s="19"/>
      <c r="H2" s="5"/>
      <c r="I2" s="18"/>
      <c r="J2" s="14"/>
      <c r="L2" s="29">
        <v>0.04</v>
      </c>
      <c r="N2" s="11">
        <v>1.1499999999999999</v>
      </c>
      <c r="Q2" s="77"/>
      <c r="R2" s="57"/>
      <c r="S2" s="57"/>
    </row>
    <row r="3" spans="1:41" s="2" customFormat="1" ht="43.2" x14ac:dyDescent="0.3">
      <c r="A3" s="10" t="s">
        <v>14</v>
      </c>
      <c r="B3" s="1" t="s">
        <v>0</v>
      </c>
      <c r="C3" s="1" t="s">
        <v>9</v>
      </c>
      <c r="D3" s="1" t="s">
        <v>90</v>
      </c>
      <c r="E3" s="46" t="s">
        <v>91</v>
      </c>
      <c r="F3" s="1" t="s">
        <v>2</v>
      </c>
      <c r="G3" s="19" t="s">
        <v>3</v>
      </c>
      <c r="H3" s="5" t="s">
        <v>59</v>
      </c>
      <c r="I3" s="97" t="s">
        <v>210</v>
      </c>
      <c r="J3" s="14" t="s">
        <v>4</v>
      </c>
      <c r="K3" s="15" t="s">
        <v>60</v>
      </c>
      <c r="L3" s="56" t="s">
        <v>5</v>
      </c>
      <c r="M3" s="5" t="s">
        <v>7</v>
      </c>
      <c r="N3" s="105" t="s">
        <v>6</v>
      </c>
      <c r="O3" s="13" t="s">
        <v>58</v>
      </c>
      <c r="P3" s="99" t="s">
        <v>309</v>
      </c>
      <c r="Q3" s="6" t="s">
        <v>211</v>
      </c>
      <c r="R3" s="58" t="s">
        <v>203</v>
      </c>
      <c r="S3" s="58" t="s">
        <v>238</v>
      </c>
      <c r="T3" s="23" t="s">
        <v>95</v>
      </c>
      <c r="U3" s="6" t="s">
        <v>206</v>
      </c>
      <c r="V3" s="61" t="s">
        <v>204</v>
      </c>
      <c r="W3" s="1" t="s">
        <v>205</v>
      </c>
    </row>
    <row r="4" spans="1:41" x14ac:dyDescent="0.3">
      <c r="A4" s="27" t="s">
        <v>15</v>
      </c>
      <c r="B4" s="3" t="s">
        <v>1</v>
      </c>
      <c r="C4" s="3" t="s">
        <v>8</v>
      </c>
      <c r="D4" s="3">
        <v>1.5</v>
      </c>
      <c r="E4" s="110" t="s">
        <v>71</v>
      </c>
      <c r="F4" s="48" t="s">
        <v>84</v>
      </c>
      <c r="G4" s="20" t="s">
        <v>133</v>
      </c>
      <c r="H4" s="9"/>
      <c r="I4" s="9">
        <v>100</v>
      </c>
      <c r="J4" s="9">
        <v>1.3826000000000001</v>
      </c>
      <c r="K4" s="83">
        <f>+I4*J4</f>
        <v>138.26</v>
      </c>
      <c r="L4" s="9">
        <v>0</v>
      </c>
      <c r="M4" s="84">
        <f>+K4-L4</f>
        <v>138.26</v>
      </c>
      <c r="N4" s="11">
        <f>+M4*$N$2</f>
        <v>158.99899999999997</v>
      </c>
      <c r="O4" s="85"/>
      <c r="P4" s="100"/>
      <c r="Q4" s="86">
        <f>(+N4/I4)+0.2</f>
        <v>1.7899899999999995</v>
      </c>
      <c r="R4" s="59">
        <f>+Q4</f>
        <v>1.7899899999999995</v>
      </c>
      <c r="S4" s="20" t="s">
        <v>133</v>
      </c>
      <c r="T4" s="87"/>
      <c r="U4" s="88"/>
      <c r="V4" s="88"/>
      <c r="W4" s="88">
        <v>2.5</v>
      </c>
      <c r="X4" s="64" t="str">
        <f>+IF(W4&lt;Q4,"ERROR","")</f>
        <v/>
      </c>
    </row>
    <row r="5" spans="1:41" x14ac:dyDescent="0.3">
      <c r="A5" s="27" t="s">
        <v>16</v>
      </c>
      <c r="B5" s="3" t="s">
        <v>137</v>
      </c>
      <c r="C5" s="3" t="s">
        <v>103</v>
      </c>
      <c r="D5" s="3" t="s">
        <v>102</v>
      </c>
      <c r="E5" s="110" t="s">
        <v>221</v>
      </c>
      <c r="F5" s="50" t="s">
        <v>101</v>
      </c>
      <c r="G5" s="20" t="s">
        <v>98</v>
      </c>
      <c r="H5" s="9">
        <v>100</v>
      </c>
      <c r="I5" s="9">
        <v>5</v>
      </c>
      <c r="J5" s="9">
        <v>4</v>
      </c>
      <c r="K5" s="83">
        <f>+I5*J5</f>
        <v>20</v>
      </c>
      <c r="L5" s="9"/>
      <c r="M5" s="84">
        <f>+K5-L5</f>
        <v>20</v>
      </c>
      <c r="N5" s="11">
        <f>+M5*$N$2</f>
        <v>23</v>
      </c>
      <c r="O5" s="85"/>
      <c r="P5" s="100">
        <f>(+N5/I5)+2</f>
        <v>6.6</v>
      </c>
      <c r="Q5" s="86">
        <f>(+P5/H5)</f>
        <v>6.6000000000000003E-2</v>
      </c>
      <c r="R5" s="73">
        <f>+Q5</f>
        <v>6.6000000000000003E-2</v>
      </c>
      <c r="S5" s="20" t="s">
        <v>98</v>
      </c>
      <c r="T5" s="87">
        <v>0.2</v>
      </c>
      <c r="U5" s="22">
        <v>7.5</v>
      </c>
      <c r="V5" s="22">
        <f>+U5+0.2</f>
        <v>7.7</v>
      </c>
      <c r="W5" s="88">
        <f>+V5+0.1</f>
        <v>7.8</v>
      </c>
      <c r="X5" s="64" t="str">
        <f>+IF(W5&lt;P5,"ERROR","")</f>
        <v/>
      </c>
    </row>
    <row r="6" spans="1:41" x14ac:dyDescent="0.3">
      <c r="A6" s="41" t="s">
        <v>17</v>
      </c>
      <c r="B6" s="30" t="s">
        <v>18</v>
      </c>
      <c r="C6" s="30" t="s">
        <v>132</v>
      </c>
      <c r="D6" s="30"/>
      <c r="E6" s="170"/>
      <c r="F6" s="49" t="s">
        <v>122</v>
      </c>
      <c r="G6" s="30" t="s">
        <v>134</v>
      </c>
      <c r="H6" s="30"/>
      <c r="I6" s="31">
        <v>59</v>
      </c>
      <c r="J6" s="31">
        <v>10.27</v>
      </c>
      <c r="K6" s="139"/>
      <c r="L6" s="31"/>
      <c r="M6" s="140"/>
      <c r="N6" s="11">
        <f>+J6*1.15</f>
        <v>11.810499999999999</v>
      </c>
      <c r="O6" s="128"/>
      <c r="P6" s="100">
        <f>+N6</f>
        <v>11.810499999999999</v>
      </c>
      <c r="Q6" s="143"/>
      <c r="R6" s="73">
        <f>+U6</f>
        <v>27</v>
      </c>
      <c r="S6" s="30" t="s">
        <v>134</v>
      </c>
      <c r="T6" s="147"/>
      <c r="U6" s="32">
        <v>27</v>
      </c>
      <c r="V6" s="32">
        <f>+U6+1</f>
        <v>28</v>
      </c>
      <c r="W6" s="151">
        <f>+V6+2</f>
        <v>30</v>
      </c>
      <c r="X6" s="64" t="str">
        <f>+IF(U6&lt;P6,"ERROR","")</f>
        <v/>
      </c>
    </row>
    <row r="7" spans="1:41" x14ac:dyDescent="0.3">
      <c r="A7" s="65" t="s">
        <v>19</v>
      </c>
      <c r="B7" s="66" t="s">
        <v>18</v>
      </c>
      <c r="C7" s="66" t="s">
        <v>131</v>
      </c>
      <c r="D7" s="66" t="s">
        <v>128</v>
      </c>
      <c r="E7" s="67" t="s">
        <v>80</v>
      </c>
      <c r="F7" s="67" t="s">
        <v>118</v>
      </c>
      <c r="G7" s="68" t="s">
        <v>80</v>
      </c>
      <c r="H7" s="66"/>
      <c r="I7" s="69">
        <v>13</v>
      </c>
      <c r="J7" s="69">
        <v>49.61</v>
      </c>
      <c r="K7" s="123"/>
      <c r="L7" s="69"/>
      <c r="M7" s="125">
        <f>+I7*J7</f>
        <v>644.92999999999995</v>
      </c>
      <c r="N7" s="11">
        <f>+M7*1.15</f>
        <v>741.66949999999986</v>
      </c>
      <c r="O7" s="126"/>
      <c r="P7" s="100">
        <f>+N7/I7</f>
        <v>57.05149999999999</v>
      </c>
      <c r="Q7" s="130"/>
      <c r="R7" s="73">
        <f>+U7</f>
        <v>64</v>
      </c>
      <c r="S7" s="68" t="s">
        <v>80</v>
      </c>
      <c r="T7" s="135"/>
      <c r="U7" s="70">
        <v>64</v>
      </c>
      <c r="V7" s="72">
        <f>+U7+1</f>
        <v>65</v>
      </c>
      <c r="W7" s="150">
        <f>+V7+2</f>
        <v>67</v>
      </c>
      <c r="X7" s="64" t="str">
        <f>+IF(U7&lt;P7,"ERROR","")</f>
        <v/>
      </c>
    </row>
    <row r="8" spans="1:41" x14ac:dyDescent="0.3">
      <c r="A8" s="65" t="s">
        <v>20</v>
      </c>
      <c r="B8" s="66" t="s">
        <v>18</v>
      </c>
      <c r="C8" s="66" t="s">
        <v>131</v>
      </c>
      <c r="D8" s="66" t="s">
        <v>127</v>
      </c>
      <c r="E8" s="67" t="s">
        <v>80</v>
      </c>
      <c r="F8" s="67" t="s">
        <v>119</v>
      </c>
      <c r="G8" s="68" t="s">
        <v>80</v>
      </c>
      <c r="H8" s="66"/>
      <c r="I8" s="69">
        <v>62</v>
      </c>
      <c r="J8" s="69">
        <v>31.94</v>
      </c>
      <c r="K8" s="69"/>
      <c r="L8" s="69"/>
      <c r="M8" s="123">
        <f>+I8*J8</f>
        <v>1980.28</v>
      </c>
      <c r="N8" s="11">
        <f>+M8*1.15</f>
        <v>2277.3219999999997</v>
      </c>
      <c r="O8" s="126"/>
      <c r="P8" s="100">
        <f>+N8/I8</f>
        <v>36.730999999999995</v>
      </c>
      <c r="Q8" s="130"/>
      <c r="R8" s="73">
        <f>+U8</f>
        <v>48</v>
      </c>
      <c r="S8" s="68" t="s">
        <v>80</v>
      </c>
      <c r="T8" s="135"/>
      <c r="U8" s="70">
        <v>48</v>
      </c>
      <c r="V8" s="72">
        <f>+U8+1</f>
        <v>49</v>
      </c>
      <c r="W8" s="150">
        <f>+V8+1</f>
        <v>50</v>
      </c>
      <c r="X8" s="64" t="str">
        <f>+IF(U8&lt;P8,"ERROR","")</f>
        <v/>
      </c>
    </row>
    <row r="9" spans="1:41" x14ac:dyDescent="0.3">
      <c r="A9" s="65" t="s">
        <v>21</v>
      </c>
      <c r="B9" s="66" t="s">
        <v>18</v>
      </c>
      <c r="C9" s="66" t="s">
        <v>131</v>
      </c>
      <c r="D9" s="66" t="s">
        <v>222</v>
      </c>
      <c r="E9" s="67" t="s">
        <v>80</v>
      </c>
      <c r="F9" s="67" t="s">
        <v>117</v>
      </c>
      <c r="G9" s="68" t="s">
        <v>80</v>
      </c>
      <c r="H9" s="66"/>
      <c r="I9" s="69">
        <v>84</v>
      </c>
      <c r="J9" s="69">
        <v>22.05</v>
      </c>
      <c r="K9" s="69"/>
      <c r="L9" s="69"/>
      <c r="M9" s="123">
        <f>+I9*J9</f>
        <v>1852.2</v>
      </c>
      <c r="N9" s="11">
        <f>+M9*1.15</f>
        <v>2130.0299999999997</v>
      </c>
      <c r="O9" s="126"/>
      <c r="P9" s="100">
        <f>+N9/I9</f>
        <v>25.357499999999998</v>
      </c>
      <c r="Q9" s="142"/>
      <c r="R9" s="73">
        <f>+U9</f>
        <v>30</v>
      </c>
      <c r="S9" s="68" t="s">
        <v>80</v>
      </c>
      <c r="T9" s="135"/>
      <c r="U9" s="70">
        <v>30</v>
      </c>
      <c r="V9" s="150">
        <f>+U9+1</f>
        <v>31</v>
      </c>
      <c r="W9" s="72">
        <f>+V9+2</f>
        <v>33</v>
      </c>
      <c r="X9" s="64" t="str">
        <f>+IF(U9&lt;P9,"ERROR","")</f>
        <v/>
      </c>
    </row>
    <row r="10" spans="1:41" x14ac:dyDescent="0.3">
      <c r="A10" s="43" t="s">
        <v>22</v>
      </c>
      <c r="B10" s="35" t="s">
        <v>24</v>
      </c>
      <c r="C10" s="35" t="s">
        <v>214</v>
      </c>
      <c r="D10" s="35"/>
      <c r="E10" s="47"/>
      <c r="F10" s="47" t="s">
        <v>23</v>
      </c>
      <c r="G10" s="36" t="s">
        <v>3</v>
      </c>
      <c r="H10" s="35"/>
      <c r="I10" s="37">
        <v>1</v>
      </c>
      <c r="J10" s="37">
        <v>4.1100000000000003</v>
      </c>
      <c r="K10" s="37"/>
      <c r="L10" s="37"/>
      <c r="M10" s="141"/>
      <c r="N10" s="11">
        <f>+J10*1.15</f>
        <v>4.7264999999999997</v>
      </c>
      <c r="O10" s="129"/>
      <c r="P10" s="100">
        <f>+N10</f>
        <v>4.7264999999999997</v>
      </c>
      <c r="Q10" s="145"/>
      <c r="R10" s="73">
        <f>+P10</f>
        <v>4.7264999999999997</v>
      </c>
      <c r="S10" s="36" t="s">
        <v>3</v>
      </c>
      <c r="T10" s="149"/>
      <c r="U10" s="63"/>
      <c r="V10" s="63"/>
      <c r="W10" s="38"/>
    </row>
    <row r="11" spans="1:41" x14ac:dyDescent="0.3">
      <c r="A11" s="27" t="s">
        <v>25</v>
      </c>
      <c r="B11" s="3" t="s">
        <v>27</v>
      </c>
      <c r="C11" s="3" t="s">
        <v>215</v>
      </c>
      <c r="D11" s="3"/>
      <c r="E11" s="48"/>
      <c r="F11" s="48" t="s">
        <v>26</v>
      </c>
      <c r="G11" s="20" t="s">
        <v>3</v>
      </c>
      <c r="H11" s="3"/>
      <c r="I11" s="29">
        <v>1</v>
      </c>
      <c r="J11" s="29">
        <v>1</v>
      </c>
      <c r="K11" s="17"/>
      <c r="L11" s="9"/>
      <c r="M11" s="83"/>
      <c r="N11" s="11">
        <f>+J11*1.15</f>
        <v>1.1499999999999999</v>
      </c>
      <c r="O11" s="128"/>
      <c r="P11" s="100">
        <f>+N11+0.5</f>
        <v>1.65</v>
      </c>
      <c r="Q11" s="143"/>
      <c r="R11" s="73">
        <f>+P11</f>
        <v>1.65</v>
      </c>
      <c r="S11" s="20" t="s">
        <v>3</v>
      </c>
      <c r="T11" s="148"/>
      <c r="U11" s="32"/>
      <c r="V11" s="32"/>
      <c r="W11" s="34"/>
    </row>
    <row r="12" spans="1:41" x14ac:dyDescent="0.3">
      <c r="A12" s="27" t="s">
        <v>28</v>
      </c>
      <c r="B12" s="3" t="s">
        <v>27</v>
      </c>
      <c r="C12" s="3" t="s">
        <v>29</v>
      </c>
      <c r="D12" s="3"/>
      <c r="E12" s="48"/>
      <c r="F12" s="48" t="s">
        <v>29</v>
      </c>
      <c r="G12" s="20" t="s">
        <v>3</v>
      </c>
      <c r="H12" s="3"/>
      <c r="I12" s="29">
        <v>1</v>
      </c>
      <c r="J12" s="29">
        <v>13.5</v>
      </c>
      <c r="K12" s="17"/>
      <c r="L12" s="9"/>
      <c r="M12" s="83"/>
      <c r="N12" s="11">
        <f>+J12*1.15</f>
        <v>15.524999999999999</v>
      </c>
      <c r="O12" s="128"/>
      <c r="P12" s="100">
        <f>+N12+5</f>
        <v>20.524999999999999</v>
      </c>
      <c r="Q12" s="143"/>
      <c r="R12" s="73">
        <f>+P12</f>
        <v>20.524999999999999</v>
      </c>
      <c r="S12" s="20" t="s">
        <v>3</v>
      </c>
      <c r="T12" s="148"/>
      <c r="U12" s="32"/>
      <c r="V12" s="32"/>
      <c r="W12" s="34"/>
    </row>
    <row r="13" spans="1:41" x14ac:dyDescent="0.3">
      <c r="A13" s="65" t="s">
        <v>30</v>
      </c>
      <c r="B13" s="66" t="s">
        <v>18</v>
      </c>
      <c r="C13" s="66" t="s">
        <v>131</v>
      </c>
      <c r="D13" s="66" t="s">
        <v>129</v>
      </c>
      <c r="E13" s="67"/>
      <c r="F13" s="67" t="s">
        <v>126</v>
      </c>
      <c r="G13" s="68" t="s">
        <v>80</v>
      </c>
      <c r="H13" s="66"/>
      <c r="I13" s="69">
        <v>90</v>
      </c>
      <c r="J13" s="69">
        <v>65.459777777777774</v>
      </c>
      <c r="K13" s="69"/>
      <c r="L13" s="69"/>
      <c r="M13" s="123">
        <f>+I13*J13</f>
        <v>5891.3799999999992</v>
      </c>
      <c r="N13" s="11">
        <f>+M13*1.15</f>
        <v>6775.0869999999986</v>
      </c>
      <c r="O13" s="126"/>
      <c r="P13" s="100">
        <f>+N13/I13</f>
        <v>75.278744444444428</v>
      </c>
      <c r="Q13" s="130"/>
      <c r="R13" s="73">
        <f>+U13</f>
        <v>80</v>
      </c>
      <c r="S13" s="68" t="s">
        <v>80</v>
      </c>
      <c r="T13" s="132"/>
      <c r="U13" s="71">
        <v>80</v>
      </c>
      <c r="V13" s="71">
        <f>+U13+1</f>
        <v>81</v>
      </c>
      <c r="W13" s="71">
        <f>+V13+2</f>
        <v>83</v>
      </c>
      <c r="X13" s="64" t="str">
        <f>+IF(U13&lt;P13,"ERROR","")</f>
        <v/>
      </c>
      <c r="AO13" s="48" t="s">
        <v>101</v>
      </c>
    </row>
    <row r="14" spans="1:41" x14ac:dyDescent="0.3">
      <c r="A14" s="111" t="s">
        <v>31</v>
      </c>
      <c r="B14" s="112" t="s">
        <v>18</v>
      </c>
      <c r="C14" s="112" t="s">
        <v>150</v>
      </c>
      <c r="D14" s="112">
        <v>1.8</v>
      </c>
      <c r="E14" s="113" t="s">
        <v>80</v>
      </c>
      <c r="F14" s="113" t="s">
        <v>152</v>
      </c>
      <c r="G14" s="114" t="s">
        <v>133</v>
      </c>
      <c r="H14" s="112"/>
      <c r="I14" s="115">
        <v>1</v>
      </c>
      <c r="J14" s="115">
        <f>[1]APU3!$C$3</f>
        <v>1.387984064708671</v>
      </c>
      <c r="K14" s="115"/>
      <c r="L14" s="115"/>
      <c r="M14" s="124"/>
      <c r="N14" s="11">
        <f>+J14</f>
        <v>1.387984064708671</v>
      </c>
      <c r="O14" s="127"/>
      <c r="P14" s="100"/>
      <c r="Q14" s="131"/>
      <c r="R14" s="117">
        <f>+N14</f>
        <v>1.387984064708671</v>
      </c>
      <c r="S14" s="114" t="s">
        <v>133</v>
      </c>
      <c r="T14" s="146"/>
      <c r="U14" s="119">
        <v>3.25</v>
      </c>
      <c r="V14" s="119">
        <f>+U14+0.15</f>
        <v>3.4</v>
      </c>
      <c r="W14" s="119">
        <f>+V14+0.1</f>
        <v>3.5</v>
      </c>
      <c r="X14" s="120" t="str">
        <f>+IF(U14&lt;N14,"ERROR","")</f>
        <v/>
      </c>
    </row>
    <row r="15" spans="1:41" s="75" customFormat="1" x14ac:dyDescent="0.3">
      <c r="A15" s="27" t="s">
        <v>32</v>
      </c>
      <c r="B15" s="3" t="s">
        <v>33</v>
      </c>
      <c r="C15" s="3" t="s">
        <v>8</v>
      </c>
      <c r="D15" s="3">
        <v>1.5</v>
      </c>
      <c r="E15" s="110" t="s">
        <v>71</v>
      </c>
      <c r="F15" s="48" t="s">
        <v>85</v>
      </c>
      <c r="G15" s="20" t="s">
        <v>133</v>
      </c>
      <c r="H15" s="9"/>
      <c r="I15" s="9">
        <v>100</v>
      </c>
      <c r="J15" s="9">
        <v>1.47</v>
      </c>
      <c r="K15" s="9">
        <f>+I15*J15</f>
        <v>147</v>
      </c>
      <c r="L15" s="9"/>
      <c r="M15" s="83">
        <f>+K15-L15</f>
        <v>147</v>
      </c>
      <c r="N15" s="11">
        <f>+M15*$N$2</f>
        <v>169.04999999999998</v>
      </c>
      <c r="O15" s="85"/>
      <c r="P15" s="100"/>
      <c r="Q15" s="107">
        <f>(+N15/I15)+0.2</f>
        <v>1.8904999999999998</v>
      </c>
      <c r="R15" s="59">
        <f t="shared" ref="R15:R23" si="0">+Q15</f>
        <v>1.8904999999999998</v>
      </c>
      <c r="S15" s="20" t="s">
        <v>133</v>
      </c>
      <c r="T15" s="25"/>
      <c r="U15" s="88"/>
      <c r="V15" s="88"/>
      <c r="W15" s="88">
        <v>3</v>
      </c>
      <c r="X15" s="64" t="str">
        <f>+IF(W15&lt;Q15,"ERROR","")</f>
        <v/>
      </c>
    </row>
    <row r="16" spans="1:41" x14ac:dyDescent="0.3">
      <c r="A16" s="270" t="s">
        <v>34</v>
      </c>
      <c r="B16" s="271" t="s">
        <v>18</v>
      </c>
      <c r="C16" s="271" t="s">
        <v>208</v>
      </c>
      <c r="D16" s="271">
        <v>1.2</v>
      </c>
      <c r="E16" s="272" t="s">
        <v>207</v>
      </c>
      <c r="F16" s="272" t="s">
        <v>308</v>
      </c>
      <c r="G16" s="273" t="s">
        <v>133</v>
      </c>
      <c r="H16" s="271"/>
      <c r="I16" s="274">
        <v>1</v>
      </c>
      <c r="J16" s="274">
        <f>Q17+1.5</f>
        <v>2.9285714285714288</v>
      </c>
      <c r="K16" s="274">
        <f>+I16*J16</f>
        <v>2.9285714285714288</v>
      </c>
      <c r="L16" s="274"/>
      <c r="M16" s="274"/>
      <c r="N16" s="275">
        <f>+K16*1.15</f>
        <v>3.3678571428571429</v>
      </c>
      <c r="O16" s="276"/>
      <c r="P16" s="277"/>
      <c r="Q16" s="278">
        <f>+N16</f>
        <v>3.3678571428571429</v>
      </c>
      <c r="R16" s="219">
        <f t="shared" si="0"/>
        <v>3.3678571428571429</v>
      </c>
      <c r="S16" s="273" t="s">
        <v>133</v>
      </c>
      <c r="T16" s="279">
        <v>5</v>
      </c>
      <c r="U16" s="280">
        <v>4.8</v>
      </c>
      <c r="V16" s="280">
        <f>+U16+0.1</f>
        <v>4.8999999999999995</v>
      </c>
      <c r="W16" s="280">
        <f>+V16+0.1</f>
        <v>4.9999999999999991</v>
      </c>
      <c r="X16" s="64" t="str">
        <f>+IF(U16&lt;Q16,"ERROR","")</f>
        <v/>
      </c>
    </row>
    <row r="17" spans="1:24" s="305" customFormat="1" x14ac:dyDescent="0.3">
      <c r="A17" s="296" t="s">
        <v>35</v>
      </c>
      <c r="B17" s="297" t="s">
        <v>18</v>
      </c>
      <c r="C17" s="297" t="s">
        <v>8</v>
      </c>
      <c r="D17" s="297">
        <v>1.7</v>
      </c>
      <c r="E17" s="298" t="s">
        <v>71</v>
      </c>
      <c r="F17" s="298" t="s">
        <v>247</v>
      </c>
      <c r="G17" s="299" t="s">
        <v>80</v>
      </c>
      <c r="H17" s="297">
        <v>4.2</v>
      </c>
      <c r="I17" s="300">
        <v>25</v>
      </c>
      <c r="J17" s="300">
        <v>4.25</v>
      </c>
      <c r="K17" s="301"/>
      <c r="L17" s="300"/>
      <c r="M17" s="300"/>
      <c r="N17" s="300">
        <f>+J17*1.15</f>
        <v>4.8874999999999993</v>
      </c>
      <c r="O17" s="300"/>
      <c r="P17" s="304">
        <f>+N17</f>
        <v>4.8874999999999993</v>
      </c>
      <c r="Q17" s="300">
        <f>+U17/H17</f>
        <v>1.4285714285714286</v>
      </c>
      <c r="R17" s="302">
        <f t="shared" si="0"/>
        <v>1.4285714285714286</v>
      </c>
      <c r="S17" s="299" t="s">
        <v>80</v>
      </c>
      <c r="T17" s="303"/>
      <c r="U17" s="304">
        <v>6</v>
      </c>
      <c r="V17" s="300">
        <f>+U17+0.5</f>
        <v>6.5</v>
      </c>
      <c r="W17" s="300">
        <f>+V17+0.25</f>
        <v>6.75</v>
      </c>
      <c r="X17" s="297" t="str">
        <f>+IF(U17&lt;N17,"ERROR","")</f>
        <v/>
      </c>
    </row>
    <row r="18" spans="1:24" s="306" customFormat="1" x14ac:dyDescent="0.3">
      <c r="A18" s="296" t="s">
        <v>36</v>
      </c>
      <c r="B18" s="297" t="s">
        <v>18</v>
      </c>
      <c r="C18" s="297" t="s">
        <v>8</v>
      </c>
      <c r="D18" s="297">
        <v>1.7</v>
      </c>
      <c r="E18" s="298" t="s">
        <v>71</v>
      </c>
      <c r="F18" s="298" t="s">
        <v>249</v>
      </c>
      <c r="G18" s="299" t="s">
        <v>80</v>
      </c>
      <c r="H18" s="297">
        <v>3.67</v>
      </c>
      <c r="I18" s="300">
        <v>25</v>
      </c>
      <c r="J18" s="300">
        <v>4.2699999999999996</v>
      </c>
      <c r="K18" s="301"/>
      <c r="L18" s="300"/>
      <c r="M18" s="300"/>
      <c r="N18" s="300">
        <f>+J18*1.15</f>
        <v>4.910499999999999</v>
      </c>
      <c r="O18" s="300"/>
      <c r="P18" s="310">
        <f>+N18</f>
        <v>4.910499999999999</v>
      </c>
      <c r="Q18" s="300">
        <f>+U18/H18</f>
        <v>1.6348773841961852</v>
      </c>
      <c r="R18" s="302">
        <f t="shared" si="0"/>
        <v>1.6348773841961852</v>
      </c>
      <c r="S18" s="299" t="s">
        <v>80</v>
      </c>
      <c r="T18" s="303"/>
      <c r="U18" s="304">
        <v>6</v>
      </c>
      <c r="V18" s="300">
        <f t="shared" ref="V18:V20" si="1">+U18+0.5</f>
        <v>6.5</v>
      </c>
      <c r="W18" s="300">
        <f t="shared" ref="W18:W20" si="2">+V18+0.25</f>
        <v>6.75</v>
      </c>
      <c r="X18" s="297" t="str">
        <f>+IF(U18&lt;N18,"ERROR","")</f>
        <v/>
      </c>
    </row>
    <row r="19" spans="1:24" s="307" customFormat="1" x14ac:dyDescent="0.3">
      <c r="A19" s="296" t="s">
        <v>37</v>
      </c>
      <c r="B19" s="297" t="s">
        <v>18</v>
      </c>
      <c r="C19" s="297" t="s">
        <v>8</v>
      </c>
      <c r="D19" s="297">
        <v>1.7</v>
      </c>
      <c r="E19" s="298" t="s">
        <v>71</v>
      </c>
      <c r="F19" s="298" t="s">
        <v>250</v>
      </c>
      <c r="G19" s="299" t="s">
        <v>80</v>
      </c>
      <c r="H19" s="297">
        <v>3.92</v>
      </c>
      <c r="I19" s="300">
        <v>25</v>
      </c>
      <c r="J19" s="300">
        <v>4.21</v>
      </c>
      <c r="K19" s="301"/>
      <c r="L19" s="300"/>
      <c r="M19" s="300"/>
      <c r="N19" s="300">
        <f>+J19*1.15</f>
        <v>4.8414999999999999</v>
      </c>
      <c r="O19" s="300"/>
      <c r="P19" s="310">
        <f>+N19</f>
        <v>4.8414999999999999</v>
      </c>
      <c r="Q19" s="300">
        <f>+U19/H19</f>
        <v>1.5306122448979591</v>
      </c>
      <c r="R19" s="302">
        <f t="shared" si="0"/>
        <v>1.5306122448979591</v>
      </c>
      <c r="S19" s="299" t="s">
        <v>80</v>
      </c>
      <c r="T19" s="303"/>
      <c r="U19" s="304">
        <v>6</v>
      </c>
      <c r="V19" s="300">
        <f t="shared" si="1"/>
        <v>6.5</v>
      </c>
      <c r="W19" s="300">
        <f t="shared" si="2"/>
        <v>6.75</v>
      </c>
      <c r="X19" s="297" t="str">
        <f>+IF(U19&lt;N19,"ERROR","")</f>
        <v/>
      </c>
    </row>
    <row r="20" spans="1:24" s="305" customFormat="1" x14ac:dyDescent="0.3">
      <c r="A20" s="296" t="s">
        <v>38</v>
      </c>
      <c r="B20" s="297" t="s">
        <v>18</v>
      </c>
      <c r="C20" s="297" t="s">
        <v>8</v>
      </c>
      <c r="D20" s="297">
        <v>1.8</v>
      </c>
      <c r="E20" s="298" t="s">
        <v>71</v>
      </c>
      <c r="F20" s="298" t="s">
        <v>248</v>
      </c>
      <c r="G20" s="299" t="s">
        <v>80</v>
      </c>
      <c r="H20" s="297">
        <v>2.2999999999999998</v>
      </c>
      <c r="I20" s="300">
        <v>20</v>
      </c>
      <c r="J20" s="300">
        <v>5.38</v>
      </c>
      <c r="K20" s="301"/>
      <c r="L20" s="300"/>
      <c r="M20" s="300"/>
      <c r="N20" s="300">
        <f>+J20*1.15</f>
        <v>6.1869999999999994</v>
      </c>
      <c r="O20" s="300"/>
      <c r="P20" s="304">
        <f>+N20</f>
        <v>6.1869999999999994</v>
      </c>
      <c r="Q20" s="300">
        <f>+U20/H20</f>
        <v>3.4782608695652177</v>
      </c>
      <c r="R20" s="302">
        <f t="shared" si="0"/>
        <v>3.4782608695652177</v>
      </c>
      <c r="S20" s="299" t="s">
        <v>80</v>
      </c>
      <c r="T20" s="303"/>
      <c r="U20" s="304">
        <v>8</v>
      </c>
      <c r="V20" s="300">
        <f t="shared" si="1"/>
        <v>8.5</v>
      </c>
      <c r="W20" s="300">
        <f t="shared" si="2"/>
        <v>8.75</v>
      </c>
      <c r="X20" s="297" t="str">
        <f>+IF(U20&lt;N20,"ERROR","")</f>
        <v/>
      </c>
    </row>
    <row r="21" spans="1:24" s="2" customFormat="1" ht="15" customHeight="1" x14ac:dyDescent="0.3">
      <c r="A21" s="281" t="s">
        <v>39</v>
      </c>
      <c r="B21" s="282" t="s">
        <v>12</v>
      </c>
      <c r="C21" s="282" t="s">
        <v>11</v>
      </c>
      <c r="D21" s="282">
        <v>0.6</v>
      </c>
      <c r="E21" s="283" t="s">
        <v>207</v>
      </c>
      <c r="F21" s="284" t="s">
        <v>65</v>
      </c>
      <c r="G21" s="285" t="s">
        <v>13</v>
      </c>
      <c r="H21" s="286">
        <v>4.5</v>
      </c>
      <c r="I21" s="287">
        <v>13.18</v>
      </c>
      <c r="J21" s="287">
        <v>7.68</v>
      </c>
      <c r="K21" s="288">
        <f t="shared" ref="K21:K28" si="3">+I21*J21</f>
        <v>101.22239999999999</v>
      </c>
      <c r="L21" s="286">
        <f>+K21*$L$2</f>
        <v>4.0488960000000001</v>
      </c>
      <c r="M21" s="286">
        <f>+K21-L21</f>
        <v>97.173503999999994</v>
      </c>
      <c r="N21" s="289">
        <f t="shared" ref="N21:N28" si="4">+M21*$N$2</f>
        <v>111.74952959999999</v>
      </c>
      <c r="O21" s="290">
        <f>(+N21/I21)+1</f>
        <v>9.4787199999999991</v>
      </c>
      <c r="P21" s="291"/>
      <c r="Q21" s="292">
        <f>+O21/H21</f>
        <v>2.1063822222222219</v>
      </c>
      <c r="R21" s="293">
        <f t="shared" si="0"/>
        <v>2.1063822222222219</v>
      </c>
      <c r="S21" s="285" t="s">
        <v>13</v>
      </c>
      <c r="U21" s="294"/>
      <c r="V21" s="294"/>
      <c r="W21" s="295">
        <v>3.5</v>
      </c>
    </row>
    <row r="22" spans="1:24" s="2" customFormat="1" ht="15" customHeight="1" x14ac:dyDescent="0.3">
      <c r="A22" s="74" t="s">
        <v>40</v>
      </c>
      <c r="B22" s="89" t="s">
        <v>12</v>
      </c>
      <c r="C22" s="89" t="s">
        <v>8</v>
      </c>
      <c r="D22" s="89">
        <v>1.2</v>
      </c>
      <c r="E22" s="90" t="s">
        <v>207</v>
      </c>
      <c r="F22" s="90" t="s">
        <v>64</v>
      </c>
      <c r="G22" s="91" t="s">
        <v>13</v>
      </c>
      <c r="H22" s="92">
        <v>3.8</v>
      </c>
      <c r="I22" s="92">
        <v>21.36</v>
      </c>
      <c r="J22" s="92">
        <v>7.39</v>
      </c>
      <c r="K22" s="92">
        <f t="shared" si="3"/>
        <v>157.85039999999998</v>
      </c>
      <c r="L22" s="92">
        <f>+K22*$L$2</f>
        <v>6.3140159999999996</v>
      </c>
      <c r="M22" s="92">
        <f>+K22-L22</f>
        <v>151.53638399999997</v>
      </c>
      <c r="N22" s="106">
        <f t="shared" si="4"/>
        <v>174.26684159999996</v>
      </c>
      <c r="O22" s="93">
        <f>(+N22/I22)+1</f>
        <v>9.1585599999999978</v>
      </c>
      <c r="P22" s="101"/>
      <c r="Q22" s="94">
        <f>+O22/H22</f>
        <v>2.4101473684210521</v>
      </c>
      <c r="R22" s="73">
        <f t="shared" si="0"/>
        <v>2.4101473684210521</v>
      </c>
      <c r="S22" s="91" t="s">
        <v>13</v>
      </c>
      <c r="T22" s="95">
        <v>3.5</v>
      </c>
      <c r="U22" s="88">
        <v>9.5</v>
      </c>
      <c r="V22" s="96">
        <f>+U22+0.3</f>
        <v>9.8000000000000007</v>
      </c>
      <c r="W22" s="96">
        <f>+V22+0.2</f>
        <v>10</v>
      </c>
      <c r="X22" s="64" t="str">
        <f>+IF(U22&lt;O22,"ERROR","")</f>
        <v/>
      </c>
    </row>
    <row r="23" spans="1:24" x14ac:dyDescent="0.3">
      <c r="A23" s="27" t="s">
        <v>41</v>
      </c>
      <c r="B23" s="3" t="s">
        <v>137</v>
      </c>
      <c r="C23" s="3" t="s">
        <v>42</v>
      </c>
      <c r="D23" s="3" t="s">
        <v>92</v>
      </c>
      <c r="E23" s="110" t="s">
        <v>93</v>
      </c>
      <c r="F23" s="48" t="s">
        <v>94</v>
      </c>
      <c r="G23" s="20" t="s">
        <v>133</v>
      </c>
      <c r="H23" s="9">
        <v>45</v>
      </c>
      <c r="I23" s="9">
        <v>20</v>
      </c>
      <c r="J23" s="9">
        <v>4.6500000000000004</v>
      </c>
      <c r="K23" s="9">
        <f t="shared" si="3"/>
        <v>93</v>
      </c>
      <c r="L23" s="9"/>
      <c r="M23" s="9">
        <f>+K23-L23</f>
        <v>93</v>
      </c>
      <c r="N23" s="11">
        <f t="shared" si="4"/>
        <v>106.94999999999999</v>
      </c>
      <c r="O23" s="85"/>
      <c r="P23" s="100">
        <f>(+N23/I23)+1</f>
        <v>6.3474999999999993</v>
      </c>
      <c r="Q23" s="107">
        <f>+P23/H23</f>
        <v>0.14105555555555555</v>
      </c>
      <c r="R23" s="73">
        <f t="shared" si="0"/>
        <v>0.14105555555555555</v>
      </c>
      <c r="S23" s="20" t="s">
        <v>133</v>
      </c>
      <c r="T23" s="25">
        <v>0.25</v>
      </c>
      <c r="U23" s="22"/>
      <c r="V23" s="22"/>
      <c r="W23" s="22">
        <v>7</v>
      </c>
      <c r="X23" s="64" t="str">
        <f>+IF(W23&lt;P23,"ERROR","")</f>
        <v/>
      </c>
    </row>
    <row r="24" spans="1:24" s="2" customFormat="1" x14ac:dyDescent="0.3">
      <c r="A24" s="27" t="s">
        <v>43</v>
      </c>
      <c r="B24" s="3" t="s">
        <v>143</v>
      </c>
      <c r="C24" s="3" t="s">
        <v>224</v>
      </c>
      <c r="D24" s="3" t="s">
        <v>231</v>
      </c>
      <c r="E24" s="48"/>
      <c r="F24" s="48" t="s">
        <v>233</v>
      </c>
      <c r="G24" s="20" t="s">
        <v>133</v>
      </c>
      <c r="H24" s="9">
        <v>330</v>
      </c>
      <c r="I24" s="3">
        <v>1</v>
      </c>
      <c r="J24" s="9">
        <v>10</v>
      </c>
      <c r="K24" s="9">
        <f t="shared" si="3"/>
        <v>10</v>
      </c>
      <c r="L24" s="9">
        <f>+K24*$L$2</f>
        <v>0.4</v>
      </c>
      <c r="M24" s="9">
        <f>+K24-L24</f>
        <v>9.6</v>
      </c>
      <c r="N24" s="11">
        <f t="shared" si="4"/>
        <v>11.04</v>
      </c>
      <c r="O24" s="85"/>
      <c r="P24" s="100">
        <f>+Q24/H24</f>
        <v>4.8606060606060604E-2</v>
      </c>
      <c r="Q24" s="9">
        <f>(+N24/I24)+5</f>
        <v>16.04</v>
      </c>
      <c r="R24" s="73">
        <f>+P24</f>
        <v>4.8606060606060604E-2</v>
      </c>
      <c r="S24" s="20" t="s">
        <v>133</v>
      </c>
      <c r="T24" s="25"/>
      <c r="U24" s="22"/>
      <c r="V24" s="22"/>
      <c r="W24" s="25">
        <f>(+Q24+8)-0.04</f>
        <v>24</v>
      </c>
      <c r="X24" s="64" t="str">
        <f>+IF(W24&lt;Q24,"ERROR","")</f>
        <v/>
      </c>
    </row>
    <row r="25" spans="1:24" x14ac:dyDescent="0.3">
      <c r="A25" s="27" t="s">
        <v>44</v>
      </c>
      <c r="B25" s="3" t="s">
        <v>27</v>
      </c>
      <c r="C25" s="3" t="s">
        <v>45</v>
      </c>
      <c r="D25" s="3"/>
      <c r="E25" s="48" t="s">
        <v>144</v>
      </c>
      <c r="F25" s="48" t="s">
        <v>145</v>
      </c>
      <c r="G25" s="20" t="s">
        <v>3</v>
      </c>
      <c r="H25" s="9">
        <v>100</v>
      </c>
      <c r="I25" s="3">
        <v>1</v>
      </c>
      <c r="J25" s="9">
        <v>2.6349999999999998E-2</v>
      </c>
      <c r="K25" s="9">
        <f t="shared" si="3"/>
        <v>2.6349999999999998E-2</v>
      </c>
      <c r="L25" s="9">
        <f>+K25*$L$2</f>
        <v>1.054E-3</v>
      </c>
      <c r="M25" s="9">
        <f>+K25-L25</f>
        <v>2.5295999999999999E-2</v>
      </c>
      <c r="N25" s="11">
        <f t="shared" si="4"/>
        <v>2.9090399999999995E-2</v>
      </c>
      <c r="O25" s="85">
        <f>+N25/I25</f>
        <v>2.9090399999999995E-2</v>
      </c>
      <c r="P25" s="100">
        <f>(+N25)+0.02</f>
        <v>4.9090399999999992E-2</v>
      </c>
      <c r="Q25" s="107"/>
      <c r="R25" s="73">
        <f>+P25</f>
        <v>4.9090399999999992E-2</v>
      </c>
      <c r="S25" s="20" t="s">
        <v>3</v>
      </c>
      <c r="T25" s="28"/>
      <c r="U25" s="22"/>
      <c r="V25" s="22"/>
      <c r="W25" s="3"/>
    </row>
    <row r="26" spans="1:24" s="2" customFormat="1" ht="15" customHeight="1" x14ac:dyDescent="0.3">
      <c r="A26" s="43" t="s">
        <v>46</v>
      </c>
      <c r="B26" s="35" t="s">
        <v>73</v>
      </c>
      <c r="C26" s="35" t="s">
        <v>229</v>
      </c>
      <c r="D26" s="35"/>
      <c r="E26" s="171" t="s">
        <v>75</v>
      </c>
      <c r="F26" s="47" t="s">
        <v>82</v>
      </c>
      <c r="G26" s="36" t="s">
        <v>3</v>
      </c>
      <c r="H26" s="37"/>
      <c r="I26" s="37">
        <v>36</v>
      </c>
      <c r="J26" s="37">
        <v>1.2318</v>
      </c>
      <c r="K26" s="37">
        <f t="shared" si="3"/>
        <v>44.344799999999999</v>
      </c>
      <c r="L26" s="37">
        <v>0</v>
      </c>
      <c r="M26" s="37">
        <f>+K26</f>
        <v>44.344799999999999</v>
      </c>
      <c r="N26" s="11">
        <f t="shared" si="4"/>
        <v>50.996519999999997</v>
      </c>
      <c r="O26" s="129"/>
      <c r="P26" s="100">
        <f>(+N26/I26)+0.3</f>
        <v>1.7165699999999999</v>
      </c>
      <c r="Q26" s="81"/>
      <c r="R26" s="73">
        <f>+P26</f>
        <v>1.7165699999999999</v>
      </c>
      <c r="S26" s="36" t="s">
        <v>3</v>
      </c>
      <c r="T26" s="3"/>
      <c r="U26" s="38"/>
      <c r="V26" s="38">
        <v>19</v>
      </c>
      <c r="W26" s="39"/>
    </row>
    <row r="27" spans="1:24" s="2" customFormat="1" ht="15" customHeight="1" x14ac:dyDescent="0.3">
      <c r="A27" s="43" t="s">
        <v>47</v>
      </c>
      <c r="B27" s="35" t="s">
        <v>73</v>
      </c>
      <c r="C27" s="35" t="s">
        <v>229</v>
      </c>
      <c r="D27" s="35"/>
      <c r="E27" s="171" t="s">
        <v>75</v>
      </c>
      <c r="F27" s="47" t="s">
        <v>83</v>
      </c>
      <c r="G27" s="36" t="s">
        <v>3</v>
      </c>
      <c r="H27" s="37"/>
      <c r="I27" s="37">
        <v>36</v>
      </c>
      <c r="J27" s="37">
        <v>1.4131</v>
      </c>
      <c r="K27" s="37">
        <f t="shared" si="3"/>
        <v>50.871600000000001</v>
      </c>
      <c r="L27" s="37">
        <v>0</v>
      </c>
      <c r="M27" s="37">
        <f>+K27</f>
        <v>50.871600000000001</v>
      </c>
      <c r="N27" s="11">
        <f t="shared" si="4"/>
        <v>58.502339999999997</v>
      </c>
      <c r="O27" s="37"/>
      <c r="P27" s="100">
        <f>(+N27/I27)+0.3</f>
        <v>1.925065</v>
      </c>
      <c r="Q27" s="81"/>
      <c r="R27" s="73">
        <f>+P27</f>
        <v>1.925065</v>
      </c>
      <c r="S27" s="36" t="s">
        <v>3</v>
      </c>
      <c r="T27" s="3"/>
      <c r="U27" s="38"/>
      <c r="V27" s="38">
        <v>22</v>
      </c>
      <c r="W27" s="39"/>
    </row>
    <row r="28" spans="1:24" s="2" customFormat="1" ht="15" customHeight="1" x14ac:dyDescent="0.3">
      <c r="A28" s="27" t="s">
        <v>48</v>
      </c>
      <c r="B28" s="3" t="s">
        <v>12</v>
      </c>
      <c r="C28" s="3" t="s">
        <v>8</v>
      </c>
      <c r="D28" s="3">
        <v>1.2</v>
      </c>
      <c r="E28" s="48" t="s">
        <v>207</v>
      </c>
      <c r="F28" s="48" t="s">
        <v>148</v>
      </c>
      <c r="G28" s="20" t="s">
        <v>13</v>
      </c>
      <c r="H28" s="9">
        <v>2.4</v>
      </c>
      <c r="I28" s="9">
        <v>24.7</v>
      </c>
      <c r="J28" s="9">
        <v>10.72</v>
      </c>
      <c r="K28" s="9">
        <f t="shared" si="3"/>
        <v>264.78399999999999</v>
      </c>
      <c r="L28" s="9">
        <v>37.07</v>
      </c>
      <c r="M28" s="9">
        <f>+K28-L28</f>
        <v>227.714</v>
      </c>
      <c r="N28" s="11">
        <f t="shared" si="4"/>
        <v>261.87109999999996</v>
      </c>
      <c r="O28" s="92">
        <f>(+N28/I28)+1</f>
        <v>11.60206882591093</v>
      </c>
      <c r="P28" s="100"/>
      <c r="Q28" s="94">
        <f>+O28/H28</f>
        <v>4.8341953441295544</v>
      </c>
      <c r="R28" s="73">
        <f>+Q28</f>
        <v>4.8341953441295544</v>
      </c>
      <c r="S28" s="20" t="s">
        <v>133</v>
      </c>
      <c r="T28" s="25">
        <v>6</v>
      </c>
      <c r="U28" s="88">
        <v>13</v>
      </c>
      <c r="V28" s="96">
        <f>+U28+0.3</f>
        <v>13.3</v>
      </c>
      <c r="W28" s="136">
        <f>+V28+0.2</f>
        <v>13.5</v>
      </c>
      <c r="X28" s="64" t="str">
        <f>+IF(U28&lt;O28,"ERROR","")</f>
        <v/>
      </c>
    </row>
    <row r="29" spans="1:24" s="2" customFormat="1" ht="15" customHeight="1" x14ac:dyDescent="0.3">
      <c r="A29" s="111" t="s">
        <v>49</v>
      </c>
      <c r="B29" s="112" t="s">
        <v>18</v>
      </c>
      <c r="C29" s="112" t="s">
        <v>150</v>
      </c>
      <c r="D29" s="112">
        <v>1.1200000000000001</v>
      </c>
      <c r="E29" s="113"/>
      <c r="F29" s="113" t="s">
        <v>151</v>
      </c>
      <c r="G29" s="114" t="s">
        <v>133</v>
      </c>
      <c r="H29" s="112"/>
      <c r="I29" s="115">
        <v>1</v>
      </c>
      <c r="J29" s="115">
        <f>+[1]APU4!$C$3</f>
        <v>0.83972037760416673</v>
      </c>
      <c r="K29" s="115"/>
      <c r="L29" s="115"/>
      <c r="M29" s="115"/>
      <c r="N29" s="11">
        <f>+J29*1.15</f>
        <v>0.96567843424479172</v>
      </c>
      <c r="O29" s="115"/>
      <c r="P29" s="100"/>
      <c r="Q29" s="116"/>
      <c r="R29" s="117">
        <f>+N29</f>
        <v>0.96567843424479172</v>
      </c>
      <c r="S29" s="114" t="s">
        <v>133</v>
      </c>
      <c r="T29" s="118"/>
      <c r="U29" s="122">
        <v>2.5</v>
      </c>
      <c r="V29" s="119">
        <f>+U29+0.15</f>
        <v>2.65</v>
      </c>
      <c r="W29" s="138">
        <f>+V29+0.1</f>
        <v>2.75</v>
      </c>
      <c r="X29" s="120" t="str">
        <f>+IF(U29&lt;N29,"ERROR","")</f>
        <v/>
      </c>
    </row>
    <row r="30" spans="1:24" s="2" customFormat="1" ht="15" customHeight="1" x14ac:dyDescent="0.3">
      <c r="A30" s="27" t="s">
        <v>50</v>
      </c>
      <c r="B30" s="3" t="s">
        <v>89</v>
      </c>
      <c r="C30" s="3" t="s">
        <v>8</v>
      </c>
      <c r="D30" s="3">
        <v>1.5</v>
      </c>
      <c r="E30" s="110" t="s">
        <v>71</v>
      </c>
      <c r="F30" s="48" t="s">
        <v>88</v>
      </c>
      <c r="G30" s="20" t="s">
        <v>133</v>
      </c>
      <c r="H30" s="9"/>
      <c r="I30" s="9">
        <v>100</v>
      </c>
      <c r="J30" s="9">
        <v>1.52173</v>
      </c>
      <c r="K30" s="9">
        <f>+I30*J30</f>
        <v>152.173</v>
      </c>
      <c r="L30" s="9">
        <v>0</v>
      </c>
      <c r="M30" s="9">
        <f>+K30-L30</f>
        <v>152.173</v>
      </c>
      <c r="N30" s="11">
        <f>+M30*$N$2</f>
        <v>174.99894999999998</v>
      </c>
      <c r="O30" s="9"/>
      <c r="P30" s="100"/>
      <c r="Q30" s="107">
        <f>(+N30/I30)+0.2</f>
        <v>1.9499894999999998</v>
      </c>
      <c r="R30" s="59">
        <f>+Q30</f>
        <v>1.9499894999999998</v>
      </c>
      <c r="S30" s="20" t="s">
        <v>133</v>
      </c>
      <c r="U30" s="88"/>
      <c r="V30" s="88"/>
      <c r="W30" s="25">
        <v>3</v>
      </c>
      <c r="X30" s="64" t="str">
        <f>+IF(W30&lt;Q30,"ERROR","")</f>
        <v/>
      </c>
    </row>
    <row r="31" spans="1:24" x14ac:dyDescent="0.3">
      <c r="A31" s="27" t="s">
        <v>51</v>
      </c>
      <c r="B31" s="3" t="s">
        <v>1</v>
      </c>
      <c r="C31" s="3" t="s">
        <v>8</v>
      </c>
      <c r="D31" s="3">
        <v>1.5</v>
      </c>
      <c r="E31" s="110" t="s">
        <v>71</v>
      </c>
      <c r="F31" s="48" t="s">
        <v>66</v>
      </c>
      <c r="G31" s="20" t="s">
        <v>133</v>
      </c>
      <c r="H31" s="9"/>
      <c r="I31" s="9">
        <v>100</v>
      </c>
      <c r="J31" s="9">
        <v>2.08</v>
      </c>
      <c r="K31" s="9">
        <f>+I31*J31</f>
        <v>208</v>
      </c>
      <c r="L31" s="9">
        <v>6.24</v>
      </c>
      <c r="M31" s="9">
        <f>+K31-L31</f>
        <v>201.76</v>
      </c>
      <c r="N31" s="11">
        <f>+M31*$N$2</f>
        <v>232.02399999999997</v>
      </c>
      <c r="O31" s="9"/>
      <c r="P31" s="100"/>
      <c r="Q31" s="107">
        <f>(+N31/I31)+0.2</f>
        <v>2.5202399999999998</v>
      </c>
      <c r="R31" s="59">
        <f>+Q31</f>
        <v>2.5202399999999998</v>
      </c>
      <c r="S31" s="20" t="s">
        <v>133</v>
      </c>
      <c r="U31" s="88"/>
      <c r="V31" s="88"/>
      <c r="W31" s="25">
        <v>3.5</v>
      </c>
      <c r="X31" s="64" t="str">
        <f>+IF(W31&lt;Q31,"ERROR","")</f>
        <v/>
      </c>
    </row>
    <row r="32" spans="1:24" x14ac:dyDescent="0.3">
      <c r="A32" s="27" t="s">
        <v>52</v>
      </c>
      <c r="B32" s="3" t="s">
        <v>53</v>
      </c>
      <c r="C32" s="3" t="s">
        <v>10</v>
      </c>
      <c r="D32" s="3"/>
      <c r="E32" s="110"/>
      <c r="F32" s="48" t="s">
        <v>154</v>
      </c>
      <c r="G32" s="20" t="s">
        <v>3</v>
      </c>
      <c r="H32" s="9"/>
      <c r="I32" s="9">
        <v>100</v>
      </c>
      <c r="J32" s="9">
        <v>0.31303999999999998</v>
      </c>
      <c r="K32" s="9">
        <f>+I32*J32</f>
        <v>31.303999999999998</v>
      </c>
      <c r="L32" s="9"/>
      <c r="M32" s="9">
        <f>+K32</f>
        <v>31.303999999999998</v>
      </c>
      <c r="N32" s="11">
        <f>+M32*$N$2</f>
        <v>35.999599999999994</v>
      </c>
      <c r="O32" s="9"/>
      <c r="P32" s="100">
        <f>(+N32/I32)+0.1</f>
        <v>0.45999599999999996</v>
      </c>
      <c r="Q32" s="107"/>
      <c r="R32" s="73">
        <f>+P32</f>
        <v>0.45999599999999996</v>
      </c>
      <c r="S32" s="20" t="s">
        <v>3</v>
      </c>
      <c r="T32" s="25"/>
      <c r="U32" s="3"/>
      <c r="V32" s="3"/>
      <c r="W32" s="137">
        <v>1.25</v>
      </c>
      <c r="X32" s="64" t="str">
        <f>+IF(W32&lt;P32,"ERROR","")</f>
        <v/>
      </c>
    </row>
    <row r="33" spans="1:24" x14ac:dyDescent="0.3">
      <c r="A33" s="27" t="s">
        <v>54</v>
      </c>
      <c r="B33" s="3" t="s">
        <v>155</v>
      </c>
      <c r="C33" s="3" t="s">
        <v>156</v>
      </c>
      <c r="D33" s="3"/>
      <c r="E33" s="48"/>
      <c r="F33" s="48" t="s">
        <v>157</v>
      </c>
      <c r="G33" s="20" t="s">
        <v>3</v>
      </c>
      <c r="H33" s="3"/>
      <c r="I33" s="9">
        <v>1</v>
      </c>
      <c r="J33" s="9">
        <v>2</v>
      </c>
      <c r="K33" s="9"/>
      <c r="L33" s="9"/>
      <c r="M33" s="9"/>
      <c r="N33" s="11">
        <f>+J33*1.15</f>
        <v>2.2999999999999998</v>
      </c>
      <c r="O33" s="9"/>
      <c r="P33" s="100">
        <f>+N33+0.2</f>
        <v>2.5</v>
      </c>
      <c r="Q33" s="108"/>
      <c r="R33" s="73">
        <f>+P33</f>
        <v>2.5</v>
      </c>
      <c r="S33" s="20" t="s">
        <v>3</v>
      </c>
      <c r="T33" s="25"/>
      <c r="U33" s="88"/>
      <c r="V33" s="88"/>
    </row>
    <row r="34" spans="1:24" x14ac:dyDescent="0.3">
      <c r="A34" s="27" t="s">
        <v>55</v>
      </c>
      <c r="B34" s="3" t="s">
        <v>56</v>
      </c>
      <c r="C34" s="3" t="s">
        <v>158</v>
      </c>
      <c r="D34" s="3"/>
      <c r="E34" s="48"/>
      <c r="F34" s="48" t="s">
        <v>159</v>
      </c>
      <c r="G34" s="20" t="s">
        <v>3</v>
      </c>
      <c r="H34" s="3">
        <f>24*3</f>
        <v>72</v>
      </c>
      <c r="I34" s="9">
        <v>3</v>
      </c>
      <c r="J34" s="9">
        <v>1</v>
      </c>
      <c r="K34" s="9">
        <f>+I34*J34</f>
        <v>3</v>
      </c>
      <c r="L34" s="9"/>
      <c r="M34" s="9">
        <f>+K34</f>
        <v>3</v>
      </c>
      <c r="N34" s="11">
        <f>+M34*1.15</f>
        <v>3.4499999999999997</v>
      </c>
      <c r="O34" s="9"/>
      <c r="P34" s="100">
        <f>(+N34/H34)+0.03</f>
        <v>7.7916666666666662E-2</v>
      </c>
      <c r="Q34" s="108"/>
      <c r="R34" s="73">
        <f>+P34</f>
        <v>7.7916666666666662E-2</v>
      </c>
      <c r="S34" s="20" t="s">
        <v>3</v>
      </c>
      <c r="T34" s="25"/>
      <c r="U34" s="22"/>
      <c r="V34" s="22"/>
    </row>
    <row r="35" spans="1:24" x14ac:dyDescent="0.3">
      <c r="A35" s="111" t="s">
        <v>57</v>
      </c>
      <c r="B35" s="112" t="s">
        <v>18</v>
      </c>
      <c r="C35" s="112" t="s">
        <v>150</v>
      </c>
      <c r="D35" s="112">
        <v>1.62</v>
      </c>
      <c r="E35" s="113"/>
      <c r="F35" s="113" t="s">
        <v>160</v>
      </c>
      <c r="G35" s="114" t="s">
        <v>133</v>
      </c>
      <c r="H35" s="112"/>
      <c r="I35" s="115">
        <v>1</v>
      </c>
      <c r="J35" s="115">
        <f>[1]APU1!$C$3</f>
        <v>0.97304718690742986</v>
      </c>
      <c r="K35" s="115"/>
      <c r="L35" s="115"/>
      <c r="M35" s="115"/>
      <c r="N35" s="11">
        <f>+J35*1.15</f>
        <v>1.1190042649435443</v>
      </c>
      <c r="O35" s="115"/>
      <c r="P35" s="100"/>
      <c r="Q35" s="116"/>
      <c r="R35" s="117">
        <f>+N35</f>
        <v>1.1190042649435443</v>
      </c>
      <c r="S35" s="114" t="s">
        <v>133</v>
      </c>
      <c r="T35" s="118"/>
      <c r="U35" s="122">
        <v>3.1</v>
      </c>
      <c r="V35" s="119">
        <f>+U35+0.15</f>
        <v>3.25</v>
      </c>
      <c r="W35" s="138">
        <f>+V35+0.1</f>
        <v>3.35</v>
      </c>
      <c r="X35" s="120" t="str">
        <f>+IF(U35&lt;N35,"ERROR","")</f>
        <v/>
      </c>
    </row>
    <row r="36" spans="1:24" x14ac:dyDescent="0.3">
      <c r="A36" s="111" t="s">
        <v>161</v>
      </c>
      <c r="B36" s="112" t="s">
        <v>18</v>
      </c>
      <c r="C36" s="112" t="s">
        <v>150</v>
      </c>
      <c r="D36" s="112">
        <v>1.62</v>
      </c>
      <c r="E36" s="113"/>
      <c r="F36" s="113" t="s">
        <v>162</v>
      </c>
      <c r="G36" s="114" t="s">
        <v>133</v>
      </c>
      <c r="H36" s="112"/>
      <c r="I36" s="115">
        <v>1</v>
      </c>
      <c r="J36" s="115">
        <f>[1]APU2!$C$3</f>
        <v>1.1330471869074299</v>
      </c>
      <c r="K36" s="115"/>
      <c r="L36" s="115"/>
      <c r="M36" s="115"/>
      <c r="N36" s="11">
        <f>+J36*1.15</f>
        <v>1.3030042649435443</v>
      </c>
      <c r="O36" s="115"/>
      <c r="P36" s="100"/>
      <c r="Q36" s="144"/>
      <c r="R36" s="117">
        <f>+N36</f>
        <v>1.3030042649435443</v>
      </c>
      <c r="S36" s="114" t="s">
        <v>133</v>
      </c>
      <c r="T36" s="134"/>
      <c r="U36" s="119">
        <v>3.25</v>
      </c>
      <c r="V36" s="119">
        <f>+U36+0.15</f>
        <v>3.4</v>
      </c>
      <c r="W36" s="119">
        <f>+V36+0.1</f>
        <v>3.5</v>
      </c>
      <c r="X36" s="120" t="str">
        <f>+IF(U36&lt;N36,"ERROR","")</f>
        <v/>
      </c>
    </row>
    <row r="37" spans="1:24" x14ac:dyDescent="0.3">
      <c r="A37" s="27" t="s">
        <v>163</v>
      </c>
      <c r="B37" s="3" t="s">
        <v>68</v>
      </c>
      <c r="C37" s="3" t="s">
        <v>8</v>
      </c>
      <c r="D37" s="3">
        <v>1.5</v>
      </c>
      <c r="E37" s="110" t="s">
        <v>71</v>
      </c>
      <c r="F37" s="48" t="s">
        <v>67</v>
      </c>
      <c r="G37" s="20" t="s">
        <v>133</v>
      </c>
      <c r="H37" s="9"/>
      <c r="I37" s="9">
        <v>37</v>
      </c>
      <c r="J37" s="9">
        <v>2.7027000000000001</v>
      </c>
      <c r="K37" s="9">
        <f t="shared" ref="K37:K70" si="5">+I37*J37</f>
        <v>99.999899999999997</v>
      </c>
      <c r="L37" s="9">
        <v>0</v>
      </c>
      <c r="M37" s="9">
        <f t="shared" ref="M37:M44" si="6">+K37-L37</f>
        <v>99.999899999999997</v>
      </c>
      <c r="N37" s="11">
        <f t="shared" ref="N37:N70" si="7">+M37*$N$2</f>
        <v>114.99988499999999</v>
      </c>
      <c r="O37" s="9"/>
      <c r="P37" s="100"/>
      <c r="Q37" s="107">
        <f>(+N37/I37)+0.2</f>
        <v>3.3081049999999999</v>
      </c>
      <c r="R37" s="59">
        <f t="shared" ref="R37:R43" si="8">+Q37</f>
        <v>3.3081049999999999</v>
      </c>
      <c r="S37" s="20" t="s">
        <v>133</v>
      </c>
      <c r="T37" s="25"/>
      <c r="U37" s="88"/>
      <c r="V37" s="88"/>
      <c r="W37" s="4">
        <v>4</v>
      </c>
      <c r="X37" s="64" t="str">
        <f>+IF(W37&lt;Q37,"ERROR","")</f>
        <v/>
      </c>
    </row>
    <row r="38" spans="1:24" x14ac:dyDescent="0.3">
      <c r="A38" s="27" t="s">
        <v>164</v>
      </c>
      <c r="B38" s="3" t="s">
        <v>1</v>
      </c>
      <c r="C38" s="3" t="s">
        <v>8</v>
      </c>
      <c r="D38" s="3">
        <v>1.5</v>
      </c>
      <c r="E38" s="110" t="s">
        <v>71</v>
      </c>
      <c r="F38" s="48" t="s">
        <v>178</v>
      </c>
      <c r="G38" s="20" t="s">
        <v>133</v>
      </c>
      <c r="H38" s="9"/>
      <c r="I38" s="9">
        <v>100</v>
      </c>
      <c r="J38" s="9">
        <v>1.84</v>
      </c>
      <c r="K38" s="9">
        <f t="shared" si="5"/>
        <v>184</v>
      </c>
      <c r="L38" s="9">
        <v>0</v>
      </c>
      <c r="M38" s="9">
        <f t="shared" si="6"/>
        <v>184</v>
      </c>
      <c r="N38" s="11">
        <f t="shared" si="7"/>
        <v>211.6</v>
      </c>
      <c r="O38" s="9"/>
      <c r="P38" s="100"/>
      <c r="Q38" s="107">
        <f>(+N38/I38)+0.2</f>
        <v>2.3160000000000003</v>
      </c>
      <c r="R38" s="59">
        <f t="shared" si="8"/>
        <v>2.3160000000000003</v>
      </c>
      <c r="S38" s="20" t="s">
        <v>133</v>
      </c>
      <c r="U38" s="88"/>
      <c r="V38" s="88"/>
      <c r="W38" s="88">
        <v>4</v>
      </c>
      <c r="X38" s="64" t="str">
        <f>+IF(W38&lt;Q38,"ERROR","")</f>
        <v/>
      </c>
    </row>
    <row r="39" spans="1:24" x14ac:dyDescent="0.3">
      <c r="A39" s="27" t="s">
        <v>165</v>
      </c>
      <c r="B39" s="3" t="s">
        <v>135</v>
      </c>
      <c r="C39" s="3" t="s">
        <v>8</v>
      </c>
      <c r="D39" s="3">
        <v>1.5</v>
      </c>
      <c r="E39" s="48" t="s">
        <v>71</v>
      </c>
      <c r="F39" s="48" t="s">
        <v>121</v>
      </c>
      <c r="G39" s="20" t="s">
        <v>133</v>
      </c>
      <c r="H39" s="3"/>
      <c r="I39" s="9">
        <f>20*50</f>
        <v>1000</v>
      </c>
      <c r="J39" s="9">
        <v>0.5</v>
      </c>
      <c r="K39" s="9">
        <f t="shared" si="5"/>
        <v>500</v>
      </c>
      <c r="L39" s="9">
        <v>0</v>
      </c>
      <c r="M39" s="9">
        <f t="shared" si="6"/>
        <v>500</v>
      </c>
      <c r="N39" s="11">
        <f t="shared" si="7"/>
        <v>575</v>
      </c>
      <c r="O39" s="9"/>
      <c r="P39" s="100"/>
      <c r="Q39" s="107">
        <f>(+N39/I39)+0.2</f>
        <v>0.77499999999999991</v>
      </c>
      <c r="R39" s="59">
        <f t="shared" si="8"/>
        <v>0.77499999999999991</v>
      </c>
      <c r="S39" s="20" t="s">
        <v>133</v>
      </c>
      <c r="U39" s="88"/>
      <c r="V39" s="88"/>
      <c r="W39" s="24">
        <v>1.5</v>
      </c>
      <c r="X39" s="64" t="str">
        <f>+IF(W39&lt;Q39,"ERROR","")</f>
        <v/>
      </c>
    </row>
    <row r="40" spans="1:24" x14ac:dyDescent="0.3">
      <c r="A40" s="74" t="s">
        <v>166</v>
      </c>
      <c r="B40" s="89" t="s">
        <v>1</v>
      </c>
      <c r="C40" s="89" t="s">
        <v>8</v>
      </c>
      <c r="D40" s="89">
        <v>1.8</v>
      </c>
      <c r="E40" s="172" t="s">
        <v>71</v>
      </c>
      <c r="F40" s="90" t="s">
        <v>69</v>
      </c>
      <c r="G40" s="91" t="s">
        <v>13</v>
      </c>
      <c r="H40" s="92">
        <v>3.8</v>
      </c>
      <c r="I40" s="92">
        <v>121.24</v>
      </c>
      <c r="J40" s="92">
        <v>6.74</v>
      </c>
      <c r="K40" s="92">
        <f t="shared" si="5"/>
        <v>817.1576</v>
      </c>
      <c r="L40" s="92">
        <v>8.17</v>
      </c>
      <c r="M40" s="92">
        <f t="shared" si="6"/>
        <v>808.98760000000004</v>
      </c>
      <c r="N40" s="106">
        <f t="shared" si="7"/>
        <v>930.33573999999999</v>
      </c>
      <c r="O40" s="92">
        <f>(+N40/I40)+1</f>
        <v>8.6735049488617619</v>
      </c>
      <c r="P40" s="101"/>
      <c r="Q40" s="94">
        <f>+O40/H40</f>
        <v>2.2825013023320428</v>
      </c>
      <c r="R40" s="73">
        <f t="shared" si="8"/>
        <v>2.2825013023320428</v>
      </c>
      <c r="S40" s="20" t="s">
        <v>133</v>
      </c>
      <c r="T40" s="133">
        <v>3.5</v>
      </c>
      <c r="U40" s="88">
        <v>9.25</v>
      </c>
      <c r="V40" s="96">
        <f>+U40+0.3</f>
        <v>9.5500000000000007</v>
      </c>
      <c r="W40" s="96">
        <f>+V40+0.2</f>
        <v>9.75</v>
      </c>
      <c r="X40" s="64" t="str">
        <f>+IF(U40&lt;O40,"ERROR","")</f>
        <v/>
      </c>
    </row>
    <row r="41" spans="1:24" x14ac:dyDescent="0.3">
      <c r="A41" s="27" t="s">
        <v>167</v>
      </c>
      <c r="B41" s="3" t="s">
        <v>1</v>
      </c>
      <c r="C41" s="3" t="s">
        <v>8</v>
      </c>
      <c r="D41" s="3">
        <v>1.8</v>
      </c>
      <c r="E41" s="110" t="s">
        <v>71</v>
      </c>
      <c r="F41" s="48" t="s">
        <v>70</v>
      </c>
      <c r="G41" s="20" t="s">
        <v>13</v>
      </c>
      <c r="H41" s="9">
        <v>3.8</v>
      </c>
      <c r="I41" s="9">
        <v>241.88</v>
      </c>
      <c r="J41" s="9">
        <v>6.74</v>
      </c>
      <c r="K41" s="9">
        <f t="shared" si="5"/>
        <v>1630.2711999999999</v>
      </c>
      <c r="L41" s="9">
        <v>16.309999999999999</v>
      </c>
      <c r="M41" s="9">
        <f t="shared" si="6"/>
        <v>1613.9612</v>
      </c>
      <c r="N41" s="11">
        <f t="shared" si="7"/>
        <v>1856.0553799999998</v>
      </c>
      <c r="O41" s="92">
        <f>(+N41/I41)+1</f>
        <v>8.6734553497602107</v>
      </c>
      <c r="P41" s="101"/>
      <c r="Q41" s="94">
        <f>+O41/H41</f>
        <v>2.2824882499368977</v>
      </c>
      <c r="R41" s="73">
        <f t="shared" si="8"/>
        <v>2.2824882499368977</v>
      </c>
      <c r="S41" s="20" t="s">
        <v>133</v>
      </c>
      <c r="T41" s="133">
        <v>3.5</v>
      </c>
      <c r="U41" s="88">
        <v>9.25</v>
      </c>
      <c r="V41" s="96">
        <f>+U41+0.3</f>
        <v>9.5500000000000007</v>
      </c>
      <c r="W41" s="96">
        <f>+V41+0.2</f>
        <v>9.75</v>
      </c>
      <c r="X41" s="64" t="str">
        <f>+IF(U41&lt;O41,"ERROR","")</f>
        <v/>
      </c>
    </row>
    <row r="42" spans="1:24" x14ac:dyDescent="0.3">
      <c r="A42" s="27" t="s">
        <v>168</v>
      </c>
      <c r="B42" s="3" t="s">
        <v>1</v>
      </c>
      <c r="C42" s="3" t="s">
        <v>8</v>
      </c>
      <c r="D42" s="3">
        <v>1.8</v>
      </c>
      <c r="E42" s="110" t="s">
        <v>71</v>
      </c>
      <c r="F42" s="48" t="s">
        <v>72</v>
      </c>
      <c r="G42" s="20" t="s">
        <v>13</v>
      </c>
      <c r="H42" s="9">
        <v>3.8</v>
      </c>
      <c r="I42" s="9">
        <v>244.02</v>
      </c>
      <c r="J42" s="9">
        <v>6.74</v>
      </c>
      <c r="K42" s="9">
        <f t="shared" si="5"/>
        <v>1644.6948000000002</v>
      </c>
      <c r="L42" s="9">
        <v>16.45</v>
      </c>
      <c r="M42" s="9">
        <f t="shared" si="6"/>
        <v>1628.2448000000002</v>
      </c>
      <c r="N42" s="11">
        <f t="shared" si="7"/>
        <v>1872.48152</v>
      </c>
      <c r="O42" s="92">
        <f>(+N42/I42)+1</f>
        <v>8.6734756167527252</v>
      </c>
      <c r="P42" s="101"/>
      <c r="Q42" s="94">
        <f>+O42/H42</f>
        <v>2.2824935833559805</v>
      </c>
      <c r="R42" s="73">
        <f t="shared" si="8"/>
        <v>2.2824935833559805</v>
      </c>
      <c r="S42" s="20" t="s">
        <v>133</v>
      </c>
      <c r="T42" s="133">
        <v>3.5</v>
      </c>
      <c r="U42" s="88">
        <v>9.25</v>
      </c>
      <c r="V42" s="96">
        <f>+U42+0.3</f>
        <v>9.5500000000000007</v>
      </c>
      <c r="W42" s="96">
        <f>+V42+0.2</f>
        <v>9.75</v>
      </c>
      <c r="X42" s="64" t="str">
        <f>+IF(U42&lt;O42,"ERROR","")</f>
        <v/>
      </c>
    </row>
    <row r="43" spans="1:24" x14ac:dyDescent="0.3">
      <c r="A43" s="42" t="s">
        <v>169</v>
      </c>
      <c r="B43" s="3" t="s">
        <v>76</v>
      </c>
      <c r="C43" s="3" t="s">
        <v>200</v>
      </c>
      <c r="D43" s="3"/>
      <c r="E43" s="110"/>
      <c r="F43" s="48" t="s">
        <v>202</v>
      </c>
      <c r="G43" s="20" t="s">
        <v>80</v>
      </c>
      <c r="H43" s="9">
        <v>18.29</v>
      </c>
      <c r="I43" s="9">
        <v>1</v>
      </c>
      <c r="J43" s="9">
        <v>5.75</v>
      </c>
      <c r="K43" s="9">
        <f t="shared" si="5"/>
        <v>5.75</v>
      </c>
      <c r="L43" s="9"/>
      <c r="M43" s="9">
        <f t="shared" si="6"/>
        <v>5.75</v>
      </c>
      <c r="N43" s="11">
        <f t="shared" si="7"/>
        <v>6.6124999999999998</v>
      </c>
      <c r="O43" s="9"/>
      <c r="P43" s="100">
        <f>(+N43/I43)+1</f>
        <v>7.6124999999999998</v>
      </c>
      <c r="Q43" s="107">
        <f>+P43/H43</f>
        <v>0.41621104428649536</v>
      </c>
      <c r="R43" s="73">
        <f t="shared" si="8"/>
        <v>0.41621104428649536</v>
      </c>
      <c r="S43" s="20" t="s">
        <v>80</v>
      </c>
      <c r="T43" s="24">
        <v>1</v>
      </c>
      <c r="U43" s="22"/>
      <c r="V43" s="22"/>
      <c r="W43" s="22">
        <v>9</v>
      </c>
      <c r="X43" s="64" t="str">
        <f>+IF(W43&lt;P43,"ERROR","")</f>
        <v/>
      </c>
    </row>
    <row r="44" spans="1:24" x14ac:dyDescent="0.3">
      <c r="A44" s="42" t="s">
        <v>170</v>
      </c>
      <c r="B44" s="51" t="s">
        <v>76</v>
      </c>
      <c r="C44" s="51" t="s">
        <v>225</v>
      </c>
      <c r="D44" s="51"/>
      <c r="E44" s="173"/>
      <c r="F44" s="52" t="s">
        <v>236</v>
      </c>
      <c r="G44" s="53" t="s">
        <v>3</v>
      </c>
      <c r="H44" s="29">
        <v>1000</v>
      </c>
      <c r="I44" s="29">
        <v>1</v>
      </c>
      <c r="J44" s="29">
        <v>7.75</v>
      </c>
      <c r="K44" s="29">
        <f t="shared" si="5"/>
        <v>7.75</v>
      </c>
      <c r="L44" s="29"/>
      <c r="M44" s="29">
        <f t="shared" si="6"/>
        <v>7.75</v>
      </c>
      <c r="N44" s="11">
        <f t="shared" si="7"/>
        <v>8.9124999999999996</v>
      </c>
      <c r="O44" s="29"/>
      <c r="P44" s="102">
        <f>+N44/H44</f>
        <v>8.9125000000000003E-3</v>
      </c>
      <c r="Q44" s="22"/>
      <c r="R44" s="73">
        <f>+P44</f>
        <v>8.9125000000000003E-3</v>
      </c>
      <c r="S44" s="53" t="s">
        <v>3</v>
      </c>
      <c r="T44" s="62"/>
      <c r="U44" s="55"/>
      <c r="V44" s="55"/>
      <c r="W44" s="54">
        <v>0.02</v>
      </c>
      <c r="X44" s="64" t="str">
        <f>+IF(W44&lt;P44,"ERROR","")</f>
        <v/>
      </c>
    </row>
    <row r="45" spans="1:24" x14ac:dyDescent="0.3">
      <c r="A45" s="27" t="s">
        <v>171</v>
      </c>
      <c r="B45" s="3" t="s">
        <v>76</v>
      </c>
      <c r="C45" s="3" t="s">
        <v>77</v>
      </c>
      <c r="D45" s="3"/>
      <c r="E45" s="110" t="s">
        <v>81</v>
      </c>
      <c r="F45" s="48" t="s">
        <v>79</v>
      </c>
      <c r="G45" s="20" t="s">
        <v>3</v>
      </c>
      <c r="H45" s="9"/>
      <c r="I45" s="9">
        <v>72</v>
      </c>
      <c r="J45" s="9">
        <v>1.86</v>
      </c>
      <c r="K45" s="9">
        <f t="shared" si="5"/>
        <v>133.92000000000002</v>
      </c>
      <c r="L45" s="9">
        <v>0</v>
      </c>
      <c r="M45" s="9">
        <f>+K45</f>
        <v>133.92000000000002</v>
      </c>
      <c r="N45" s="11">
        <f t="shared" si="7"/>
        <v>154.00800000000001</v>
      </c>
      <c r="O45" s="9"/>
      <c r="P45" s="100">
        <f>(+N45/I45)+0.2</f>
        <v>2.3390000000000004</v>
      </c>
      <c r="Q45" s="108"/>
      <c r="R45" s="73">
        <f>+P45</f>
        <v>2.3390000000000004</v>
      </c>
      <c r="S45" s="20" t="s">
        <v>3</v>
      </c>
      <c r="U45" s="22"/>
      <c r="V45" s="22"/>
      <c r="W45" s="25">
        <v>3</v>
      </c>
      <c r="X45" s="64" t="str">
        <f>+IF(W45&lt;P45,"ERROR","")</f>
        <v/>
      </c>
    </row>
    <row r="46" spans="1:24" x14ac:dyDescent="0.3">
      <c r="A46" s="27" t="s">
        <v>174</v>
      </c>
      <c r="B46" s="35" t="s">
        <v>76</v>
      </c>
      <c r="C46" s="35" t="s">
        <v>78</v>
      </c>
      <c r="D46" s="35"/>
      <c r="E46" s="171" t="s">
        <v>80</v>
      </c>
      <c r="F46" s="47" t="s">
        <v>237</v>
      </c>
      <c r="G46" s="37" t="s">
        <v>133</v>
      </c>
      <c r="H46" s="37"/>
      <c r="I46" s="37">
        <v>100</v>
      </c>
      <c r="J46" s="37">
        <v>1.0434399999999999</v>
      </c>
      <c r="K46" s="37">
        <f t="shared" si="5"/>
        <v>104.34399999999999</v>
      </c>
      <c r="L46" s="37"/>
      <c r="M46" s="37">
        <f>+K46-L46</f>
        <v>104.34399999999999</v>
      </c>
      <c r="N46" s="11">
        <f t="shared" si="7"/>
        <v>119.99559999999998</v>
      </c>
      <c r="O46" s="37"/>
      <c r="P46" s="100">
        <f>+N46+10</f>
        <v>129.99559999999997</v>
      </c>
      <c r="Q46" s="80">
        <f>+P46/I46</f>
        <v>1.2999559999999997</v>
      </c>
      <c r="R46" s="73">
        <f>+Q46</f>
        <v>1.2999559999999997</v>
      </c>
      <c r="S46" s="37" t="s">
        <v>133</v>
      </c>
      <c r="U46" s="38"/>
      <c r="V46" s="38"/>
      <c r="W46" s="39">
        <v>2.5</v>
      </c>
      <c r="X46" s="64" t="str">
        <f>+IF(W46&lt;Q46,"ERROR","")</f>
        <v/>
      </c>
    </row>
    <row r="47" spans="1:24" x14ac:dyDescent="0.3">
      <c r="A47" s="27" t="s">
        <v>153</v>
      </c>
      <c r="B47" s="3" t="s">
        <v>76</v>
      </c>
      <c r="C47" s="3" t="s">
        <v>42</v>
      </c>
      <c r="D47" s="3" t="s">
        <v>104</v>
      </c>
      <c r="E47" s="110"/>
      <c r="F47" s="48" t="s">
        <v>105</v>
      </c>
      <c r="G47" s="20" t="s">
        <v>98</v>
      </c>
      <c r="H47" s="9">
        <v>45</v>
      </c>
      <c r="I47" s="9">
        <v>1</v>
      </c>
      <c r="J47" s="9">
        <v>13</v>
      </c>
      <c r="K47" s="9">
        <f t="shared" si="5"/>
        <v>13</v>
      </c>
      <c r="L47" s="9"/>
      <c r="M47" s="9">
        <f>+K47-L47</f>
        <v>13</v>
      </c>
      <c r="N47" s="11">
        <f t="shared" si="7"/>
        <v>14.95</v>
      </c>
      <c r="O47" s="9"/>
      <c r="P47" s="100">
        <f>(+N47/I47)+1</f>
        <v>15.95</v>
      </c>
      <c r="Q47" s="107">
        <f>+N47/H47</f>
        <v>0.3322222222222222</v>
      </c>
      <c r="R47" s="73">
        <f>+Q47</f>
        <v>0.3322222222222222</v>
      </c>
      <c r="S47" s="20" t="s">
        <v>98</v>
      </c>
      <c r="T47" s="24">
        <v>0.75</v>
      </c>
      <c r="U47" s="22"/>
      <c r="V47" s="22"/>
      <c r="W47" s="22">
        <v>17</v>
      </c>
      <c r="X47" s="64" t="str">
        <f t="shared" ref="X47:X57" si="9">+IF(W47&lt;P47,"ERROR","")</f>
        <v/>
      </c>
    </row>
    <row r="48" spans="1:24" x14ac:dyDescent="0.3">
      <c r="A48" s="27" t="s">
        <v>172</v>
      </c>
      <c r="B48" s="3" t="s">
        <v>137</v>
      </c>
      <c r="C48" s="3" t="s">
        <v>42</v>
      </c>
      <c r="D48" s="3" t="s">
        <v>96</v>
      </c>
      <c r="E48" s="110"/>
      <c r="F48" s="48" t="s">
        <v>100</v>
      </c>
      <c r="G48" s="20" t="s">
        <v>98</v>
      </c>
      <c r="H48" s="9">
        <v>45</v>
      </c>
      <c r="I48" s="9">
        <v>5</v>
      </c>
      <c r="J48" s="9">
        <f>3.15+0.16</f>
        <v>3.31</v>
      </c>
      <c r="K48" s="9">
        <f t="shared" si="5"/>
        <v>16.55</v>
      </c>
      <c r="L48" s="9"/>
      <c r="M48" s="9">
        <f>+K48-L48</f>
        <v>16.55</v>
      </c>
      <c r="N48" s="11">
        <f t="shared" si="7"/>
        <v>19.032499999999999</v>
      </c>
      <c r="O48" s="9"/>
      <c r="P48" s="100">
        <f>(+N48/I48)+1</f>
        <v>4.8064999999999998</v>
      </c>
      <c r="Q48" s="107">
        <f>+P48/H48</f>
        <v>0.10681111111111111</v>
      </c>
      <c r="R48" s="73">
        <f>+Q48</f>
        <v>0.10681111111111111</v>
      </c>
      <c r="S48" s="20" t="s">
        <v>98</v>
      </c>
      <c r="T48" s="24">
        <v>0.2</v>
      </c>
      <c r="U48" s="22"/>
      <c r="V48" s="22"/>
      <c r="W48" s="22">
        <v>6</v>
      </c>
      <c r="X48" s="64" t="str">
        <f t="shared" si="9"/>
        <v/>
      </c>
    </row>
    <row r="49" spans="1:24" ht="27" customHeight="1" x14ac:dyDescent="0.3">
      <c r="A49" s="27" t="s">
        <v>175</v>
      </c>
      <c r="B49" s="3" t="s">
        <v>53</v>
      </c>
      <c r="C49" s="3" t="s">
        <v>10</v>
      </c>
      <c r="D49" s="3"/>
      <c r="E49" s="110"/>
      <c r="F49" s="110" t="s">
        <v>116</v>
      </c>
      <c r="G49" s="20" t="s">
        <v>3</v>
      </c>
      <c r="H49" s="9"/>
      <c r="I49" s="9">
        <v>100</v>
      </c>
      <c r="J49" s="9">
        <v>6.2E-2</v>
      </c>
      <c r="K49" s="9">
        <f t="shared" si="5"/>
        <v>6.2</v>
      </c>
      <c r="L49" s="9"/>
      <c r="M49" s="9">
        <f t="shared" ref="M49:M59" si="10">+K49</f>
        <v>6.2</v>
      </c>
      <c r="N49" s="11">
        <f t="shared" si="7"/>
        <v>7.13</v>
      </c>
      <c r="O49" s="9"/>
      <c r="P49" s="100">
        <f t="shared" ref="P49:P57" si="11">(+N49/I49)+0.1</f>
        <v>0.17130000000000001</v>
      </c>
      <c r="Q49" s="107"/>
      <c r="R49" s="73">
        <f>+P49</f>
        <v>0.17130000000000001</v>
      </c>
      <c r="S49" s="20" t="s">
        <v>3</v>
      </c>
      <c r="U49" s="3"/>
      <c r="V49" s="3"/>
      <c r="W49" s="109">
        <v>0.25</v>
      </c>
      <c r="X49" s="64" t="str">
        <f t="shared" si="9"/>
        <v/>
      </c>
    </row>
    <row r="50" spans="1:24" x14ac:dyDescent="0.3">
      <c r="A50" s="27" t="s">
        <v>173</v>
      </c>
      <c r="B50" s="3" t="s">
        <v>53</v>
      </c>
      <c r="C50" s="3" t="s">
        <v>10</v>
      </c>
      <c r="D50" s="3"/>
      <c r="E50" s="110"/>
      <c r="F50" s="48" t="s">
        <v>114</v>
      </c>
      <c r="G50" s="20" t="s">
        <v>3</v>
      </c>
      <c r="H50" s="9"/>
      <c r="I50" s="9">
        <v>200</v>
      </c>
      <c r="J50" s="9">
        <v>0.15</v>
      </c>
      <c r="K50" s="9">
        <f t="shared" si="5"/>
        <v>30</v>
      </c>
      <c r="L50" s="9"/>
      <c r="M50" s="9">
        <f t="shared" si="10"/>
        <v>30</v>
      </c>
      <c r="N50" s="11">
        <f t="shared" si="7"/>
        <v>34.5</v>
      </c>
      <c r="O50" s="9"/>
      <c r="P50" s="100">
        <f t="shared" si="11"/>
        <v>0.27249999999999996</v>
      </c>
      <c r="Q50" s="108"/>
      <c r="R50" s="73">
        <f>+P50</f>
        <v>0.27249999999999996</v>
      </c>
      <c r="S50" s="20" t="s">
        <v>3</v>
      </c>
      <c r="T50" s="25"/>
      <c r="U50" s="22"/>
      <c r="V50" s="22"/>
      <c r="W50" s="24">
        <v>0.3</v>
      </c>
      <c r="X50" s="64" t="str">
        <f t="shared" si="9"/>
        <v/>
      </c>
    </row>
    <row r="51" spans="1:24" x14ac:dyDescent="0.3">
      <c r="A51" s="27" t="s">
        <v>176</v>
      </c>
      <c r="B51" s="3" t="s">
        <v>53</v>
      </c>
      <c r="C51" s="3" t="s">
        <v>10</v>
      </c>
      <c r="D51" s="3"/>
      <c r="E51" s="110"/>
      <c r="F51" s="48" t="s">
        <v>115</v>
      </c>
      <c r="G51" s="20" t="s">
        <v>3</v>
      </c>
      <c r="H51" s="9"/>
      <c r="I51" s="9">
        <v>100</v>
      </c>
      <c r="J51" s="9">
        <v>0.15709000000000001</v>
      </c>
      <c r="K51" s="9">
        <f t="shared" si="5"/>
        <v>15.709000000000001</v>
      </c>
      <c r="L51" s="9"/>
      <c r="M51" s="9">
        <f t="shared" si="10"/>
        <v>15.709000000000001</v>
      </c>
      <c r="N51" s="11">
        <f t="shared" si="7"/>
        <v>18.065349999999999</v>
      </c>
      <c r="O51" s="9"/>
      <c r="P51" s="100">
        <f t="shared" si="11"/>
        <v>0.2806535</v>
      </c>
      <c r="Q51" s="108"/>
      <c r="R51" s="73">
        <f>+P51</f>
        <v>0.2806535</v>
      </c>
      <c r="S51" s="20" t="s">
        <v>3</v>
      </c>
      <c r="U51" s="22"/>
      <c r="V51" s="22"/>
      <c r="W51" s="25">
        <v>0.4</v>
      </c>
      <c r="X51" s="64" t="str">
        <f t="shared" si="9"/>
        <v/>
      </c>
    </row>
    <row r="52" spans="1:24" ht="14.25" customHeight="1" x14ac:dyDescent="0.3">
      <c r="A52" s="27" t="s">
        <v>177</v>
      </c>
      <c r="B52" s="3" t="s">
        <v>53</v>
      </c>
      <c r="C52" s="3" t="s">
        <v>10</v>
      </c>
      <c r="D52" s="3"/>
      <c r="E52" s="110"/>
      <c r="F52" s="48" t="s">
        <v>136</v>
      </c>
      <c r="G52" s="20" t="s">
        <v>3</v>
      </c>
      <c r="H52" s="9"/>
      <c r="I52" s="9">
        <v>100</v>
      </c>
      <c r="J52" s="9">
        <v>0.1366</v>
      </c>
      <c r="K52" s="9">
        <f t="shared" si="5"/>
        <v>13.66</v>
      </c>
      <c r="L52" s="9"/>
      <c r="M52" s="9">
        <f t="shared" si="10"/>
        <v>13.66</v>
      </c>
      <c r="N52" s="11">
        <f t="shared" si="7"/>
        <v>15.709</v>
      </c>
      <c r="O52" s="9"/>
      <c r="P52" s="100">
        <f t="shared" si="11"/>
        <v>0.25709000000000004</v>
      </c>
      <c r="Q52" s="107"/>
      <c r="R52" s="73">
        <f>+P52</f>
        <v>0.25709000000000004</v>
      </c>
      <c r="S52" s="20" t="s">
        <v>3</v>
      </c>
      <c r="U52" s="3"/>
      <c r="V52" s="3"/>
      <c r="W52" s="109">
        <v>0.45</v>
      </c>
      <c r="X52" s="64" t="str">
        <f t="shared" si="9"/>
        <v/>
      </c>
    </row>
    <row r="53" spans="1:24" x14ac:dyDescent="0.3">
      <c r="A53" s="27" t="s">
        <v>179</v>
      </c>
      <c r="B53" s="3" t="s">
        <v>53</v>
      </c>
      <c r="C53" s="3" t="s">
        <v>10</v>
      </c>
      <c r="D53" s="3"/>
      <c r="E53" s="110"/>
      <c r="F53" s="48" t="s">
        <v>141</v>
      </c>
      <c r="G53" s="20" t="s">
        <v>3</v>
      </c>
      <c r="H53" s="9"/>
      <c r="I53" s="9">
        <v>100</v>
      </c>
      <c r="J53" s="9">
        <v>0.26085999999999998</v>
      </c>
      <c r="K53" s="9">
        <f t="shared" si="5"/>
        <v>26.085999999999999</v>
      </c>
      <c r="L53" s="9"/>
      <c r="M53" s="9">
        <f t="shared" si="10"/>
        <v>26.085999999999999</v>
      </c>
      <c r="N53" s="11">
        <f t="shared" si="7"/>
        <v>29.998899999999995</v>
      </c>
      <c r="O53" s="9"/>
      <c r="P53" s="100">
        <f t="shared" si="11"/>
        <v>0.39998899999999993</v>
      </c>
      <c r="Q53" s="107"/>
      <c r="R53" s="73">
        <f>+P53</f>
        <v>0.39998899999999993</v>
      </c>
      <c r="S53" s="20" t="s">
        <v>3</v>
      </c>
      <c r="T53" s="25"/>
      <c r="U53" s="2"/>
      <c r="V53" s="3"/>
      <c r="W53" s="109">
        <v>0.5</v>
      </c>
      <c r="X53" s="64" t="str">
        <f t="shared" si="9"/>
        <v/>
      </c>
    </row>
    <row r="54" spans="1:24" x14ac:dyDescent="0.3">
      <c r="A54" s="27" t="s">
        <v>180</v>
      </c>
      <c r="B54" s="3" t="s">
        <v>53</v>
      </c>
      <c r="C54" s="3" t="s">
        <v>10</v>
      </c>
      <c r="D54" s="3"/>
      <c r="E54" s="110"/>
      <c r="F54" s="48" t="s">
        <v>138</v>
      </c>
      <c r="G54" s="20" t="s">
        <v>3</v>
      </c>
      <c r="H54" s="9"/>
      <c r="I54" s="9">
        <v>100</v>
      </c>
      <c r="J54" s="9">
        <v>0.33346999999999999</v>
      </c>
      <c r="K54" s="9">
        <f t="shared" si="5"/>
        <v>33.347000000000001</v>
      </c>
      <c r="L54" s="9"/>
      <c r="M54" s="9">
        <f t="shared" si="10"/>
        <v>33.347000000000001</v>
      </c>
      <c r="N54" s="11">
        <f t="shared" si="7"/>
        <v>38.349049999999998</v>
      </c>
      <c r="O54" s="9"/>
      <c r="P54" s="100">
        <f t="shared" si="11"/>
        <v>0.48349049999999993</v>
      </c>
      <c r="Q54" s="107"/>
      <c r="R54" s="73">
        <v>0.5</v>
      </c>
      <c r="S54" s="20" t="s">
        <v>3</v>
      </c>
      <c r="T54" s="25"/>
      <c r="U54" s="2"/>
      <c r="V54" s="3"/>
      <c r="W54" s="109">
        <v>0.7</v>
      </c>
      <c r="X54" s="64" t="str">
        <f t="shared" si="9"/>
        <v/>
      </c>
    </row>
    <row r="55" spans="1:24" x14ac:dyDescent="0.3">
      <c r="A55" s="27" t="s">
        <v>181</v>
      </c>
      <c r="B55" s="3" t="s">
        <v>53</v>
      </c>
      <c r="C55" s="3" t="s">
        <v>10</v>
      </c>
      <c r="D55" s="3"/>
      <c r="E55" s="110"/>
      <c r="F55" s="48" t="s">
        <v>140</v>
      </c>
      <c r="G55" s="20" t="s">
        <v>3</v>
      </c>
      <c r="H55" s="9"/>
      <c r="I55" s="9">
        <v>100</v>
      </c>
      <c r="J55" s="9">
        <v>0.29565000000000002</v>
      </c>
      <c r="K55" s="9">
        <f t="shared" si="5"/>
        <v>29.565000000000001</v>
      </c>
      <c r="L55" s="9"/>
      <c r="M55" s="9">
        <f t="shared" si="10"/>
        <v>29.565000000000001</v>
      </c>
      <c r="N55" s="11">
        <f t="shared" si="7"/>
        <v>33.999749999999999</v>
      </c>
      <c r="O55" s="9"/>
      <c r="P55" s="100">
        <f t="shared" si="11"/>
        <v>0.43999750000000004</v>
      </c>
      <c r="Q55" s="107"/>
      <c r="R55" s="73">
        <v>0.6</v>
      </c>
      <c r="S55" s="20" t="s">
        <v>3</v>
      </c>
      <c r="T55" s="25"/>
      <c r="U55" s="2"/>
      <c r="V55" s="3"/>
      <c r="W55" s="109">
        <v>1</v>
      </c>
      <c r="X55" s="64" t="str">
        <f t="shared" si="9"/>
        <v/>
      </c>
    </row>
    <row r="56" spans="1:24" x14ac:dyDescent="0.3">
      <c r="A56" s="27" t="s">
        <v>184</v>
      </c>
      <c r="B56" s="3" t="s">
        <v>53</v>
      </c>
      <c r="C56" s="3" t="s">
        <v>10</v>
      </c>
      <c r="D56" s="3"/>
      <c r="E56" s="110"/>
      <c r="F56" s="48" t="s">
        <v>139</v>
      </c>
      <c r="G56" s="20" t="s">
        <v>3</v>
      </c>
      <c r="H56" s="9"/>
      <c r="I56" s="9">
        <v>100</v>
      </c>
      <c r="J56" s="9">
        <v>0.94433999999999996</v>
      </c>
      <c r="K56" s="9">
        <f t="shared" si="5"/>
        <v>94.433999999999997</v>
      </c>
      <c r="L56" s="9"/>
      <c r="M56" s="9">
        <f t="shared" si="10"/>
        <v>94.433999999999997</v>
      </c>
      <c r="N56" s="11">
        <f t="shared" si="7"/>
        <v>108.59909999999999</v>
      </c>
      <c r="O56" s="9"/>
      <c r="P56" s="100">
        <f t="shared" si="11"/>
        <v>1.185991</v>
      </c>
      <c r="Q56" s="107"/>
      <c r="R56" s="73">
        <v>1.2</v>
      </c>
      <c r="S56" s="20" t="s">
        <v>3</v>
      </c>
      <c r="T56" s="25"/>
      <c r="U56" s="2"/>
      <c r="V56" s="3"/>
      <c r="W56" s="109">
        <v>1.75</v>
      </c>
      <c r="X56" s="64" t="str">
        <f t="shared" si="9"/>
        <v/>
      </c>
    </row>
    <row r="57" spans="1:24" x14ac:dyDescent="0.3">
      <c r="A57" s="27" t="s">
        <v>182</v>
      </c>
      <c r="B57" s="3" t="s">
        <v>53</v>
      </c>
      <c r="C57" s="3" t="s">
        <v>10</v>
      </c>
      <c r="D57" s="3"/>
      <c r="E57" s="110"/>
      <c r="F57" s="48" t="s">
        <v>142</v>
      </c>
      <c r="G57" s="20" t="s">
        <v>3</v>
      </c>
      <c r="H57" s="9"/>
      <c r="I57" s="9">
        <v>100</v>
      </c>
      <c r="J57" s="9">
        <v>0.52170000000000005</v>
      </c>
      <c r="K57" s="9">
        <f t="shared" si="5"/>
        <v>52.17</v>
      </c>
      <c r="L57" s="9"/>
      <c r="M57" s="9">
        <f t="shared" si="10"/>
        <v>52.17</v>
      </c>
      <c r="N57" s="11">
        <f t="shared" si="7"/>
        <v>59.9955</v>
      </c>
      <c r="O57" s="9"/>
      <c r="P57" s="100">
        <f t="shared" si="11"/>
        <v>0.69995499999999999</v>
      </c>
      <c r="Q57" s="107"/>
      <c r="R57" s="73">
        <f>+P57</f>
        <v>0.69995499999999999</v>
      </c>
      <c r="S57" s="20" t="s">
        <v>3</v>
      </c>
      <c r="T57" s="25"/>
      <c r="U57" s="3"/>
      <c r="V57" s="3"/>
      <c r="W57" s="109">
        <v>1.5</v>
      </c>
      <c r="X57" s="64" t="str">
        <f t="shared" si="9"/>
        <v/>
      </c>
    </row>
    <row r="58" spans="1:24" x14ac:dyDescent="0.3">
      <c r="A58" s="27" t="s">
        <v>185</v>
      </c>
      <c r="B58" s="35" t="s">
        <v>110</v>
      </c>
      <c r="C58" s="35" t="s">
        <v>111</v>
      </c>
      <c r="D58" s="35"/>
      <c r="E58" s="171" t="s">
        <v>112</v>
      </c>
      <c r="F58" s="47" t="s">
        <v>113</v>
      </c>
      <c r="G58" s="36" t="s">
        <v>112</v>
      </c>
      <c r="H58" s="37"/>
      <c r="I58" s="37">
        <v>10</v>
      </c>
      <c r="J58" s="37">
        <v>4.9130000000000003</v>
      </c>
      <c r="K58" s="37">
        <f t="shared" si="5"/>
        <v>49.13</v>
      </c>
      <c r="L58" s="37"/>
      <c r="M58" s="37">
        <f t="shared" si="10"/>
        <v>49.13</v>
      </c>
      <c r="N58" s="11">
        <f t="shared" si="7"/>
        <v>56.499499999999998</v>
      </c>
      <c r="O58" s="100">
        <f>(+N58/I58)+2</f>
        <v>7.6499499999999996</v>
      </c>
      <c r="P58" s="100"/>
      <c r="Q58" s="81"/>
      <c r="R58" s="73">
        <f>+O58</f>
        <v>7.6499499999999996</v>
      </c>
      <c r="S58" s="20" t="s">
        <v>133</v>
      </c>
      <c r="T58" s="39"/>
      <c r="U58" s="38"/>
      <c r="V58" s="38"/>
      <c r="W58" s="22">
        <v>8.5</v>
      </c>
      <c r="X58" s="64" t="str">
        <f>+IF(W58&lt;O58,"ERROR","")</f>
        <v/>
      </c>
    </row>
    <row r="59" spans="1:24" x14ac:dyDescent="0.3">
      <c r="A59" s="27" t="s">
        <v>186</v>
      </c>
      <c r="B59" s="3" t="s">
        <v>106</v>
      </c>
      <c r="C59" s="3" t="s">
        <v>131</v>
      </c>
      <c r="D59" s="3" t="s">
        <v>107</v>
      </c>
      <c r="E59" s="110" t="s">
        <v>108</v>
      </c>
      <c r="F59" s="48" t="s">
        <v>109</v>
      </c>
      <c r="G59" s="20" t="s">
        <v>3</v>
      </c>
      <c r="H59" s="9"/>
      <c r="I59" s="9">
        <v>1000</v>
      </c>
      <c r="J59" s="9">
        <v>6.3299999999999995E-2</v>
      </c>
      <c r="K59" s="9">
        <f t="shared" si="5"/>
        <v>63.3</v>
      </c>
      <c r="L59" s="9"/>
      <c r="M59" s="9">
        <f t="shared" si="10"/>
        <v>63.3</v>
      </c>
      <c r="N59" s="11">
        <f t="shared" si="7"/>
        <v>72.794999999999987</v>
      </c>
      <c r="O59" s="9"/>
      <c r="P59" s="100">
        <f>(+N59/I59)+0.1</f>
        <v>0.17279499999999998</v>
      </c>
      <c r="Q59" s="108"/>
      <c r="R59" s="73">
        <f>+P59</f>
        <v>0.17279499999999998</v>
      </c>
      <c r="S59" s="20" t="s">
        <v>3</v>
      </c>
      <c r="T59" s="25"/>
      <c r="V59" s="22"/>
      <c r="W59" s="25">
        <v>0.75</v>
      </c>
      <c r="X59" s="64" t="str">
        <f>+IF(W59&lt;P59,"ERROR","")</f>
        <v/>
      </c>
    </row>
    <row r="60" spans="1:24" x14ac:dyDescent="0.3">
      <c r="A60" s="27" t="s">
        <v>187</v>
      </c>
      <c r="B60" s="3" t="s">
        <v>137</v>
      </c>
      <c r="C60" s="3" t="s">
        <v>226</v>
      </c>
      <c r="D60" s="3" t="s">
        <v>97</v>
      </c>
      <c r="E60" s="110"/>
      <c r="F60" s="48" t="s">
        <v>99</v>
      </c>
      <c r="G60" s="20" t="s">
        <v>98</v>
      </c>
      <c r="H60" s="3">
        <v>91</v>
      </c>
      <c r="I60" s="9">
        <v>5</v>
      </c>
      <c r="J60" s="9">
        <f>8.51+0.16</f>
        <v>8.67</v>
      </c>
      <c r="K60" s="9">
        <f t="shared" si="5"/>
        <v>43.35</v>
      </c>
      <c r="L60" s="9"/>
      <c r="M60" s="9">
        <f t="shared" ref="M60:M70" si="12">+K60-L60</f>
        <v>43.35</v>
      </c>
      <c r="N60" s="11">
        <f t="shared" si="7"/>
        <v>49.852499999999999</v>
      </c>
      <c r="O60" s="9"/>
      <c r="P60" s="100">
        <f>(+N60/I60)+1</f>
        <v>10.970499999999999</v>
      </c>
      <c r="Q60" s="107">
        <f>+P60/H60</f>
        <v>0.12055494505494505</v>
      </c>
      <c r="R60" s="73">
        <f t="shared" ref="R60:R66" si="13">+Q60</f>
        <v>0.12055494505494505</v>
      </c>
      <c r="S60" s="20" t="s">
        <v>98</v>
      </c>
      <c r="T60" s="25">
        <v>0.2</v>
      </c>
      <c r="U60" s="22"/>
      <c r="V60" s="22"/>
      <c r="W60">
        <v>12</v>
      </c>
      <c r="X60" s="64" t="str">
        <f>+IF(W60&lt;P60,"ERROR","")</f>
        <v/>
      </c>
    </row>
    <row r="61" spans="1:24" x14ac:dyDescent="0.3">
      <c r="A61" s="74" t="s">
        <v>188</v>
      </c>
      <c r="B61" s="89" t="s">
        <v>12</v>
      </c>
      <c r="C61" s="89" t="s">
        <v>8</v>
      </c>
      <c r="D61" s="89">
        <v>1.2</v>
      </c>
      <c r="E61" s="90" t="s">
        <v>207</v>
      </c>
      <c r="F61" s="90" t="s">
        <v>86</v>
      </c>
      <c r="G61" s="91" t="s">
        <v>13</v>
      </c>
      <c r="H61" s="92">
        <v>2</v>
      </c>
      <c r="I61" s="92">
        <v>21.62</v>
      </c>
      <c r="J61" s="92">
        <v>8.1</v>
      </c>
      <c r="K61" s="92">
        <f t="shared" si="5"/>
        <v>175.12200000000001</v>
      </c>
      <c r="L61" s="92">
        <f>+K61*$L$2</f>
        <v>7.0048800000000009</v>
      </c>
      <c r="M61" s="92">
        <f t="shared" si="12"/>
        <v>168.11712</v>
      </c>
      <c r="N61" s="106">
        <f t="shared" si="7"/>
        <v>193.33468799999997</v>
      </c>
      <c r="O61" s="92">
        <f t="shared" ref="O61:O66" si="14">(+N61/I61)+1</f>
        <v>9.9423999999999975</v>
      </c>
      <c r="P61" s="101"/>
      <c r="Q61" s="94">
        <f t="shared" ref="Q61:Q66" si="15">+O61/H61</f>
        <v>4.9711999999999987</v>
      </c>
      <c r="R61" s="73">
        <f t="shared" si="13"/>
        <v>4.9711999999999987</v>
      </c>
      <c r="S61" s="20" t="s">
        <v>133</v>
      </c>
      <c r="T61" s="95">
        <v>6.5</v>
      </c>
      <c r="U61" s="96">
        <v>12</v>
      </c>
      <c r="V61" s="96">
        <f t="shared" ref="V61:V66" si="16">+U61+0.3</f>
        <v>12.3</v>
      </c>
      <c r="W61" s="136">
        <f t="shared" ref="W61:W66" si="17">+V61+0.2</f>
        <v>12.5</v>
      </c>
      <c r="X61" s="64" t="str">
        <f t="shared" ref="X61:X66" si="18">+IF(U61&lt;O61,"ERROR","")</f>
        <v/>
      </c>
    </row>
    <row r="62" spans="1:24" x14ac:dyDescent="0.3">
      <c r="A62" s="27" t="s">
        <v>183</v>
      </c>
      <c r="B62" s="3" t="s">
        <v>12</v>
      </c>
      <c r="C62" s="3" t="s">
        <v>8</v>
      </c>
      <c r="D62" s="3">
        <v>1.2</v>
      </c>
      <c r="E62" s="48" t="s">
        <v>207</v>
      </c>
      <c r="F62" s="48" t="s">
        <v>87</v>
      </c>
      <c r="G62" s="20" t="s">
        <v>13</v>
      </c>
      <c r="H62" s="9">
        <v>2</v>
      </c>
      <c r="I62" s="9">
        <v>12.69</v>
      </c>
      <c r="J62" s="9">
        <v>9.17</v>
      </c>
      <c r="K62" s="9">
        <f t="shared" si="5"/>
        <v>116.3673</v>
      </c>
      <c r="L62" s="9">
        <f>+K62*$L$2</f>
        <v>4.6546919999999998</v>
      </c>
      <c r="M62" s="9">
        <f t="shared" si="12"/>
        <v>111.712608</v>
      </c>
      <c r="N62" s="11">
        <f t="shared" si="7"/>
        <v>128.4694992</v>
      </c>
      <c r="O62" s="92">
        <f t="shared" si="14"/>
        <v>11.12368</v>
      </c>
      <c r="P62" s="100"/>
      <c r="Q62" s="94">
        <f t="shared" si="15"/>
        <v>5.5618400000000001</v>
      </c>
      <c r="R62" s="73">
        <f t="shared" si="13"/>
        <v>5.5618400000000001</v>
      </c>
      <c r="S62" s="20" t="s">
        <v>133</v>
      </c>
      <c r="T62" s="25">
        <v>6.5</v>
      </c>
      <c r="U62" s="88">
        <v>12</v>
      </c>
      <c r="V62" s="96">
        <f t="shared" si="16"/>
        <v>12.3</v>
      </c>
      <c r="W62" s="136">
        <f t="shared" si="17"/>
        <v>12.5</v>
      </c>
      <c r="X62" s="64" t="str">
        <f t="shared" si="18"/>
        <v/>
      </c>
    </row>
    <row r="63" spans="1:24" x14ac:dyDescent="0.3">
      <c r="A63" s="27" t="s">
        <v>189</v>
      </c>
      <c r="B63" s="3" t="s">
        <v>12</v>
      </c>
      <c r="C63" s="3" t="s">
        <v>8</v>
      </c>
      <c r="D63" s="3">
        <v>1.1000000000000001</v>
      </c>
      <c r="E63" s="48" t="s">
        <v>207</v>
      </c>
      <c r="F63" s="48" t="s">
        <v>209</v>
      </c>
      <c r="G63" s="20" t="s">
        <v>13</v>
      </c>
      <c r="H63" s="9">
        <v>2.1</v>
      </c>
      <c r="I63" s="9">
        <v>24.58</v>
      </c>
      <c r="J63" s="9">
        <v>8.64</v>
      </c>
      <c r="K63" s="9">
        <f t="shared" si="5"/>
        <v>212.37119999999999</v>
      </c>
      <c r="L63" s="9">
        <v>29.73</v>
      </c>
      <c r="M63" s="9">
        <f t="shared" si="12"/>
        <v>182.6412</v>
      </c>
      <c r="N63" s="11">
        <f t="shared" si="7"/>
        <v>210.03737999999998</v>
      </c>
      <c r="O63" s="92">
        <f t="shared" si="14"/>
        <v>9.5450520748576082</v>
      </c>
      <c r="P63" s="100"/>
      <c r="Q63" s="94">
        <f t="shared" si="15"/>
        <v>4.5452628927893368</v>
      </c>
      <c r="R63" s="73">
        <f t="shared" si="13"/>
        <v>4.5452628927893368</v>
      </c>
      <c r="S63" s="20" t="s">
        <v>133</v>
      </c>
      <c r="T63" s="24">
        <v>6</v>
      </c>
      <c r="U63" s="88">
        <v>12</v>
      </c>
      <c r="V63" s="96">
        <f t="shared" si="16"/>
        <v>12.3</v>
      </c>
      <c r="W63" s="96">
        <f t="shared" si="17"/>
        <v>12.5</v>
      </c>
      <c r="X63" s="64" t="str">
        <f t="shared" si="18"/>
        <v/>
      </c>
    </row>
    <row r="64" spans="1:24" s="121" customFormat="1" x14ac:dyDescent="0.3">
      <c r="A64" s="27" t="s">
        <v>190</v>
      </c>
      <c r="B64" s="3" t="s">
        <v>12</v>
      </c>
      <c r="C64" s="3" t="s">
        <v>8</v>
      </c>
      <c r="D64" s="3">
        <v>1.2</v>
      </c>
      <c r="E64" s="48" t="s">
        <v>207</v>
      </c>
      <c r="F64" s="48" t="s">
        <v>283</v>
      </c>
      <c r="G64" s="20" t="s">
        <v>13</v>
      </c>
      <c r="H64" s="9">
        <v>2.4</v>
      </c>
      <c r="I64" s="9">
        <v>25.68</v>
      </c>
      <c r="J64" s="9">
        <v>8.24</v>
      </c>
      <c r="K64" s="9">
        <f t="shared" si="5"/>
        <v>211.60320000000002</v>
      </c>
      <c r="L64" s="9">
        <v>8.4600000000000009</v>
      </c>
      <c r="M64" s="9">
        <f t="shared" si="12"/>
        <v>203.14320000000001</v>
      </c>
      <c r="N64" s="11">
        <f t="shared" si="7"/>
        <v>233.61467999999999</v>
      </c>
      <c r="O64" s="92">
        <f t="shared" si="14"/>
        <v>10.097144859813083</v>
      </c>
      <c r="P64" s="100"/>
      <c r="Q64" s="94">
        <f t="shared" si="15"/>
        <v>4.2071436915887848</v>
      </c>
      <c r="R64" s="73">
        <f t="shared" si="13"/>
        <v>4.2071436915887848</v>
      </c>
      <c r="S64" s="20" t="s">
        <v>133</v>
      </c>
      <c r="T64" s="25">
        <v>5.5</v>
      </c>
      <c r="U64" s="88">
        <v>12</v>
      </c>
      <c r="V64" s="96">
        <f t="shared" si="16"/>
        <v>12.3</v>
      </c>
      <c r="W64" s="96">
        <f t="shared" si="17"/>
        <v>12.5</v>
      </c>
      <c r="X64" s="64" t="str">
        <f t="shared" si="18"/>
        <v/>
      </c>
    </row>
    <row r="65" spans="1:24" s="121" customFormat="1" x14ac:dyDescent="0.3">
      <c r="A65" s="27" t="s">
        <v>191</v>
      </c>
      <c r="B65" s="3" t="s">
        <v>12</v>
      </c>
      <c r="C65" s="3" t="s">
        <v>8</v>
      </c>
      <c r="D65" s="3">
        <v>0.86</v>
      </c>
      <c r="E65" s="48" t="s">
        <v>207</v>
      </c>
      <c r="F65" s="48" t="s">
        <v>149</v>
      </c>
      <c r="G65" s="20" t="s">
        <v>13</v>
      </c>
      <c r="H65" s="9">
        <v>3</v>
      </c>
      <c r="I65" s="9">
        <v>24.7</v>
      </c>
      <c r="J65" s="9">
        <v>10.72</v>
      </c>
      <c r="K65" s="9">
        <f t="shared" si="5"/>
        <v>264.78399999999999</v>
      </c>
      <c r="L65" s="9">
        <v>37.07</v>
      </c>
      <c r="M65" s="9">
        <f t="shared" si="12"/>
        <v>227.714</v>
      </c>
      <c r="N65" s="11">
        <f t="shared" si="7"/>
        <v>261.87109999999996</v>
      </c>
      <c r="O65" s="92">
        <f t="shared" si="14"/>
        <v>11.60206882591093</v>
      </c>
      <c r="P65" s="100"/>
      <c r="Q65" s="94">
        <f t="shared" si="15"/>
        <v>3.8673562753036435</v>
      </c>
      <c r="R65" s="73">
        <f t="shared" si="13"/>
        <v>3.8673562753036435</v>
      </c>
      <c r="S65" s="20" t="s">
        <v>133</v>
      </c>
      <c r="T65" s="25">
        <v>5</v>
      </c>
      <c r="U65" s="88">
        <v>12.25</v>
      </c>
      <c r="V65" s="96">
        <f t="shared" si="16"/>
        <v>12.55</v>
      </c>
      <c r="W65" s="96">
        <f t="shared" si="17"/>
        <v>12.75</v>
      </c>
      <c r="X65" s="64" t="str">
        <f t="shared" si="18"/>
        <v/>
      </c>
    </row>
    <row r="66" spans="1:24" s="121" customFormat="1" x14ac:dyDescent="0.3">
      <c r="A66" s="27" t="s">
        <v>192</v>
      </c>
      <c r="B66" s="3" t="s">
        <v>12</v>
      </c>
      <c r="C66" s="3" t="s">
        <v>8</v>
      </c>
      <c r="D66" s="3">
        <v>1.2</v>
      </c>
      <c r="E66" s="48" t="s">
        <v>207</v>
      </c>
      <c r="F66" s="48" t="s">
        <v>63</v>
      </c>
      <c r="G66" s="20" t="s">
        <v>13</v>
      </c>
      <c r="H66" s="9">
        <v>3.3</v>
      </c>
      <c r="I66" s="9">
        <v>15.38</v>
      </c>
      <c r="J66" s="9">
        <v>7.4</v>
      </c>
      <c r="K66" s="9">
        <f t="shared" si="5"/>
        <v>113.81200000000001</v>
      </c>
      <c r="L66" s="9">
        <f>+K66*$L$2</f>
        <v>4.552480000000001</v>
      </c>
      <c r="M66" s="9">
        <f t="shared" si="12"/>
        <v>109.25952000000001</v>
      </c>
      <c r="N66" s="11">
        <f t="shared" si="7"/>
        <v>125.648448</v>
      </c>
      <c r="O66" s="92">
        <f t="shared" si="14"/>
        <v>9.1695999999999991</v>
      </c>
      <c r="P66" s="100"/>
      <c r="Q66" s="94">
        <f t="shared" si="15"/>
        <v>2.7786666666666666</v>
      </c>
      <c r="R66" s="73">
        <f t="shared" si="13"/>
        <v>2.7786666666666666</v>
      </c>
      <c r="S66" s="20" t="s">
        <v>133</v>
      </c>
      <c r="T66" s="25">
        <v>3.5</v>
      </c>
      <c r="U66" s="88">
        <v>10.5</v>
      </c>
      <c r="V66" s="96">
        <f t="shared" si="16"/>
        <v>10.8</v>
      </c>
      <c r="W66" s="96">
        <f t="shared" si="17"/>
        <v>11</v>
      </c>
      <c r="X66" s="64" t="str">
        <f t="shared" si="18"/>
        <v/>
      </c>
    </row>
    <row r="67" spans="1:24" s="121" customFormat="1" x14ac:dyDescent="0.3">
      <c r="A67" s="27" t="s">
        <v>193</v>
      </c>
      <c r="B67" s="3" t="s">
        <v>12</v>
      </c>
      <c r="C67" s="3" t="s">
        <v>62</v>
      </c>
      <c r="D67" s="3"/>
      <c r="E67" s="48" t="s">
        <v>74</v>
      </c>
      <c r="F67" s="48" t="s">
        <v>241</v>
      </c>
      <c r="G67" s="20" t="s">
        <v>13</v>
      </c>
      <c r="H67" s="9">
        <v>33</v>
      </c>
      <c r="I67" s="9">
        <v>3.2</v>
      </c>
      <c r="J67" s="9">
        <v>12.43</v>
      </c>
      <c r="K67" s="9">
        <f t="shared" si="5"/>
        <v>39.776000000000003</v>
      </c>
      <c r="L67" s="9">
        <f>+K67*$L$2</f>
        <v>1.5910400000000002</v>
      </c>
      <c r="M67" s="9">
        <f t="shared" si="12"/>
        <v>38.184960000000004</v>
      </c>
      <c r="N67" s="11">
        <f t="shared" si="7"/>
        <v>43.912703999999998</v>
      </c>
      <c r="O67" s="9">
        <f>(+N67/I67)+2</f>
        <v>15.722719999999999</v>
      </c>
      <c r="P67" s="100">
        <f>+O67/H67</f>
        <v>0.4764460606060606</v>
      </c>
      <c r="Q67" s="108"/>
      <c r="R67" s="73">
        <f>+P67</f>
        <v>0.4764460606060606</v>
      </c>
      <c r="S67" s="20" t="s">
        <v>133</v>
      </c>
      <c r="T67" s="25"/>
      <c r="U67" s="22"/>
      <c r="V67" s="22"/>
      <c r="W67" s="25">
        <v>1</v>
      </c>
      <c r="X67" s="64" t="str">
        <f>+IF(W67&lt;P67,"ERROR","")</f>
        <v/>
      </c>
    </row>
    <row r="68" spans="1:24" x14ac:dyDescent="0.3">
      <c r="A68" s="27" t="s">
        <v>194</v>
      </c>
      <c r="B68" s="3" t="s">
        <v>12</v>
      </c>
      <c r="C68" s="3" t="s">
        <v>61</v>
      </c>
      <c r="D68" s="3"/>
      <c r="E68" s="48" t="s">
        <v>74</v>
      </c>
      <c r="F68" s="48" t="s">
        <v>240</v>
      </c>
      <c r="G68" s="20" t="s">
        <v>13</v>
      </c>
      <c r="H68" s="9">
        <v>66</v>
      </c>
      <c r="I68" s="9">
        <v>2.2799999999999998</v>
      </c>
      <c r="J68" s="9">
        <v>12.43</v>
      </c>
      <c r="K68" s="9">
        <f t="shared" si="5"/>
        <v>28.340399999999995</v>
      </c>
      <c r="L68" s="9">
        <f>+K68*$L$2</f>
        <v>1.1336159999999997</v>
      </c>
      <c r="M68" s="9">
        <f t="shared" si="12"/>
        <v>27.206783999999995</v>
      </c>
      <c r="N68" s="11">
        <f t="shared" si="7"/>
        <v>31.287801599999991</v>
      </c>
      <c r="O68" s="9">
        <f>(+N68/I68)+2</f>
        <v>15.722719999999997</v>
      </c>
      <c r="P68" s="100">
        <f>+O68/H68</f>
        <v>0.23822303030303027</v>
      </c>
      <c r="Q68" s="108"/>
      <c r="R68" s="73">
        <f>+P68</f>
        <v>0.23822303030303027</v>
      </c>
      <c r="S68" s="20" t="s">
        <v>133</v>
      </c>
      <c r="U68" s="22"/>
      <c r="V68" s="22"/>
      <c r="W68" s="28">
        <v>0.5</v>
      </c>
    </row>
    <row r="69" spans="1:24" x14ac:dyDescent="0.3">
      <c r="A69" s="27" t="s">
        <v>195</v>
      </c>
      <c r="B69" s="3" t="s">
        <v>143</v>
      </c>
      <c r="C69" s="3" t="s">
        <v>224</v>
      </c>
      <c r="D69" s="3" t="s">
        <v>231</v>
      </c>
      <c r="E69" s="48"/>
      <c r="F69" s="48" t="s">
        <v>232</v>
      </c>
      <c r="G69" s="20" t="s">
        <v>133</v>
      </c>
      <c r="H69" s="9">
        <v>506</v>
      </c>
      <c r="I69" s="3">
        <v>1</v>
      </c>
      <c r="J69" s="9">
        <v>10</v>
      </c>
      <c r="K69" s="9">
        <f t="shared" si="5"/>
        <v>10</v>
      </c>
      <c r="L69" s="9">
        <f>+K69*$L$2</f>
        <v>0.4</v>
      </c>
      <c r="M69" s="9">
        <f t="shared" si="12"/>
        <v>9.6</v>
      </c>
      <c r="N69" s="11">
        <f t="shared" si="7"/>
        <v>11.04</v>
      </c>
      <c r="O69" s="9"/>
      <c r="P69" s="98">
        <f>+Q69/H69</f>
        <v>3.1699604743083004E-2</v>
      </c>
      <c r="Q69" s="9">
        <f>(+N69/I69)+5</f>
        <v>16.04</v>
      </c>
      <c r="R69" s="73">
        <f>+P69</f>
        <v>3.1699604743083004E-2</v>
      </c>
      <c r="S69" s="20" t="s">
        <v>133</v>
      </c>
      <c r="T69" s="25"/>
      <c r="U69" s="22"/>
      <c r="V69" s="22"/>
      <c r="W69" s="24">
        <f>(+Q69+8)-0.04</f>
        <v>24</v>
      </c>
      <c r="X69" s="64" t="str">
        <f>+IF(W69&lt;Q69,"ERROR","")</f>
        <v/>
      </c>
    </row>
    <row r="70" spans="1:24" x14ac:dyDescent="0.3">
      <c r="A70" s="27" t="s">
        <v>196</v>
      </c>
      <c r="B70" s="3" t="s">
        <v>27</v>
      </c>
      <c r="C70" s="3" t="s">
        <v>45</v>
      </c>
      <c r="D70" s="3"/>
      <c r="E70" s="48" t="s">
        <v>147</v>
      </c>
      <c r="F70" s="48" t="s">
        <v>146</v>
      </c>
      <c r="G70" s="20" t="s">
        <v>3</v>
      </c>
      <c r="H70" s="9">
        <v>100</v>
      </c>
      <c r="I70" s="3">
        <v>1</v>
      </c>
      <c r="J70" s="9">
        <v>2.6349999999999998E-2</v>
      </c>
      <c r="K70" s="9">
        <f t="shared" si="5"/>
        <v>2.6349999999999998E-2</v>
      </c>
      <c r="L70" s="9">
        <f>+K70*$L$2</f>
        <v>1.054E-3</v>
      </c>
      <c r="M70" s="9">
        <f t="shared" si="12"/>
        <v>2.5295999999999999E-2</v>
      </c>
      <c r="N70" s="11">
        <f t="shared" si="7"/>
        <v>2.9090399999999995E-2</v>
      </c>
      <c r="O70" s="9">
        <f>+N70/I70</f>
        <v>2.9090399999999995E-2</v>
      </c>
      <c r="P70" s="100">
        <f>(+N70)+0.02</f>
        <v>4.9090399999999992E-2</v>
      </c>
      <c r="Q70" s="107"/>
      <c r="R70" s="73">
        <f>+P70</f>
        <v>4.9090399999999992E-2</v>
      </c>
      <c r="S70" s="20" t="s">
        <v>3</v>
      </c>
      <c r="T70" s="28"/>
      <c r="U70" s="22"/>
      <c r="V70" s="22"/>
    </row>
    <row r="71" spans="1:24" x14ac:dyDescent="0.3">
      <c r="A71" s="65" t="s">
        <v>197</v>
      </c>
      <c r="B71" s="66" t="s">
        <v>18</v>
      </c>
      <c r="C71" s="66" t="s">
        <v>131</v>
      </c>
      <c r="D71" s="66" t="s">
        <v>130</v>
      </c>
      <c r="E71" s="67"/>
      <c r="F71" s="67" t="s">
        <v>120</v>
      </c>
      <c r="G71" s="68" t="s">
        <v>80</v>
      </c>
      <c r="H71" s="66"/>
      <c r="I71" s="69">
        <v>11</v>
      </c>
      <c r="J71" s="69">
        <v>83.05</v>
      </c>
      <c r="K71" s="69"/>
      <c r="L71" s="69"/>
      <c r="M71" s="69">
        <f>+I71*J71</f>
        <v>913.55</v>
      </c>
      <c r="N71" s="11">
        <f>+M71*1.15</f>
        <v>1050.5824999999998</v>
      </c>
      <c r="O71" s="69"/>
      <c r="P71" s="100">
        <f>+N71/I71</f>
        <v>95.507499999999979</v>
      </c>
      <c r="Q71" s="79"/>
      <c r="R71" s="73">
        <f>+U71</f>
        <v>120</v>
      </c>
      <c r="S71" s="68" t="s">
        <v>80</v>
      </c>
      <c r="T71" s="70"/>
      <c r="U71" s="70">
        <v>120</v>
      </c>
      <c r="V71" s="72">
        <f>+U71+1</f>
        <v>121</v>
      </c>
      <c r="W71" s="152">
        <f>+V71+2</f>
        <v>123</v>
      </c>
      <c r="X71" s="64" t="str">
        <f>+IF(U71&lt;P71,"ERROR","")</f>
        <v/>
      </c>
    </row>
    <row r="72" spans="1:24" x14ac:dyDescent="0.3">
      <c r="A72" s="42" t="s">
        <v>198</v>
      </c>
      <c r="B72" s="30" t="s">
        <v>18</v>
      </c>
      <c r="C72" s="30" t="s">
        <v>132</v>
      </c>
      <c r="D72" s="30"/>
      <c r="E72" s="170"/>
      <c r="F72" s="49" t="s">
        <v>123</v>
      </c>
      <c r="G72" s="30" t="s">
        <v>134</v>
      </c>
      <c r="H72" s="30"/>
      <c r="I72" s="31">
        <v>36</v>
      </c>
      <c r="J72" s="31">
        <v>10.27</v>
      </c>
      <c r="K72" s="31"/>
      <c r="L72" s="31"/>
      <c r="M72" s="31"/>
      <c r="N72" s="11">
        <f>+J72*1.15</f>
        <v>11.810499999999999</v>
      </c>
      <c r="O72" s="31"/>
      <c r="P72" s="100">
        <f>+N72</f>
        <v>11.810499999999999</v>
      </c>
      <c r="Q72" s="78"/>
      <c r="R72" s="73">
        <f>+U72</f>
        <v>27</v>
      </c>
      <c r="S72" s="30" t="s">
        <v>134</v>
      </c>
      <c r="T72" s="33"/>
      <c r="U72" s="33">
        <v>27</v>
      </c>
      <c r="V72" s="32">
        <f>+U72+1</f>
        <v>28</v>
      </c>
      <c r="W72" s="32">
        <f>+V72+2</f>
        <v>30</v>
      </c>
      <c r="X72" s="64" t="str">
        <f>+IF(U72&lt;P72,"ERROR","")</f>
        <v/>
      </c>
    </row>
    <row r="73" spans="1:24" x14ac:dyDescent="0.3">
      <c r="A73" s="27" t="s">
        <v>199</v>
      </c>
      <c r="B73" s="30" t="s">
        <v>18</v>
      </c>
      <c r="C73" s="30" t="s">
        <v>132</v>
      </c>
      <c r="D73" s="30"/>
      <c r="E73" s="170"/>
      <c r="F73" s="49" t="s">
        <v>124</v>
      </c>
      <c r="G73" s="30" t="s">
        <v>134</v>
      </c>
      <c r="H73" s="30"/>
      <c r="I73" s="31">
        <v>56</v>
      </c>
      <c r="J73" s="31">
        <v>10.27</v>
      </c>
      <c r="K73" s="31"/>
      <c r="L73" s="31"/>
      <c r="M73" s="31"/>
      <c r="N73" s="11">
        <f>+J73*1.15</f>
        <v>11.810499999999999</v>
      </c>
      <c r="O73" s="31"/>
      <c r="P73" s="100">
        <f>+N73</f>
        <v>11.810499999999999</v>
      </c>
      <c r="Q73" s="78"/>
      <c r="R73" s="73">
        <f>+U73</f>
        <v>27</v>
      </c>
      <c r="S73" s="30" t="s">
        <v>134</v>
      </c>
      <c r="T73" s="33"/>
      <c r="U73" s="33">
        <v>27</v>
      </c>
      <c r="V73" s="32">
        <f>+U73+1</f>
        <v>28</v>
      </c>
      <c r="W73" s="32">
        <f>+V73+2</f>
        <v>30</v>
      </c>
      <c r="X73" s="64" t="str">
        <f>+IF(U73&lt;P73,"ERROR","")</f>
        <v/>
      </c>
    </row>
    <row r="74" spans="1:24" x14ac:dyDescent="0.3">
      <c r="A74" s="27" t="s">
        <v>201</v>
      </c>
      <c r="B74" s="30" t="s">
        <v>18</v>
      </c>
      <c r="C74" s="30" t="s">
        <v>132</v>
      </c>
      <c r="D74" s="30"/>
      <c r="E74" s="170"/>
      <c r="F74" s="49" t="s">
        <v>125</v>
      </c>
      <c r="G74" s="30" t="s">
        <v>134</v>
      </c>
      <c r="H74" s="30"/>
      <c r="I74" s="31">
        <v>71</v>
      </c>
      <c r="J74" s="31">
        <v>10.27</v>
      </c>
      <c r="K74" s="31"/>
      <c r="L74" s="31"/>
      <c r="M74" s="31"/>
      <c r="N74" s="11">
        <f>+J74*1.15</f>
        <v>11.810499999999999</v>
      </c>
      <c r="O74" s="31"/>
      <c r="P74" s="100">
        <f>+N74</f>
        <v>11.810499999999999</v>
      </c>
      <c r="Q74" s="78"/>
      <c r="R74" s="73">
        <f>+U74</f>
        <v>27</v>
      </c>
      <c r="S74" s="30" t="s">
        <v>134</v>
      </c>
      <c r="T74" s="33"/>
      <c r="U74" s="33">
        <v>27</v>
      </c>
      <c r="V74" s="32">
        <f>+U74+1</f>
        <v>28</v>
      </c>
      <c r="W74" s="32">
        <f>+V74+2</f>
        <v>30</v>
      </c>
      <c r="X74" s="64" t="str">
        <f>+IF(U74&lt;P74,"ERROR","")</f>
        <v/>
      </c>
    </row>
    <row r="75" spans="1:24" x14ac:dyDescent="0.3">
      <c r="A75" s="27" t="s">
        <v>212</v>
      </c>
      <c r="B75" s="3" t="s">
        <v>213</v>
      </c>
      <c r="C75" s="3" t="s">
        <v>131</v>
      </c>
      <c r="D75" s="3" t="s">
        <v>107</v>
      </c>
      <c r="E75" s="110" t="s">
        <v>108</v>
      </c>
      <c r="F75" s="48" t="s">
        <v>252</v>
      </c>
      <c r="G75" s="20" t="s">
        <v>3</v>
      </c>
      <c r="H75" s="9"/>
      <c r="I75" s="9">
        <v>20</v>
      </c>
      <c r="J75" s="9">
        <v>5.24</v>
      </c>
      <c r="K75" s="9">
        <f>+I75*J75</f>
        <v>104.80000000000001</v>
      </c>
      <c r="L75" s="9"/>
      <c r="M75" s="9">
        <f>+K75</f>
        <v>104.80000000000001</v>
      </c>
      <c r="N75" s="11">
        <f>+M75*$N$2</f>
        <v>120.52000000000001</v>
      </c>
      <c r="O75" s="9"/>
      <c r="P75" s="100">
        <f>(+N75/I75)+0.5</f>
        <v>6.5260000000000007</v>
      </c>
      <c r="Q75" s="108"/>
      <c r="R75" s="73">
        <f>+P75</f>
        <v>6.5260000000000007</v>
      </c>
      <c r="S75" s="20" t="s">
        <v>3</v>
      </c>
      <c r="T75" s="25"/>
      <c r="U75" s="22"/>
      <c r="V75" s="22"/>
      <c r="W75" s="25">
        <v>7.5</v>
      </c>
      <c r="X75" s="64" t="str">
        <f>+IF(W75&lt;P75,"ERROR","")</f>
        <v/>
      </c>
    </row>
    <row r="76" spans="1:24" x14ac:dyDescent="0.3">
      <c r="A76" s="27" t="s">
        <v>216</v>
      </c>
      <c r="B76" s="3" t="s">
        <v>56</v>
      </c>
      <c r="C76" s="3" t="s">
        <v>215</v>
      </c>
      <c r="D76" s="3" t="s">
        <v>217</v>
      </c>
      <c r="E76" s="110" t="s">
        <v>215</v>
      </c>
      <c r="F76" s="48" t="s">
        <v>218</v>
      </c>
      <c r="G76" s="20" t="s">
        <v>3</v>
      </c>
      <c r="H76" s="9"/>
      <c r="I76" s="9">
        <v>1</v>
      </c>
      <c r="J76" s="9">
        <v>1.13043</v>
      </c>
      <c r="K76" s="9">
        <f>+I76*J76</f>
        <v>1.13043</v>
      </c>
      <c r="L76" s="9"/>
      <c r="M76" s="9">
        <f>+K76</f>
        <v>1.13043</v>
      </c>
      <c r="N76" s="11">
        <f>+M76*$N$2</f>
        <v>1.2999944999999999</v>
      </c>
      <c r="O76" s="9"/>
      <c r="P76" s="209">
        <f>(+N76/I76)+0.1</f>
        <v>1.3999945</v>
      </c>
      <c r="R76" s="60">
        <f>+P76</f>
        <v>1.3999945</v>
      </c>
      <c r="S76" s="20" t="s">
        <v>3</v>
      </c>
    </row>
    <row r="77" spans="1:24" s="62" customFormat="1" x14ac:dyDescent="0.3">
      <c r="A77" s="153" t="s">
        <v>219</v>
      </c>
      <c r="B77" s="154" t="s">
        <v>227</v>
      </c>
      <c r="C77" s="154" t="s">
        <v>11</v>
      </c>
      <c r="D77" s="154">
        <v>50</v>
      </c>
      <c r="E77" s="155" t="s">
        <v>207</v>
      </c>
      <c r="F77" s="155" t="s">
        <v>230</v>
      </c>
      <c r="G77" s="156" t="s">
        <v>13</v>
      </c>
      <c r="H77" s="157">
        <v>2.5</v>
      </c>
      <c r="I77" s="157">
        <v>1</v>
      </c>
      <c r="J77" s="157">
        <v>10.87</v>
      </c>
      <c r="K77" s="157">
        <f>+I77*J77</f>
        <v>10.87</v>
      </c>
      <c r="L77" s="157"/>
      <c r="M77" s="157">
        <f>+K77</f>
        <v>10.87</v>
      </c>
      <c r="N77" s="157">
        <f>+M77*$N$2</f>
        <v>12.500499999999999</v>
      </c>
      <c r="O77" s="157">
        <f>(+N77/I77)+0.5</f>
        <v>13.000499999999999</v>
      </c>
      <c r="P77" s="101"/>
      <c r="Q77" s="182">
        <f>+O77/H77</f>
        <v>5.2001999999999997</v>
      </c>
      <c r="R77" s="212">
        <f t="shared" ref="R77:R78" si="19">+Q77</f>
        <v>5.2001999999999997</v>
      </c>
      <c r="S77" s="20" t="s">
        <v>133</v>
      </c>
      <c r="U77" s="210"/>
      <c r="V77" s="210"/>
      <c r="W77" s="211">
        <v>7</v>
      </c>
      <c r="X77" s="158"/>
    </row>
    <row r="78" spans="1:24" s="62" customFormat="1" x14ac:dyDescent="0.3">
      <c r="A78" s="176" t="s">
        <v>220</v>
      </c>
      <c r="B78" s="154" t="s">
        <v>227</v>
      </c>
      <c r="C78" s="154" t="s">
        <v>11</v>
      </c>
      <c r="D78" s="177">
        <v>50</v>
      </c>
      <c r="E78" s="178" t="s">
        <v>207</v>
      </c>
      <c r="F78" s="178" t="s">
        <v>228</v>
      </c>
      <c r="G78" s="179" t="s">
        <v>13</v>
      </c>
      <c r="H78" s="180">
        <v>2.5</v>
      </c>
      <c r="I78" s="180">
        <v>1</v>
      </c>
      <c r="J78" s="180">
        <v>9.43</v>
      </c>
      <c r="K78" s="180">
        <f>+I78*J78</f>
        <v>9.43</v>
      </c>
      <c r="L78" s="180"/>
      <c r="M78" s="180">
        <f>+K78</f>
        <v>9.43</v>
      </c>
      <c r="N78" s="180">
        <f>+M78*$N$2</f>
        <v>10.844499999999998</v>
      </c>
      <c r="O78" s="157">
        <f>(+N78/I78)+0.5</f>
        <v>11.344499999999998</v>
      </c>
      <c r="P78" s="101"/>
      <c r="Q78" s="182">
        <f t="shared" ref="Q78" si="20">+O78/H78</f>
        <v>4.5377999999999989</v>
      </c>
      <c r="R78" s="212">
        <f t="shared" si="19"/>
        <v>4.5377999999999989</v>
      </c>
      <c r="S78" s="20" t="s">
        <v>133</v>
      </c>
      <c r="U78" s="210"/>
      <c r="V78" s="210"/>
      <c r="W78" s="211">
        <v>6</v>
      </c>
      <c r="X78" s="158"/>
    </row>
    <row r="79" spans="1:24" x14ac:dyDescent="0.3">
      <c r="A79" s="3" t="s">
        <v>251</v>
      </c>
      <c r="B79" s="3" t="s">
        <v>18</v>
      </c>
      <c r="C79" s="3" t="s">
        <v>215</v>
      </c>
      <c r="D79" s="3" t="s">
        <v>97</v>
      </c>
      <c r="E79" s="48"/>
      <c r="F79" s="48" t="s">
        <v>223</v>
      </c>
      <c r="G79" s="20" t="s">
        <v>3</v>
      </c>
      <c r="H79" s="3"/>
      <c r="I79" s="29"/>
      <c r="J79" s="181"/>
      <c r="K79" s="17"/>
      <c r="L79" s="9"/>
      <c r="M79" s="9"/>
      <c r="N79" s="11"/>
      <c r="O79" s="11"/>
      <c r="P79" s="100"/>
      <c r="Q79" s="108"/>
      <c r="R79" s="182"/>
      <c r="S79" s="20" t="s">
        <v>3</v>
      </c>
      <c r="T79" s="25"/>
      <c r="U79" s="22">
        <v>2.5</v>
      </c>
      <c r="V79" s="22">
        <v>2.75</v>
      </c>
      <c r="W79" s="22">
        <v>3</v>
      </c>
    </row>
    <row r="80" spans="1:24" x14ac:dyDescent="0.3">
      <c r="A80" s="3" t="s">
        <v>234</v>
      </c>
      <c r="B80" s="3" t="s">
        <v>155</v>
      </c>
      <c r="C80" s="3" t="s">
        <v>156</v>
      </c>
      <c r="D80" s="3"/>
      <c r="E80" s="48"/>
      <c r="F80" s="48" t="s">
        <v>235</v>
      </c>
      <c r="G80" s="20" t="s">
        <v>3</v>
      </c>
      <c r="H80" s="3"/>
      <c r="I80" s="29">
        <v>1</v>
      </c>
      <c r="J80" s="181">
        <v>2.17</v>
      </c>
      <c r="K80" s="157">
        <f>+I80*J80</f>
        <v>2.17</v>
      </c>
      <c r="L80" s="157"/>
      <c r="M80" s="157">
        <f>+K80</f>
        <v>2.17</v>
      </c>
      <c r="N80" s="157">
        <f>+M80*$N$2</f>
        <v>2.4954999999999998</v>
      </c>
      <c r="O80" s="157">
        <f>(+N80/I80)+0.1</f>
        <v>2.5954999999999999</v>
      </c>
      <c r="P80" s="100"/>
      <c r="Q80" s="108"/>
      <c r="R80" s="182">
        <f>+O80</f>
        <v>2.5954999999999999</v>
      </c>
      <c r="S80" s="20" t="s">
        <v>3</v>
      </c>
      <c r="T80" s="25"/>
      <c r="U80" s="22"/>
      <c r="V80" s="22"/>
      <c r="W80" s="22"/>
    </row>
    <row r="81" spans="1:24" x14ac:dyDescent="0.3">
      <c r="A81" s="214" t="s">
        <v>242</v>
      </c>
      <c r="B81" s="214" t="s">
        <v>143</v>
      </c>
      <c r="C81" s="214" t="s">
        <v>224</v>
      </c>
      <c r="D81" s="214" t="s">
        <v>231</v>
      </c>
      <c r="E81" s="215"/>
      <c r="F81" s="215" t="s">
        <v>243</v>
      </c>
      <c r="G81" s="216" t="s">
        <v>133</v>
      </c>
      <c r="H81" s="217">
        <v>1</v>
      </c>
      <c r="I81" s="214">
        <v>1</v>
      </c>
      <c r="J81" s="217">
        <v>10</v>
      </c>
      <c r="K81" s="217">
        <f t="shared" ref="K81" si="21">+I81*J81</f>
        <v>10</v>
      </c>
      <c r="L81" s="217"/>
      <c r="M81" s="217">
        <f t="shared" ref="M81" si="22">+K81-L81</f>
        <v>10</v>
      </c>
      <c r="N81" s="218">
        <f t="shared" ref="N81" si="23">+M81*$N$2</f>
        <v>11.5</v>
      </c>
      <c r="O81" s="217"/>
      <c r="P81" s="98">
        <f>+Q81/H81</f>
        <v>16.5</v>
      </c>
      <c r="Q81" s="217">
        <f>(+N81/I81)+5</f>
        <v>16.5</v>
      </c>
      <c r="R81" s="219">
        <f>+P81</f>
        <v>16.5</v>
      </c>
      <c r="S81" s="216" t="s">
        <v>133</v>
      </c>
      <c r="T81" s="220"/>
      <c r="U81" s="221"/>
      <c r="V81" s="221"/>
      <c r="W81" s="24">
        <f>(+Q81+8)-0.04</f>
        <v>24.46</v>
      </c>
    </row>
    <row r="82" spans="1:24" x14ac:dyDescent="0.3">
      <c r="A82" s="3" t="s">
        <v>244</v>
      </c>
      <c r="B82" s="3" t="s">
        <v>246</v>
      </c>
      <c r="C82" s="3" t="s">
        <v>8</v>
      </c>
      <c r="D82" s="3">
        <v>1.8</v>
      </c>
      <c r="E82" s="48" t="s">
        <v>71</v>
      </c>
      <c r="F82" s="48" t="s">
        <v>245</v>
      </c>
      <c r="G82" s="20" t="s">
        <v>133</v>
      </c>
      <c r="H82" s="3"/>
      <c r="I82" s="29"/>
      <c r="J82" s="181"/>
      <c r="K82" s="17"/>
      <c r="L82" s="9"/>
      <c r="M82" s="9"/>
      <c r="N82" s="11"/>
      <c r="O82" s="11"/>
      <c r="P82" s="100"/>
      <c r="Q82" s="108"/>
      <c r="R82" s="182">
        <v>2.5</v>
      </c>
      <c r="S82" s="182" t="s">
        <v>133</v>
      </c>
      <c r="T82" s="25"/>
      <c r="U82" s="88">
        <f>+R82</f>
        <v>2.5</v>
      </c>
      <c r="V82" s="22"/>
      <c r="W82" s="88">
        <f>+U82+1</f>
        <v>3.5</v>
      </c>
    </row>
    <row r="83" spans="1:24" x14ac:dyDescent="0.3">
      <c r="A83" s="266" t="s">
        <v>251</v>
      </c>
      <c r="B83" s="3" t="s">
        <v>12</v>
      </c>
      <c r="C83" s="3" t="s">
        <v>8</v>
      </c>
      <c r="D83" s="3">
        <v>1.2</v>
      </c>
      <c r="E83" s="48" t="s">
        <v>207</v>
      </c>
      <c r="F83" s="48" t="s">
        <v>302</v>
      </c>
      <c r="G83" s="20" t="s">
        <v>13</v>
      </c>
      <c r="H83" s="9">
        <v>3.3</v>
      </c>
      <c r="I83" s="29">
        <v>20.82</v>
      </c>
      <c r="J83" s="267">
        <v>7.56</v>
      </c>
      <c r="K83" s="9">
        <f>+I83*J83</f>
        <v>157.39920000000001</v>
      </c>
      <c r="L83" s="9"/>
      <c r="M83" s="9"/>
      <c r="N83" s="11"/>
      <c r="O83" s="92"/>
      <c r="P83" s="100"/>
      <c r="Q83" s="94"/>
      <c r="R83" s="73"/>
      <c r="S83" s="20"/>
      <c r="T83" s="25"/>
      <c r="U83" s="88"/>
      <c r="V83" s="96"/>
      <c r="W83" s="96"/>
      <c r="X83" s="64"/>
    </row>
    <row r="84" spans="1:24" s="309" customFormat="1" x14ac:dyDescent="0.3">
      <c r="A84" s="296" t="s">
        <v>306</v>
      </c>
      <c r="B84" s="297" t="s">
        <v>18</v>
      </c>
      <c r="C84" s="297" t="s">
        <v>8</v>
      </c>
      <c r="D84" s="297">
        <v>1.7</v>
      </c>
      <c r="E84" s="298" t="s">
        <v>71</v>
      </c>
      <c r="F84" s="298" t="s">
        <v>307</v>
      </c>
      <c r="G84" s="299" t="s">
        <v>80</v>
      </c>
      <c r="H84" s="297">
        <v>3.92</v>
      </c>
      <c r="I84" s="300">
        <v>25</v>
      </c>
      <c r="J84" s="300">
        <v>4.4400000000000004</v>
      </c>
      <c r="K84" s="301"/>
      <c r="L84" s="300"/>
      <c r="M84" s="300"/>
      <c r="N84" s="300">
        <f>+J84*1.15</f>
        <v>5.1059999999999999</v>
      </c>
      <c r="O84" s="300"/>
      <c r="P84" s="304">
        <f>+N84</f>
        <v>5.1059999999999999</v>
      </c>
      <c r="Q84" s="300">
        <f>+U84/H84</f>
        <v>1.5943877551020409</v>
      </c>
      <c r="R84" s="302">
        <f>+Q84</f>
        <v>1.5943877551020409</v>
      </c>
      <c r="S84" s="299" t="s">
        <v>80</v>
      </c>
      <c r="T84" s="303"/>
      <c r="U84" s="304">
        <v>6.25</v>
      </c>
      <c r="V84" s="300">
        <f t="shared" ref="V84" si="24">+U84+0.5</f>
        <v>6.75</v>
      </c>
      <c r="W84" s="300">
        <f t="shared" ref="W84" si="25">+V84+0.25</f>
        <v>7</v>
      </c>
      <c r="X84" s="308" t="str">
        <f>+IF(U84&lt;N84,"ERROR","")</f>
        <v/>
      </c>
    </row>
    <row r="86" spans="1:24" x14ac:dyDescent="0.3">
      <c r="U86" s="4"/>
    </row>
  </sheetData>
  <sortState xmlns:xlrd2="http://schemas.microsoft.com/office/spreadsheetml/2017/richdata2" ref="A4:X75">
    <sortCondition ref="A4:A75" customList="M1,M2,M3,M4,M5,M6,M7,M8,M9,M10,M11"/>
  </sortState>
  <phoneticPr fontId="5" type="noConversion"/>
  <conditionalFormatting sqref="A1:A82 A85:A1048576">
    <cfRule type="duplicateValues" dxfId="5" priority="5"/>
  </conditionalFormatting>
  <conditionalFormatting sqref="X1:X51 X53:X82 X85:X1048576">
    <cfRule type="cellIs" dxfId="4" priority="6" operator="equal">
      <formula>"ERROR"</formula>
    </cfRule>
  </conditionalFormatting>
  <conditionalFormatting sqref="A83">
    <cfRule type="duplicateValues" dxfId="3" priority="4"/>
  </conditionalFormatting>
  <conditionalFormatting sqref="X83">
    <cfRule type="cellIs" dxfId="2" priority="3" operator="equal">
      <formula>"ERROR"</formula>
    </cfRule>
  </conditionalFormatting>
  <conditionalFormatting sqref="A84">
    <cfRule type="duplicateValues" dxfId="1" priority="1"/>
  </conditionalFormatting>
  <conditionalFormatting sqref="X84">
    <cfRule type="cellIs" dxfId="0" priority="2" operator="equal">
      <formula>"ERROR"</formula>
    </cfRule>
  </conditionalFormatting>
  <pageMargins left="0.7" right="0.7" top="0.75" bottom="0.75" header="0.3" footer="0.3"/>
  <pageSetup paperSize="9" scale="23" orientation="landscape" horizontalDpi="360" verticalDpi="36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1F05-3C83-4464-B4FE-24B39AE97ACF}">
  <sheetPr codeName="Hoja2">
    <pageSetUpPr fitToPage="1"/>
  </sheetPr>
  <dimension ref="A1:N73"/>
  <sheetViews>
    <sheetView tabSelected="1" zoomScaleNormal="100" zoomScaleSheetLayoutView="115" workbookViewId="0">
      <selection activeCell="I21" sqref="I21"/>
    </sheetView>
  </sheetViews>
  <sheetFormatPr baseColWidth="10" defaultColWidth="11.44140625" defaultRowHeight="14.4" x14ac:dyDescent="0.3"/>
  <cols>
    <col min="1" max="1" width="4.88671875" style="2" customWidth="1"/>
    <col min="2" max="2" width="15.33203125" style="2" customWidth="1"/>
    <col min="3" max="3" width="11.88671875" style="26" bestFit="1" customWidth="1"/>
    <col min="4" max="4" width="9.6640625" style="26" bestFit="1" customWidth="1"/>
    <col min="5" max="5" width="6.44140625" style="2" bestFit="1" customWidth="1"/>
    <col min="6" max="6" width="53.6640625" style="50" customWidth="1"/>
    <col min="7" max="7" width="13.44140625" style="2" bestFit="1" customWidth="1"/>
    <col min="8" max="9" width="11.44140625" style="2"/>
    <col min="10" max="10" width="13.5546875" style="26" customWidth="1"/>
    <col min="11" max="11" width="13" style="21" bestFit="1" customWidth="1"/>
    <col min="12" max="12" width="13.33203125" style="21" bestFit="1" customWidth="1"/>
    <col min="13" max="14" width="11.44140625" style="242"/>
    <col min="15" max="16384" width="11.44140625" style="243"/>
  </cols>
  <sheetData>
    <row r="1" spans="1:14" ht="29.25" customHeight="1" x14ac:dyDescent="0.3">
      <c r="A1" s="232" t="s">
        <v>305</v>
      </c>
      <c r="B1" s="232"/>
      <c r="C1" s="169"/>
      <c r="D1" s="169"/>
      <c r="E1" s="3"/>
      <c r="F1" s="48"/>
      <c r="G1" s="3"/>
      <c r="H1" s="3"/>
      <c r="I1" s="3"/>
      <c r="J1" s="169"/>
      <c r="K1" s="20"/>
      <c r="L1" s="20"/>
    </row>
    <row r="2" spans="1:14" s="245" customFormat="1" ht="45" customHeight="1" x14ac:dyDescent="0.3">
      <c r="A2" s="188" t="str">
        <f>'PRODUCTO NACIONAL'!A3</f>
        <v>ID</v>
      </c>
      <c r="B2" s="188" t="s">
        <v>259</v>
      </c>
      <c r="C2" s="233" t="str">
        <f>+'PRODUCTO NACIONAL'!C3</f>
        <v>TIPO</v>
      </c>
      <c r="D2" s="233" t="str">
        <f>+'PRODUCTO NACIONAL'!D3</f>
        <v>ANCHO</v>
      </c>
      <c r="E2" s="234" t="str">
        <f>+'PRODUCTO NACIONAL'!H3</f>
        <v>RINDE</v>
      </c>
      <c r="F2" s="235" t="str">
        <f>'PRODUCTO NACIONAL'!F3</f>
        <v>DESCRIPCION</v>
      </c>
      <c r="G2" s="234" t="str">
        <f>+'PRODUCTO NACIONAL'!E3</f>
        <v>TUB./ABIERTA</v>
      </c>
      <c r="H2" s="234" t="str">
        <f>'PRODUCTO NACIONAL'!G3</f>
        <v>UNIDAD</v>
      </c>
      <c r="I2" s="234" t="str">
        <f>'PRODUCTO NACIONAL'!T3</f>
        <v>PVP/metro</v>
      </c>
      <c r="J2" s="236" t="str">
        <f>'PRODUCTO NACIONAL'!U3</f>
        <v>PVP KILO|PROMO</v>
      </c>
      <c r="K2" s="237" t="str">
        <f>'PRODUCTO NACIONAL'!V3</f>
        <v>PVP|DOCENA |X4</v>
      </c>
      <c r="L2" s="237" t="str">
        <f>'PRODUCTO NACIONAL'!W3</f>
        <v>PVP|UNIDAD</v>
      </c>
      <c r="M2" s="244"/>
      <c r="N2" s="244"/>
    </row>
    <row r="3" spans="1:14" x14ac:dyDescent="0.3">
      <c r="A3" s="174" t="str">
        <f>IF('PRODUCTO NACIONAL'!A28&lt;&gt;"",'PRODUCTO NACIONAL'!A28,"")</f>
        <v>M25</v>
      </c>
      <c r="B3" s="174" t="s">
        <v>268</v>
      </c>
      <c r="C3" s="159" t="str">
        <f>IF('PRODUCTO NACIONAL'!C28&lt;&gt;"",'PRODUCTO NACIONAL'!C28,"")</f>
        <v>TELA</v>
      </c>
      <c r="D3" s="159">
        <f>IF('PRODUCTO NACIONAL'!D28&lt;&gt;"",'PRODUCTO NACIONAL'!D28,"")</f>
        <v>1.2</v>
      </c>
      <c r="E3" s="159">
        <f>IF('PRODUCTO NACIONAL'!H28&lt;&gt;"",'PRODUCTO NACIONAL'!H28,"")</f>
        <v>2.4</v>
      </c>
      <c r="F3" s="160" t="str">
        <f>IF('PRODUCTO NACIONAL'!F28&lt;&gt;"",'PRODUCTO NACIONAL'!F28,"")</f>
        <v>ALGODÓN ARUBA PEI AZUL MARINO| COLORES| BLANCO</v>
      </c>
      <c r="G3" s="159" t="str">
        <f>IF('PRODUCTO NACIONAL'!E28&lt;&gt;"",'PRODUCTO NACIONAL'!E28,"")</f>
        <v>TUBULAR</v>
      </c>
      <c r="H3" s="159" t="str">
        <f>IF('PRODUCTO NACIONAL'!G28&lt;&gt;"",'PRODUCTO NACIONAL'!G28,"")</f>
        <v>KILOS</v>
      </c>
      <c r="I3" s="159">
        <f>IF('PRODUCTO NACIONAL'!T28&lt;&gt;"",'PRODUCTO NACIONAL'!T28,"")</f>
        <v>6</v>
      </c>
      <c r="J3" s="161">
        <f>IF('PRODUCTO NACIONAL'!U28&lt;&gt;"",'PRODUCTO NACIONAL'!U28,"")</f>
        <v>13</v>
      </c>
      <c r="K3" s="162">
        <f>IF('PRODUCTO NACIONAL'!V28&lt;&gt;"",'PRODUCTO NACIONAL'!V28,"")</f>
        <v>13.3</v>
      </c>
      <c r="L3" s="162">
        <f>IF('PRODUCTO NACIONAL'!W28&lt;&gt;"",'PRODUCTO NACIONAL'!W28,"")</f>
        <v>13.5</v>
      </c>
    </row>
    <row r="4" spans="1:14" x14ac:dyDescent="0.3">
      <c r="A4" s="174" t="str">
        <f>IF('PRODUCTO NACIONAL'!A65&lt;&gt;"",'PRODUCTO NACIONAL'!A65,"")</f>
        <v>M62</v>
      </c>
      <c r="B4" s="174" t="s">
        <v>269</v>
      </c>
      <c r="C4" s="159" t="str">
        <f>IF('PRODUCTO NACIONAL'!C65&lt;&gt;"",'PRODUCTO NACIONAL'!C65,"")</f>
        <v>TELA</v>
      </c>
      <c r="D4" s="159">
        <f>IF('PRODUCTO NACIONAL'!D65&lt;&gt;"",'PRODUCTO NACIONAL'!D65,"")</f>
        <v>0.86</v>
      </c>
      <c r="E4" s="159">
        <f>IF('PRODUCTO NACIONAL'!H65&lt;&gt;"",'PRODUCTO NACIONAL'!H65,"")</f>
        <v>3</v>
      </c>
      <c r="F4" s="160" t="str">
        <f>IF('PRODUCTO NACIONAL'!F65&lt;&gt;"",'PRODUCTO NACIONAL'!F65,"")</f>
        <v>ALGODÓN DENISSE PEI AZUL MARINO |COLORES | BLANCO</v>
      </c>
      <c r="G4" s="159" t="str">
        <f>IF('PRODUCTO NACIONAL'!E65&lt;&gt;"",'PRODUCTO NACIONAL'!E65,"")</f>
        <v>TUBULAR</v>
      </c>
      <c r="H4" s="159" t="str">
        <f>IF('PRODUCTO NACIONAL'!G65&lt;&gt;"",'PRODUCTO NACIONAL'!G65,"")</f>
        <v>KILOS</v>
      </c>
      <c r="I4" s="159">
        <f>IF('PRODUCTO NACIONAL'!T65&lt;&gt;"",'PRODUCTO NACIONAL'!T65,"")</f>
        <v>5</v>
      </c>
      <c r="J4" s="161">
        <f>IF('PRODUCTO NACIONAL'!U65&lt;&gt;"",'PRODUCTO NACIONAL'!U65,"")</f>
        <v>12.25</v>
      </c>
      <c r="K4" s="162">
        <f>IF('PRODUCTO NACIONAL'!V65&lt;&gt;"",'PRODUCTO NACIONAL'!V65,"")</f>
        <v>12.55</v>
      </c>
      <c r="L4" s="162">
        <f>IF('PRODUCTO NACIONAL'!W65&lt;&gt;"",'PRODUCTO NACIONAL'!W65,"")</f>
        <v>12.75</v>
      </c>
    </row>
    <row r="5" spans="1:14" x14ac:dyDescent="0.3">
      <c r="A5" s="174" t="str">
        <f>IF('PRODUCTO NACIONAL'!A63&lt;&gt;"",'PRODUCTO NACIONAL'!A63,"")</f>
        <v>M60</v>
      </c>
      <c r="B5" s="174" t="s">
        <v>261</v>
      </c>
      <c r="C5" s="159" t="str">
        <f>IF('PRODUCTO NACIONAL'!C63&lt;&gt;"",'PRODUCTO NACIONAL'!C63,"")</f>
        <v>TELA</v>
      </c>
      <c r="D5" s="159">
        <f>IF('PRODUCTO NACIONAL'!D63&lt;&gt;"",'PRODUCTO NACIONAL'!D63,"")</f>
        <v>1.1000000000000001</v>
      </c>
      <c r="E5" s="159">
        <f>IF('PRODUCTO NACIONAL'!H63&lt;&gt;"",'PRODUCTO NACIONAL'!H63,"")</f>
        <v>2.1</v>
      </c>
      <c r="F5" s="160" t="str">
        <f>IF('PRODUCTO NACIONAL'!F63&lt;&gt;"",'PRODUCTO NACIONAL'!F63,"")</f>
        <v>ALGODÓN INTERLOCK SPUN 30 BLANCO FROZEN</v>
      </c>
      <c r="G5" s="159" t="str">
        <f>IF('PRODUCTO NACIONAL'!E63&lt;&gt;"",'PRODUCTO NACIONAL'!E63,"")</f>
        <v>TUBULAR</v>
      </c>
      <c r="H5" s="159" t="str">
        <f>IF('PRODUCTO NACIONAL'!G63&lt;&gt;"",'PRODUCTO NACIONAL'!G63,"")</f>
        <v>KILOS</v>
      </c>
      <c r="I5" s="159">
        <f>IF('PRODUCTO NACIONAL'!T63&lt;&gt;"",'PRODUCTO NACIONAL'!T63,"")</f>
        <v>6</v>
      </c>
      <c r="J5" s="161">
        <f>IF('PRODUCTO NACIONAL'!U63&lt;&gt;"",'PRODUCTO NACIONAL'!U63,"")</f>
        <v>12</v>
      </c>
      <c r="K5" s="162">
        <f>IF('PRODUCTO NACIONAL'!V63&lt;&gt;"",'PRODUCTO NACIONAL'!V63,"")</f>
        <v>12.3</v>
      </c>
      <c r="L5" s="162">
        <f>IF('PRODUCTO NACIONAL'!W63&lt;&gt;"",'PRODUCTO NACIONAL'!W63,"")</f>
        <v>12.5</v>
      </c>
    </row>
    <row r="6" spans="1:14" x14ac:dyDescent="0.3">
      <c r="A6" s="174" t="str">
        <f>IF('PRODUCTO NACIONAL'!A64&lt;&gt;"",'PRODUCTO NACIONAL'!A64,"")</f>
        <v>M61</v>
      </c>
      <c r="B6" s="174" t="s">
        <v>282</v>
      </c>
      <c r="C6" s="159" t="str">
        <f>IF('PRODUCTO NACIONAL'!C64&lt;&gt;"",'PRODUCTO NACIONAL'!C64,"")</f>
        <v>TELA</v>
      </c>
      <c r="D6" s="159">
        <f>IF('PRODUCTO NACIONAL'!D64&lt;&gt;"",'PRODUCTO NACIONAL'!D64,"")</f>
        <v>1.2</v>
      </c>
      <c r="E6" s="159">
        <f>IF('PRODUCTO NACIONAL'!H64&lt;&gt;"",'PRODUCTO NACIONAL'!H64,"")</f>
        <v>2.4</v>
      </c>
      <c r="F6" s="160" t="str">
        <f>IF('PRODUCTO NACIONAL'!F64&lt;&gt;"",'PRODUCTO NACIONAL'!F64,"")</f>
        <v>INTERLOCK 40 SPUN 1.2 BLANCO FROZEN</v>
      </c>
      <c r="G6" s="159" t="str">
        <f>IF('PRODUCTO NACIONAL'!E64&lt;&gt;"",'PRODUCTO NACIONAL'!E64,"")</f>
        <v>TUBULAR</v>
      </c>
      <c r="H6" s="159" t="str">
        <f>IF('PRODUCTO NACIONAL'!G64&lt;&gt;"",'PRODUCTO NACIONAL'!G64,"")</f>
        <v>KILOS</v>
      </c>
      <c r="I6" s="159">
        <f>IF('PRODUCTO NACIONAL'!T64&lt;&gt;"",'PRODUCTO NACIONAL'!T64,"")</f>
        <v>5.5</v>
      </c>
      <c r="J6" s="161">
        <f>IF('PRODUCTO NACIONAL'!U64&lt;&gt;"",'PRODUCTO NACIONAL'!U64,"")</f>
        <v>12</v>
      </c>
      <c r="K6" s="162">
        <f>IF('PRODUCTO NACIONAL'!V64&lt;&gt;"",'PRODUCTO NACIONAL'!V64,"")</f>
        <v>12.3</v>
      </c>
      <c r="L6" s="162">
        <f>IF('PRODUCTO NACIONAL'!W64&lt;&gt;"",'PRODUCTO NACIONAL'!W64,"")</f>
        <v>12.5</v>
      </c>
    </row>
    <row r="7" spans="1:14" x14ac:dyDescent="0.3">
      <c r="A7" s="174" t="str">
        <f>IF('PRODUCTO NACIONAL'!A66&lt;&gt;"",'PRODUCTO NACIONAL'!A66,"")</f>
        <v>M63</v>
      </c>
      <c r="B7" s="174" t="s">
        <v>262</v>
      </c>
      <c r="C7" s="159" t="str">
        <f>IF('PRODUCTO NACIONAL'!C66&lt;&gt;"",'PRODUCTO NACIONAL'!C66,"")</f>
        <v>TELA</v>
      </c>
      <c r="D7" s="159">
        <f>IF('PRODUCTO NACIONAL'!D66&lt;&gt;"",'PRODUCTO NACIONAL'!D66,"")</f>
        <v>1.2</v>
      </c>
      <c r="E7" s="159">
        <f>IF('PRODUCTO NACIONAL'!H66&lt;&gt;"",'PRODUCTO NACIONAL'!H66,"")</f>
        <v>3.3</v>
      </c>
      <c r="F7" s="160" t="str">
        <f>IF('PRODUCTO NACIONAL'!F66&lt;&gt;"",'PRODUCTO NACIONAL'!F66,"")</f>
        <v>CHELSEA MIC NARANJA FOSFORESCENTE</v>
      </c>
      <c r="G7" s="159" t="str">
        <f>IF('PRODUCTO NACIONAL'!E66&lt;&gt;"",'PRODUCTO NACIONAL'!E66,"")</f>
        <v>TUBULAR</v>
      </c>
      <c r="H7" s="159" t="str">
        <f>IF('PRODUCTO NACIONAL'!G66&lt;&gt;"",'PRODUCTO NACIONAL'!G66,"")</f>
        <v>KILOS</v>
      </c>
      <c r="I7" s="159">
        <f>IF('PRODUCTO NACIONAL'!T66&lt;&gt;"",'PRODUCTO NACIONAL'!T66,"")</f>
        <v>3.5</v>
      </c>
      <c r="J7" s="161">
        <f>IF('PRODUCTO NACIONAL'!U66&lt;&gt;"",'PRODUCTO NACIONAL'!U66,"")</f>
        <v>10.5</v>
      </c>
      <c r="K7" s="162">
        <f>IF('PRODUCTO NACIONAL'!V66&lt;&gt;"",'PRODUCTO NACIONAL'!V66,"")</f>
        <v>10.8</v>
      </c>
      <c r="L7" s="162">
        <f>IF('PRODUCTO NACIONAL'!W66&lt;&gt;"",'PRODUCTO NACIONAL'!W66,"")</f>
        <v>11</v>
      </c>
    </row>
    <row r="8" spans="1:14" x14ac:dyDescent="0.3">
      <c r="A8" s="174" t="str">
        <f>IF('PRODUCTO NACIONAL'!A15&lt;&gt;"",'PRODUCTO NACIONAL'!A15,"")</f>
        <v>M12</v>
      </c>
      <c r="B8" s="174" t="s">
        <v>263</v>
      </c>
      <c r="C8" s="159" t="str">
        <f>IF('PRODUCTO NACIONAL'!C15&lt;&gt;"",'PRODUCTO NACIONAL'!C15,"")</f>
        <v>TELA</v>
      </c>
      <c r="D8" s="159">
        <f>IF('PRODUCTO NACIONAL'!D15&lt;&gt;"",'PRODUCTO NACIONAL'!D15,"")</f>
        <v>1.5</v>
      </c>
      <c r="E8" s="159" t="str">
        <f>IF('PRODUCTO NACIONAL'!H15&lt;&gt;"",'PRODUCTO NACIONAL'!H15,"")</f>
        <v/>
      </c>
      <c r="F8" s="160" t="str">
        <f>IF('PRODUCTO NACIONAL'!F15&lt;&gt;"",'PRODUCTO NACIONAL'!F15,"")</f>
        <v>LINO JARUBA</v>
      </c>
      <c r="G8" s="159" t="str">
        <f>IF('PRODUCTO NACIONAL'!E15&lt;&gt;"",'PRODUCTO NACIONAL'!E15,"")</f>
        <v>ABIERTA</v>
      </c>
      <c r="H8" s="159" t="str">
        <f>IF('PRODUCTO NACIONAL'!G15&lt;&gt;"",'PRODUCTO NACIONAL'!G15,"")</f>
        <v>METRO</v>
      </c>
      <c r="I8" s="159" t="str">
        <f>IF('PRODUCTO NACIONAL'!T15&lt;&gt;"",'PRODUCTO NACIONAL'!T15,"")</f>
        <v/>
      </c>
      <c r="J8" s="161" t="str">
        <f>IF('PRODUCTO NACIONAL'!U15&lt;&gt;"",'PRODUCTO NACIONAL'!U15,"")</f>
        <v/>
      </c>
      <c r="K8" s="162" t="str">
        <f>IF('PRODUCTO NACIONAL'!V15&lt;&gt;"",'PRODUCTO NACIONAL'!V15,"")</f>
        <v/>
      </c>
      <c r="L8" s="162">
        <f>IF('PRODUCTO NACIONAL'!W15&lt;&gt;"",'PRODUCTO NACIONAL'!W15,"")</f>
        <v>3</v>
      </c>
    </row>
    <row r="9" spans="1:14" x14ac:dyDescent="0.3">
      <c r="A9" s="174" t="str">
        <f>IF('PRODUCTO NACIONAL'!A40&lt;&gt;"",'PRODUCTO NACIONAL'!A40,"")</f>
        <v>M37</v>
      </c>
      <c r="B9" s="174" t="s">
        <v>265</v>
      </c>
      <c r="C9" s="159" t="str">
        <f>IF('PRODUCTO NACIONAL'!C40&lt;&gt;"",'PRODUCTO NACIONAL'!C40,"")</f>
        <v>TELA</v>
      </c>
      <c r="D9" s="159">
        <f>IF('PRODUCTO NACIONAL'!D40&lt;&gt;"",'PRODUCTO NACIONAL'!D40,"")</f>
        <v>1.8</v>
      </c>
      <c r="E9" s="159">
        <f>IF('PRODUCTO NACIONAL'!H40&lt;&gt;"",'PRODUCTO NACIONAL'!H40,"")</f>
        <v>3.8</v>
      </c>
      <c r="F9" s="160" t="str">
        <f>IF('PRODUCTO NACIONAL'!F40&lt;&gt;"",'PRODUCTO NACIONAL'!F40,"")</f>
        <v>MURRAY|BLANCA</v>
      </c>
      <c r="G9" s="159" t="str">
        <f>IF('PRODUCTO NACIONAL'!E40&lt;&gt;"",'PRODUCTO NACIONAL'!E40,"")</f>
        <v>ABIERTA</v>
      </c>
      <c r="H9" s="159" t="str">
        <f>IF('PRODUCTO NACIONAL'!G40&lt;&gt;"",'PRODUCTO NACIONAL'!G40,"")</f>
        <v>KILOS</v>
      </c>
      <c r="I9" s="159">
        <f>IF('PRODUCTO NACIONAL'!T40&lt;&gt;"",'PRODUCTO NACIONAL'!T40,"")</f>
        <v>3.5</v>
      </c>
      <c r="J9" s="161">
        <f>IF('PRODUCTO NACIONAL'!U40&lt;&gt;"",'PRODUCTO NACIONAL'!U40,"")</f>
        <v>9.25</v>
      </c>
      <c r="K9" s="162">
        <f>IF('PRODUCTO NACIONAL'!V40&lt;&gt;"",'PRODUCTO NACIONAL'!V40,"")</f>
        <v>9.5500000000000007</v>
      </c>
      <c r="L9" s="162">
        <f>IF('PRODUCTO NACIONAL'!W40&lt;&gt;"",'PRODUCTO NACIONAL'!W40,"")</f>
        <v>9.75</v>
      </c>
    </row>
    <row r="10" spans="1:14" x14ac:dyDescent="0.3">
      <c r="A10" s="174" t="str">
        <f>IF('PRODUCTO NACIONAL'!A38&lt;&gt;"",'PRODUCTO NACIONAL'!A38,"")</f>
        <v>M35</v>
      </c>
      <c r="B10" s="174" t="s">
        <v>264</v>
      </c>
      <c r="C10" s="159" t="str">
        <f>IF('PRODUCTO NACIONAL'!C38&lt;&gt;"",'PRODUCTO NACIONAL'!C38,"")</f>
        <v>TELA</v>
      </c>
      <c r="D10" s="159">
        <f>IF('PRODUCTO NACIONAL'!D38&lt;&gt;"",'PRODUCTO NACIONAL'!D38,"")</f>
        <v>1.5</v>
      </c>
      <c r="E10" s="159" t="str">
        <f>IF('PRODUCTO NACIONAL'!H38&lt;&gt;"",'PRODUCTO NACIONAL'!H38,"")</f>
        <v/>
      </c>
      <c r="F10" s="160" t="str">
        <f>IF('PRODUCTO NACIONAL'!F38&lt;&gt;"",'PRODUCTO NACIONAL'!F38,"")</f>
        <v>NICO SPORT|BLANCO</v>
      </c>
      <c r="G10" s="159" t="str">
        <f>IF('PRODUCTO NACIONAL'!E38&lt;&gt;"",'PRODUCTO NACIONAL'!E38,"")</f>
        <v>ABIERTA</v>
      </c>
      <c r="H10" s="159" t="str">
        <f>IF('PRODUCTO NACIONAL'!G38&lt;&gt;"",'PRODUCTO NACIONAL'!G38,"")</f>
        <v>METRO</v>
      </c>
      <c r="I10" s="159" t="str">
        <f>IF('PRODUCTO NACIONAL'!T38&lt;&gt;"",'PRODUCTO NACIONAL'!T38,"")</f>
        <v/>
      </c>
      <c r="J10" s="161" t="str">
        <f>IF('PRODUCTO NACIONAL'!U38&lt;&gt;"",'PRODUCTO NACIONAL'!U38,"")</f>
        <v/>
      </c>
      <c r="K10" s="162" t="str">
        <f>IF('PRODUCTO NACIONAL'!V38&lt;&gt;"",'PRODUCTO NACIONAL'!V38,"")</f>
        <v/>
      </c>
      <c r="L10" s="162">
        <f>IF('PRODUCTO NACIONAL'!W38&lt;&gt;"",'PRODUCTO NACIONAL'!W38,"")</f>
        <v>4</v>
      </c>
    </row>
    <row r="11" spans="1:14" x14ac:dyDescent="0.3">
      <c r="A11" s="174" t="str">
        <f>IF('PRODUCTO NACIONAL'!A4&lt;&gt;"",'PRODUCTO NACIONAL'!A4,"")</f>
        <v>M1</v>
      </c>
      <c r="B11" s="174" t="s">
        <v>84</v>
      </c>
      <c r="C11" s="159" t="str">
        <f>IF('PRODUCTO NACIONAL'!C4&lt;&gt;"",'PRODUCTO NACIONAL'!C4,"")</f>
        <v>TELA</v>
      </c>
      <c r="D11" s="159">
        <f>IF('PRODUCTO NACIONAL'!D4&lt;&gt;"",'PRODUCTO NACIONAL'!D4,"")</f>
        <v>1.5</v>
      </c>
      <c r="E11" s="159" t="str">
        <f>IF('PRODUCTO NACIONAL'!H4&lt;&gt;"",'PRODUCTO NACIONAL'!H4,"")</f>
        <v/>
      </c>
      <c r="F11" s="160" t="str">
        <f>IF('PRODUCTO NACIONAL'!F4&lt;&gt;"",'PRODUCTO NACIONAL'!F4,"")</f>
        <v>NYLON</v>
      </c>
      <c r="G11" s="159" t="str">
        <f>IF('PRODUCTO NACIONAL'!E4&lt;&gt;"",'PRODUCTO NACIONAL'!E4,"")</f>
        <v>ABIERTA</v>
      </c>
      <c r="H11" s="159" t="str">
        <f>IF('PRODUCTO NACIONAL'!G4&lt;&gt;"",'PRODUCTO NACIONAL'!G4,"")</f>
        <v>METRO</v>
      </c>
      <c r="I11" s="159" t="str">
        <f>IF('PRODUCTO NACIONAL'!T4&lt;&gt;"",'PRODUCTO NACIONAL'!T4,"")</f>
        <v/>
      </c>
      <c r="J11" s="161" t="str">
        <f>IF('PRODUCTO NACIONAL'!U4&lt;&gt;"",'PRODUCTO NACIONAL'!U4,"")</f>
        <v/>
      </c>
      <c r="K11" s="162" t="str">
        <f>IF('PRODUCTO NACIONAL'!V4&lt;&gt;"",'PRODUCTO NACIONAL'!V4,"")</f>
        <v/>
      </c>
      <c r="L11" s="162">
        <f>IF('PRODUCTO NACIONAL'!W4&lt;&gt;"",'PRODUCTO NACIONAL'!W4,"")</f>
        <v>2.5</v>
      </c>
    </row>
    <row r="12" spans="1:14" x14ac:dyDescent="0.3">
      <c r="A12" s="174" t="str">
        <f>IF('PRODUCTO NACIONAL'!A62&lt;&gt;"",'PRODUCTO NACIONAL'!A62,"")</f>
        <v>M59</v>
      </c>
      <c r="B12" s="174" t="s">
        <v>267</v>
      </c>
      <c r="C12" s="159" t="str">
        <f>IF('PRODUCTO NACIONAL'!C62&lt;&gt;"",'PRODUCTO NACIONAL'!C62,"")</f>
        <v>TELA</v>
      </c>
      <c r="D12" s="159">
        <f>IF('PRODUCTO NACIONAL'!D62&lt;&gt;"",'PRODUCTO NACIONAL'!D62,"")</f>
        <v>1.2</v>
      </c>
      <c r="E12" s="159">
        <f>IF('PRODUCTO NACIONAL'!H62&lt;&gt;"",'PRODUCTO NACIONAL'!H62,"")</f>
        <v>2</v>
      </c>
      <c r="F12" s="160" t="str">
        <f>IF('PRODUCTO NACIONAL'!F62&lt;&gt;"",'PRODUCTO NACIONAL'!F62,"")</f>
        <v>PIKE LACOAST 20 PEI AZUL MARINO| OSCURO</v>
      </c>
      <c r="G12" s="159" t="str">
        <f>IF('PRODUCTO NACIONAL'!E62&lt;&gt;"",'PRODUCTO NACIONAL'!E62,"")</f>
        <v>TUBULAR</v>
      </c>
      <c r="H12" s="159" t="str">
        <f>IF('PRODUCTO NACIONAL'!G62&lt;&gt;"",'PRODUCTO NACIONAL'!G62,"")</f>
        <v>KILOS</v>
      </c>
      <c r="I12" s="159">
        <f>IF('PRODUCTO NACIONAL'!T62&lt;&gt;"",'PRODUCTO NACIONAL'!T62,"")</f>
        <v>6.5</v>
      </c>
      <c r="J12" s="161">
        <f>IF('PRODUCTO NACIONAL'!U62&lt;&gt;"",'PRODUCTO NACIONAL'!U62,"")</f>
        <v>12</v>
      </c>
      <c r="K12" s="162">
        <f>IF('PRODUCTO NACIONAL'!V62&lt;&gt;"",'PRODUCTO NACIONAL'!V62,"")</f>
        <v>12.3</v>
      </c>
      <c r="L12" s="162">
        <f>IF('PRODUCTO NACIONAL'!W62&lt;&gt;"",'PRODUCTO NACIONAL'!W62,"")</f>
        <v>12.5</v>
      </c>
    </row>
    <row r="13" spans="1:14" x14ac:dyDescent="0.3">
      <c r="A13" s="174" t="str">
        <f>IF('PRODUCTO NACIONAL'!A61&lt;&gt;"",'PRODUCTO NACIONAL'!A61,"")</f>
        <v>M58</v>
      </c>
      <c r="B13" s="174" t="s">
        <v>270</v>
      </c>
      <c r="C13" s="159" t="str">
        <f>IF('PRODUCTO NACIONAL'!C61&lt;&gt;"",'PRODUCTO NACIONAL'!C61,"")</f>
        <v>TELA</v>
      </c>
      <c r="D13" s="159">
        <f>IF('PRODUCTO NACIONAL'!D61&lt;&gt;"",'PRODUCTO NACIONAL'!D61,"")</f>
        <v>1.2</v>
      </c>
      <c r="E13" s="159">
        <f>IF('PRODUCTO NACIONAL'!H61&lt;&gt;"",'PRODUCTO NACIONAL'!H61,"")</f>
        <v>2</v>
      </c>
      <c r="F13" s="160" t="str">
        <f>IF('PRODUCTO NACIONAL'!F61&lt;&gt;"",'PRODUCTO NACIONAL'!F61,"")</f>
        <v>PIKE LACOAST 20 PEI CELESTE| CLARO</v>
      </c>
      <c r="G13" s="159" t="str">
        <f>IF('PRODUCTO NACIONAL'!E61&lt;&gt;"",'PRODUCTO NACIONAL'!E61,"")</f>
        <v>TUBULAR</v>
      </c>
      <c r="H13" s="159" t="str">
        <f>IF('PRODUCTO NACIONAL'!G61&lt;&gt;"",'PRODUCTO NACIONAL'!G61,"")</f>
        <v>KILOS</v>
      </c>
      <c r="I13" s="159">
        <f>IF('PRODUCTO NACIONAL'!T61&lt;&gt;"",'PRODUCTO NACIONAL'!T61,"")</f>
        <v>6.5</v>
      </c>
      <c r="J13" s="161">
        <f>IF('PRODUCTO NACIONAL'!U61&lt;&gt;"",'PRODUCTO NACIONAL'!U61,"")</f>
        <v>12</v>
      </c>
      <c r="K13" s="162">
        <f>IF('PRODUCTO NACIONAL'!V61&lt;&gt;"",'PRODUCTO NACIONAL'!V61,"")</f>
        <v>12.3</v>
      </c>
      <c r="L13" s="162">
        <f>IF('PRODUCTO NACIONAL'!W61&lt;&gt;"",'PRODUCTO NACIONAL'!W61,"")</f>
        <v>12.5</v>
      </c>
    </row>
    <row r="14" spans="1:14" x14ac:dyDescent="0.3">
      <c r="A14" s="174" t="str">
        <f>IF('PRODUCTO NACIONAL'!A31&lt;&gt;"",'PRODUCTO NACIONAL'!A31,"")</f>
        <v>M28</v>
      </c>
      <c r="B14" s="174" t="s">
        <v>66</v>
      </c>
      <c r="C14" s="159" t="str">
        <f>IF('PRODUCTO NACIONAL'!C31&lt;&gt;"",'PRODUCTO NACIONAL'!C31,"")</f>
        <v>TELA</v>
      </c>
      <c r="D14" s="159">
        <f>IF('PRODUCTO NACIONAL'!D31&lt;&gt;"",'PRODUCTO NACIONAL'!D31,"")</f>
        <v>1.5</v>
      </c>
      <c r="E14" s="159" t="str">
        <f>IF('PRODUCTO NACIONAL'!H31&lt;&gt;"",'PRODUCTO NACIONAL'!H31,"")</f>
        <v/>
      </c>
      <c r="F14" s="160" t="str">
        <f>IF('PRODUCTO NACIONAL'!F31&lt;&gt;"",'PRODUCTO NACIONAL'!F31,"")</f>
        <v>PRADA LISA</v>
      </c>
      <c r="G14" s="159" t="str">
        <f>IF('PRODUCTO NACIONAL'!E31&lt;&gt;"",'PRODUCTO NACIONAL'!E31,"")</f>
        <v>ABIERTA</v>
      </c>
      <c r="H14" s="159" t="str">
        <f>IF('PRODUCTO NACIONAL'!G31&lt;&gt;"",'PRODUCTO NACIONAL'!G31,"")</f>
        <v>METRO</v>
      </c>
      <c r="I14" s="159">
        <f>IF('PRODUCTO NACIONAL'!W31&lt;&gt;"",'PRODUCTO NACIONAL'!W31,"")</f>
        <v>3.5</v>
      </c>
      <c r="J14" s="161" t="str">
        <f>IF('PRODUCTO NACIONAL'!U31&lt;&gt;"",'PRODUCTO NACIONAL'!U31,"")</f>
        <v/>
      </c>
      <c r="K14" s="162" t="str">
        <f>IF('PRODUCTO NACIONAL'!V31&lt;&gt;"",'PRODUCTO NACIONAL'!V31,"")</f>
        <v/>
      </c>
      <c r="L14" s="162">
        <f>IF('PRODUCTO NACIONAL'!W31&lt;&gt;"",'PRODUCTO NACIONAL'!W31,"")</f>
        <v>3.5</v>
      </c>
    </row>
    <row r="15" spans="1:14" x14ac:dyDescent="0.3">
      <c r="A15" s="174" t="str">
        <f>IF('PRODUCTO NACIONAL'!A37&lt;&gt;"",'PRODUCTO NACIONAL'!A37,"")</f>
        <v>M34</v>
      </c>
      <c r="B15" s="174" t="s">
        <v>260</v>
      </c>
      <c r="C15" s="159" t="str">
        <f>IF('PRODUCTO NACIONAL'!C37&lt;&gt;"",'PRODUCTO NACIONAL'!C37,"")</f>
        <v>TELA</v>
      </c>
      <c r="D15" s="159">
        <f>IF('PRODUCTO NACIONAL'!D37&lt;&gt;"",'PRODUCTO NACIONAL'!D37,"")</f>
        <v>1.5</v>
      </c>
      <c r="E15" s="159" t="str">
        <f>IF('PRODUCTO NACIONAL'!H37&lt;&gt;"",'PRODUCTO NACIONAL'!H37,"")</f>
        <v/>
      </c>
      <c r="F15" s="160" t="str">
        <f>IF('PRODUCTO NACIONAL'!F37&lt;&gt;"",'PRODUCTO NACIONAL'!F37,"")</f>
        <v>PRADA ROMBOS|CUADROS</v>
      </c>
      <c r="G15" s="159" t="str">
        <f>IF('PRODUCTO NACIONAL'!E37&lt;&gt;"",'PRODUCTO NACIONAL'!E37,"")</f>
        <v>ABIERTA</v>
      </c>
      <c r="H15" s="159" t="str">
        <f>IF('PRODUCTO NACIONAL'!G37&lt;&gt;"",'PRODUCTO NACIONAL'!G37,"")</f>
        <v>METRO</v>
      </c>
      <c r="I15" s="159" t="str">
        <f>IF('PRODUCTO NACIONAL'!T37&lt;&gt;"",'PRODUCTO NACIONAL'!T37,"")</f>
        <v/>
      </c>
      <c r="J15" s="161" t="str">
        <f>IF('PRODUCTO NACIONAL'!U37&lt;&gt;"",'PRODUCTO NACIONAL'!U37,"")</f>
        <v/>
      </c>
      <c r="K15" s="162" t="str">
        <f>IF('PRODUCTO NACIONAL'!V37&lt;&gt;"",'PRODUCTO NACIONAL'!V37,"")</f>
        <v/>
      </c>
      <c r="L15" s="162">
        <f>IF('PRODUCTO NACIONAL'!W37&lt;&gt;"",'PRODUCTO NACIONAL'!W37,"")</f>
        <v>4</v>
      </c>
    </row>
    <row r="16" spans="1:14" x14ac:dyDescent="0.3">
      <c r="A16" s="174" t="str">
        <f>IF('PRODUCTO NACIONAL'!A22&lt;&gt;"",'PRODUCTO NACIONAL'!A22,"")</f>
        <v>M19</v>
      </c>
      <c r="B16" s="174" t="s">
        <v>271</v>
      </c>
      <c r="C16" s="159" t="str">
        <f>IF('PRODUCTO NACIONAL'!C22&lt;&gt;"",'PRODUCTO NACIONAL'!C22,"")</f>
        <v>TELA</v>
      </c>
      <c r="D16" s="159">
        <f>IF('PRODUCTO NACIONAL'!D22&lt;&gt;"",'PRODUCTO NACIONAL'!D22,"")</f>
        <v>1.2</v>
      </c>
      <c r="E16" s="159">
        <f>IF('PRODUCTO NACIONAL'!H22&lt;&gt;"",'PRODUCTO NACIONAL'!H22,"")</f>
        <v>3.8</v>
      </c>
      <c r="F16" s="160" t="str">
        <f>IF('PRODUCTO NACIONAL'!F22&lt;&gt;"",'PRODUCTO NACIONAL'!F22,"")</f>
        <v>RIVER TEX NEGRO|COLORES</v>
      </c>
      <c r="G16" s="159" t="str">
        <f>IF('PRODUCTO NACIONAL'!E22&lt;&gt;"",'PRODUCTO NACIONAL'!E22,"")</f>
        <v>TUBULAR</v>
      </c>
      <c r="H16" s="159" t="str">
        <f>IF('PRODUCTO NACIONAL'!G22&lt;&gt;"",'PRODUCTO NACIONAL'!G22,"")</f>
        <v>KILOS</v>
      </c>
      <c r="I16" s="159">
        <f>IF('PRODUCTO NACIONAL'!T22&lt;&gt;"",'PRODUCTO NACIONAL'!T22,"")</f>
        <v>3.5</v>
      </c>
      <c r="J16" s="161">
        <f>IF('PRODUCTO NACIONAL'!U22&lt;&gt;"",'PRODUCTO NACIONAL'!U22,"")</f>
        <v>9.5</v>
      </c>
      <c r="K16" s="162">
        <f>IF('PRODUCTO NACIONAL'!V22&lt;&gt;"",'PRODUCTO NACIONAL'!V22,"")</f>
        <v>9.8000000000000007</v>
      </c>
      <c r="L16" s="162">
        <f>IF('PRODUCTO NACIONAL'!W22&lt;&gt;"",'PRODUCTO NACIONAL'!W22,"")</f>
        <v>10</v>
      </c>
    </row>
    <row r="17" spans="1:12" x14ac:dyDescent="0.3">
      <c r="A17" s="174" t="str">
        <f>IF('PRODUCTO NACIONAL'!A39&lt;&gt;"",'PRODUCTO NACIONAL'!A39,"")</f>
        <v>M36</v>
      </c>
      <c r="B17" s="174" t="s">
        <v>272</v>
      </c>
      <c r="C17" s="159" t="str">
        <f>IF('PRODUCTO NACIONAL'!C39&lt;&gt;"",'PRODUCTO NACIONAL'!C39,"")</f>
        <v>TELA</v>
      </c>
      <c r="D17" s="159">
        <f>IF('PRODUCTO NACIONAL'!D39&lt;&gt;"",'PRODUCTO NACIONAL'!D39,"")</f>
        <v>1.5</v>
      </c>
      <c r="E17" s="159" t="str">
        <f>IF('PRODUCTO NACIONAL'!H39&lt;&gt;"",'PRODUCTO NACIONAL'!H39,"")</f>
        <v/>
      </c>
      <c r="F17" s="160" t="str">
        <f>IF('PRODUCTO NACIONAL'!F39&lt;&gt;"",'PRODUCTO NACIONAL'!F39,"")</f>
        <v>Rollo de Galeon 150 ancho</v>
      </c>
      <c r="G17" s="159" t="str">
        <f>IF('PRODUCTO NACIONAL'!E39&lt;&gt;"",'PRODUCTO NACIONAL'!E39,"")</f>
        <v>ABIERTA</v>
      </c>
      <c r="H17" s="159" t="str">
        <f>IF('PRODUCTO NACIONAL'!G39&lt;&gt;"",'PRODUCTO NACIONAL'!G39,"")</f>
        <v>METRO</v>
      </c>
      <c r="I17" s="159">
        <f>IF('PRODUCTO NACIONAL'!W39&lt;&gt;"",'PRODUCTO NACIONAL'!W39,"")</f>
        <v>1.5</v>
      </c>
      <c r="J17" s="161" t="str">
        <f>IF('PRODUCTO NACIONAL'!U39&lt;&gt;"",'PRODUCTO NACIONAL'!U39,"")</f>
        <v/>
      </c>
      <c r="K17" s="162" t="str">
        <f>IF('PRODUCTO NACIONAL'!V39&lt;&gt;"",'PRODUCTO NACIONAL'!V39,"")</f>
        <v/>
      </c>
      <c r="L17" s="162">
        <f>IF('PRODUCTO NACIONAL'!W39&lt;&gt;"",'PRODUCTO NACIONAL'!W39,"")</f>
        <v>1.5</v>
      </c>
    </row>
    <row r="18" spans="1:12" x14ac:dyDescent="0.3">
      <c r="A18" s="183" t="str">
        <f>IF('PRODUCTO NACIONAL'!A77&lt;&gt;"",'PRODUCTO NACIONAL'!A77,"")</f>
        <v>M74</v>
      </c>
      <c r="B18" s="183" t="s">
        <v>274</v>
      </c>
      <c r="C18" s="184" t="str">
        <f>IF('PRODUCTO NACIONAL'!C77&lt;&gt;"",'PRODUCTO NACIONAL'!C77,"")</f>
        <v>RIBB</v>
      </c>
      <c r="D18" s="184">
        <f>IF('PRODUCTO NACIONAL'!D77&lt;&gt;"",'PRODUCTO NACIONAL'!D77,"")</f>
        <v>50</v>
      </c>
      <c r="E18" s="184">
        <f>IF('PRODUCTO NACIONAL'!H77&lt;&gt;"",'PRODUCTO NACIONAL'!H77,"")</f>
        <v>2.5</v>
      </c>
      <c r="F18" s="185" t="str">
        <f>IF('PRODUCTO NACIONAL'!F77&lt;&gt;"",'PRODUCTO NACIONAL'!F77,"")</f>
        <v>Ribb Acanalado color negro POLIALGODON</v>
      </c>
      <c r="G18" s="184" t="str">
        <f>IF('PRODUCTO NACIONAL'!E77&lt;&gt;"",'PRODUCTO NACIONAL'!E77,"")</f>
        <v>TUBULAR</v>
      </c>
      <c r="H18" s="184" t="str">
        <f>IF('PRODUCTO NACIONAL'!G77&lt;&gt;"",'PRODUCTO NACIONAL'!G77,"")</f>
        <v>KILOS</v>
      </c>
      <c r="I18" s="184">
        <f>IF('PRODUCTO NACIONAL'!W77&lt;&gt;"",'PRODUCTO NACIONAL'!W77,"")</f>
        <v>7</v>
      </c>
      <c r="J18" s="186" t="str">
        <f>IF('PRODUCTO NACIONAL'!U77&lt;&gt;"",'PRODUCTO NACIONAL'!U77,"")</f>
        <v/>
      </c>
      <c r="K18" s="187" t="str">
        <f>IF('PRODUCTO NACIONAL'!V77&lt;&gt;"",'PRODUCTO NACIONAL'!V77,"")</f>
        <v/>
      </c>
      <c r="L18" s="187">
        <f>IF('PRODUCTO NACIONAL'!W77&lt;&gt;"",'PRODUCTO NACIONAL'!W77,"")</f>
        <v>7</v>
      </c>
    </row>
    <row r="19" spans="1:12" x14ac:dyDescent="0.3">
      <c r="A19" s="183" t="str">
        <f>IF('PRODUCTO NACIONAL'!A78&lt;&gt;"",'PRODUCTO NACIONAL'!A78,"")</f>
        <v>M75</v>
      </c>
      <c r="B19" s="183" t="s">
        <v>275</v>
      </c>
      <c r="C19" s="184" t="str">
        <f>IF('PRODUCTO NACIONAL'!C78&lt;&gt;"",'PRODUCTO NACIONAL'!C78,"")</f>
        <v>RIBB</v>
      </c>
      <c r="D19" s="184">
        <f>IF('PRODUCTO NACIONAL'!D78&lt;&gt;"",'PRODUCTO NACIONAL'!D78,"")</f>
        <v>50</v>
      </c>
      <c r="E19" s="184">
        <f>IF('PRODUCTO NACIONAL'!H78&lt;&gt;"",'PRODUCTO NACIONAL'!H78,"")</f>
        <v>2.5</v>
      </c>
      <c r="F19" s="185" t="str">
        <f>IF('PRODUCTO NACIONAL'!F78&lt;&gt;"",'PRODUCTO NACIONAL'!F78,"")</f>
        <v>Ribb Lugano 100% POLIESTER</v>
      </c>
      <c r="G19" s="184" t="str">
        <f>IF('PRODUCTO NACIONAL'!E78&lt;&gt;"",'PRODUCTO NACIONAL'!E78,"")</f>
        <v>TUBULAR</v>
      </c>
      <c r="H19" s="184" t="str">
        <f>IF('PRODUCTO NACIONAL'!G78&lt;&gt;"",'PRODUCTO NACIONAL'!G78,"")</f>
        <v>KILOS</v>
      </c>
      <c r="I19" s="184">
        <f>IF('PRODUCTO NACIONAL'!W78&lt;&gt;"",'PRODUCTO NACIONAL'!W78,"")</f>
        <v>6</v>
      </c>
      <c r="J19" s="186" t="str">
        <f>IF('PRODUCTO NACIONAL'!U78&lt;&gt;"",'PRODUCTO NACIONAL'!U78,"")</f>
        <v/>
      </c>
      <c r="K19" s="187" t="str">
        <f>IF('PRODUCTO NACIONAL'!V78&lt;&gt;"",'PRODUCTO NACIONAL'!V78,"")</f>
        <v/>
      </c>
      <c r="L19" s="187">
        <f>IF('PRODUCTO NACIONAL'!W78&lt;&gt;"",'PRODUCTO NACIONAL'!W78,"")</f>
        <v>6</v>
      </c>
    </row>
    <row r="20" spans="1:12" x14ac:dyDescent="0.3">
      <c r="A20" s="183" t="str">
        <f>IF('PRODUCTO NACIONAL'!A21&lt;&gt;"",'PRODUCTO NACIONAL'!A21,"")</f>
        <v>M18</v>
      </c>
      <c r="B20" s="183" t="s">
        <v>276</v>
      </c>
      <c r="C20" s="184" t="str">
        <f>IF('PRODUCTO NACIONAL'!C21&lt;&gt;"",'PRODUCTO NACIONAL'!C21,"")</f>
        <v>RIBB</v>
      </c>
      <c r="D20" s="184">
        <f>IF('PRODUCTO NACIONAL'!D21&lt;&gt;"",'PRODUCTO NACIONAL'!D21,"")</f>
        <v>0.6</v>
      </c>
      <c r="E20" s="184">
        <f>IF('PRODUCTO NACIONAL'!H21&lt;&gt;"",'PRODUCTO NACIONAL'!H21,"")</f>
        <v>4.5</v>
      </c>
      <c r="F20" s="185" t="str">
        <f>IF('PRODUCTO NACIONAL'!F21&lt;&gt;"",'PRODUCTO NACIONAL'!F21,"")</f>
        <v>RIBB 150TEX COLORES| POLIESTER</v>
      </c>
      <c r="G20" s="184" t="str">
        <f>IF('PRODUCTO NACIONAL'!E21&lt;&gt;"",'PRODUCTO NACIONAL'!E21,"")</f>
        <v>TUBULAR</v>
      </c>
      <c r="H20" s="184" t="str">
        <f>IF('PRODUCTO NACIONAL'!G21&lt;&gt;"",'PRODUCTO NACIONAL'!G21,"")</f>
        <v>KILOS</v>
      </c>
      <c r="I20" s="184">
        <f>IF('PRODUCTO NACIONAL'!W21&lt;&gt;"",'PRODUCTO NACIONAL'!W21,"")</f>
        <v>3.5</v>
      </c>
      <c r="J20" s="186" t="str">
        <f>IF('PRODUCTO NACIONAL'!U21&lt;&gt;"",'PRODUCTO NACIONAL'!U21,"")</f>
        <v/>
      </c>
      <c r="K20" s="187" t="str">
        <f>IF('PRODUCTO NACIONAL'!V21&lt;&gt;"",'PRODUCTO NACIONAL'!V21,"")</f>
        <v/>
      </c>
      <c r="L20" s="187">
        <f>IF('PRODUCTO NACIONAL'!W21&lt;&gt;"",'PRODUCTO NACIONAL'!W21,"")</f>
        <v>3.5</v>
      </c>
    </row>
    <row r="21" spans="1:12" x14ac:dyDescent="0.3">
      <c r="A21" s="174" t="s">
        <v>244</v>
      </c>
      <c r="B21" s="174" t="s">
        <v>281</v>
      </c>
      <c r="C21" s="159" t="str">
        <f>IF('PRODUCTO NACIONAL'!C82&lt;&gt;"",'PRODUCTO NACIONAL'!C82,"")</f>
        <v>TELA</v>
      </c>
      <c r="D21" s="159">
        <f>IF('PRODUCTO NACIONAL'!D82&lt;&gt;"",'PRODUCTO NACIONAL'!D82,"")</f>
        <v>1.8</v>
      </c>
      <c r="E21" s="159" t="str">
        <f>IF('PRODUCTO NACIONAL'!H82&lt;&gt;"",'PRODUCTO NACIONAL'!H82,"")</f>
        <v/>
      </c>
      <c r="F21" s="160" t="str">
        <f>IF('PRODUCTO NACIONAL'!F82&lt;&gt;"",'PRODUCTO NACIONAL'!F82,"")</f>
        <v>PIEL DE DURAZNO</v>
      </c>
      <c r="G21" s="159" t="str">
        <f>IF('PRODUCTO NACIONAL'!E82&lt;&gt;"",'PRODUCTO NACIONAL'!E82,"")</f>
        <v>ABIERTA</v>
      </c>
      <c r="H21" s="159" t="str">
        <f>IF('PRODUCTO NACIONAL'!G82&lt;&gt;"",'PRODUCTO NACIONAL'!G82,"")</f>
        <v>METRO</v>
      </c>
      <c r="I21" s="159">
        <f>IF('PRODUCTO NACIONAL'!W82&lt;&gt;"",'PRODUCTO NACIONAL'!W82,"")</f>
        <v>3.5</v>
      </c>
      <c r="J21" s="161">
        <f>IF('PRODUCTO NACIONAL'!U82&lt;&gt;"",'PRODUCTO NACIONAL'!U82,"")</f>
        <v>2.5</v>
      </c>
      <c r="K21" s="162" t="str">
        <f>IF('PRODUCTO NACIONAL'!V82&lt;&gt;"",'PRODUCTO NACIONAL'!V82,"")</f>
        <v/>
      </c>
      <c r="L21" s="162">
        <f>IF('PRODUCTO NACIONAL'!W82&lt;&gt;"",'PRODUCTO NACIONAL'!W82,"")</f>
        <v>3.5</v>
      </c>
    </row>
    <row r="22" spans="1:12" x14ac:dyDescent="0.3">
      <c r="A22" s="246"/>
      <c r="B22" s="246"/>
      <c r="C22" s="247"/>
      <c r="D22" s="247"/>
      <c r="E22" s="247"/>
      <c r="F22" s="248"/>
      <c r="G22" s="247"/>
      <c r="H22" s="247"/>
      <c r="I22" s="247"/>
      <c r="J22" s="240" t="s">
        <v>257</v>
      </c>
      <c r="K22" s="241" t="s">
        <v>256</v>
      </c>
      <c r="L22" s="241" t="s">
        <v>80</v>
      </c>
    </row>
    <row r="23" spans="1:12" x14ac:dyDescent="0.3">
      <c r="A23" s="174" t="str">
        <f>IF('PRODUCTO NACIONAL'!A17&lt;&gt;"",'PRODUCTO NACIONAL'!A17,"")</f>
        <v>M14</v>
      </c>
      <c r="B23" s="174" t="s">
        <v>273</v>
      </c>
      <c r="C23" s="159" t="str">
        <f>IF('PRODUCTO NACIONAL'!C17&lt;&gt;"",'PRODUCTO NACIONAL'!C17,"")</f>
        <v>TELA</v>
      </c>
      <c r="D23" s="159">
        <f>IF('PRODUCTO NACIONAL'!D17&lt;&gt;"",'PRODUCTO NACIONAL'!D17,"")</f>
        <v>1.7</v>
      </c>
      <c r="E23" s="159">
        <f>IF('PRODUCTO NACIONAL'!H17&lt;&gt;"",'PRODUCTO NACIONAL'!H17,"")</f>
        <v>4.2</v>
      </c>
      <c r="F23" s="160" t="str">
        <f>IF('PRODUCTO NACIONAL'!F17&lt;&gt;"",'PRODUCTO NACIONAL'!F17,"")</f>
        <v>D2002 Rollo Ernest 1.70m x 140gr</v>
      </c>
      <c r="G23" s="159" t="str">
        <f>IF('PRODUCTO NACIONAL'!E17&lt;&gt;"",'PRODUCTO NACIONAL'!E17,"")</f>
        <v>ABIERTA</v>
      </c>
      <c r="H23" s="159" t="str">
        <f>IF('PRODUCTO NACIONAL'!G17&lt;&gt;"",'PRODUCTO NACIONAL'!G17,"")</f>
        <v>ROLLO</v>
      </c>
      <c r="I23" s="159" t="str">
        <f>IF('PRODUCTO NACIONAL'!T17&lt;&gt;"",'PRODUCTO NACIONAL'!T17,"")</f>
        <v/>
      </c>
      <c r="J23" s="161">
        <f>IF('PRODUCTO NACIONAL'!U17&lt;&gt;"",'PRODUCTO NACIONAL'!U17,"")</f>
        <v>6</v>
      </c>
      <c r="K23" s="162">
        <f>IF('PRODUCTO NACIONAL'!V17&lt;&gt;"",'PRODUCTO NACIONAL'!V17,"")</f>
        <v>6.5</v>
      </c>
      <c r="L23" s="162">
        <f>IF('PRODUCTO NACIONAL'!W17&lt;&gt;"",'PRODUCTO NACIONAL'!W17,"")</f>
        <v>6.75</v>
      </c>
    </row>
    <row r="24" spans="1:12" x14ac:dyDescent="0.3">
      <c r="A24" s="174" t="str">
        <f>IF('PRODUCTO NACIONAL'!A20&lt;&gt;"",'PRODUCTO NACIONAL'!A20,"")</f>
        <v>M17</v>
      </c>
      <c r="B24" s="174" t="s">
        <v>277</v>
      </c>
      <c r="C24" s="159" t="str">
        <f>IF('PRODUCTO NACIONAL'!C20&lt;&gt;"",'PRODUCTO NACIONAL'!C20,"")</f>
        <v>TELA</v>
      </c>
      <c r="D24" s="159">
        <f>IF('PRODUCTO NACIONAL'!D20&lt;&gt;"",'PRODUCTO NACIONAL'!D20,"")</f>
        <v>1.8</v>
      </c>
      <c r="E24" s="159">
        <f>IF('PRODUCTO NACIONAL'!H20&lt;&gt;"",'PRODUCTO NACIONAL'!H20,"")</f>
        <v>2.2999999999999998</v>
      </c>
      <c r="F24" s="160" t="str">
        <f>IF('PRODUCTO NACIONAL'!F20&lt;&gt;"",'PRODUCTO NACIONAL'!F20,"")</f>
        <v>D2008 Rollo Jersy Spandex 1.80m x 275gr</v>
      </c>
      <c r="G24" s="159" t="str">
        <f>IF('PRODUCTO NACIONAL'!E20&lt;&gt;"",'PRODUCTO NACIONAL'!E20,"")</f>
        <v>ABIERTA</v>
      </c>
      <c r="H24" s="159" t="str">
        <f>IF('PRODUCTO NACIONAL'!G20&lt;&gt;"",'PRODUCTO NACIONAL'!G20,"")</f>
        <v>ROLLO</v>
      </c>
      <c r="I24" s="159" t="str">
        <f>IF('PRODUCTO NACIONAL'!T20&lt;&gt;"",'PRODUCTO NACIONAL'!T20,"")</f>
        <v/>
      </c>
      <c r="J24" s="161">
        <f>IF('PRODUCTO NACIONAL'!U20&lt;&gt;"",'PRODUCTO NACIONAL'!U20,"")</f>
        <v>8</v>
      </c>
      <c r="K24" s="162">
        <f>IF('PRODUCTO NACIONAL'!V20&lt;&gt;"",'PRODUCTO NACIONAL'!V20,"")</f>
        <v>8.5</v>
      </c>
      <c r="L24" s="162">
        <f>IF('PRODUCTO NACIONAL'!W20&lt;&gt;"",'PRODUCTO NACIONAL'!W20,"")</f>
        <v>8.75</v>
      </c>
    </row>
    <row r="25" spans="1:12" x14ac:dyDescent="0.3">
      <c r="A25" s="174" t="str">
        <f>IF('PRODUCTO NACIONAL'!A18&lt;&gt;"",'PRODUCTO NACIONAL'!A18,"")</f>
        <v>M15</v>
      </c>
      <c r="B25" s="174" t="s">
        <v>278</v>
      </c>
      <c r="C25" s="159" t="str">
        <f>IF('PRODUCTO NACIONAL'!C18&lt;&gt;"",'PRODUCTO NACIONAL'!C18,"")</f>
        <v>TELA</v>
      </c>
      <c r="D25" s="159">
        <f>IF('PRODUCTO NACIONAL'!D18&lt;&gt;"",'PRODUCTO NACIONAL'!D18,"")</f>
        <v>1.7</v>
      </c>
      <c r="E25" s="159">
        <f>IF('PRODUCTO NACIONAL'!H18&lt;&gt;"",'PRODUCTO NACIONAL'!H18,"")</f>
        <v>3.67</v>
      </c>
      <c r="F25" s="160" t="str">
        <f>IF('PRODUCTO NACIONAL'!F18&lt;&gt;"",'PRODUCTO NACIONAL'!F18,"")</f>
        <v>D2006 Rollo Panal 1.70m x 160gr</v>
      </c>
      <c r="G25" s="159" t="str">
        <f>IF('PRODUCTO NACIONAL'!E18&lt;&gt;"",'PRODUCTO NACIONAL'!E18,"")</f>
        <v>ABIERTA</v>
      </c>
      <c r="H25" s="159" t="str">
        <f>IF('PRODUCTO NACIONAL'!G18&lt;&gt;"",'PRODUCTO NACIONAL'!G18,"")</f>
        <v>ROLLO</v>
      </c>
      <c r="I25" s="159" t="str">
        <f>IF('PRODUCTO NACIONAL'!T18&lt;&gt;"",'PRODUCTO NACIONAL'!T18,"")</f>
        <v/>
      </c>
      <c r="J25" s="161">
        <f>IF('PRODUCTO NACIONAL'!U18&lt;&gt;"",'PRODUCTO NACIONAL'!U18,"")</f>
        <v>6</v>
      </c>
      <c r="K25" s="162">
        <f>IF('PRODUCTO NACIONAL'!V18&lt;&gt;"",'PRODUCTO NACIONAL'!V18,"")</f>
        <v>6.5</v>
      </c>
      <c r="L25" s="162">
        <f>IF('PRODUCTO NACIONAL'!W18&lt;&gt;"",'PRODUCTO NACIONAL'!W18,"")</f>
        <v>6.75</v>
      </c>
    </row>
    <row r="26" spans="1:12" x14ac:dyDescent="0.3">
      <c r="A26" s="174" t="str">
        <f>IF('PRODUCTO NACIONAL'!A19&lt;&gt;"",'PRODUCTO NACIONAL'!A19,"")</f>
        <v>M16</v>
      </c>
      <c r="B26" s="174" t="s">
        <v>279</v>
      </c>
      <c r="C26" s="159" t="str">
        <f>IF('PRODUCTO NACIONAL'!C19&lt;&gt;"",'PRODUCTO NACIONAL'!C19,"")</f>
        <v>TELA</v>
      </c>
      <c r="D26" s="159">
        <f>IF('PRODUCTO NACIONAL'!D19&lt;&gt;"",'PRODUCTO NACIONAL'!D19,"")</f>
        <v>1.7</v>
      </c>
      <c r="E26" s="159">
        <f>IF('PRODUCTO NACIONAL'!H19&lt;&gt;"",'PRODUCTO NACIONAL'!H19,"")</f>
        <v>3.92</v>
      </c>
      <c r="F26" s="160" t="str">
        <f>IF('PRODUCTO NACIONAL'!F19&lt;&gt;"",'PRODUCTO NACIONAL'!F19,"")</f>
        <v>D2003 Rollo Pike Deportivo 1.70m x 160gr</v>
      </c>
      <c r="G26" s="159" t="str">
        <f>IF('PRODUCTO NACIONAL'!E19&lt;&gt;"",'PRODUCTO NACIONAL'!E19,"")</f>
        <v>ABIERTA</v>
      </c>
      <c r="H26" s="159" t="str">
        <f>IF('PRODUCTO NACIONAL'!G19&lt;&gt;"",'PRODUCTO NACIONAL'!G19,"")</f>
        <v>ROLLO</v>
      </c>
      <c r="I26" s="159" t="str">
        <f>IF('PRODUCTO NACIONAL'!T19&lt;&gt;"",'PRODUCTO NACIONAL'!T19,"")</f>
        <v/>
      </c>
      <c r="J26" s="161">
        <f>IF('PRODUCTO NACIONAL'!U19&lt;&gt;"",'PRODUCTO NACIONAL'!U19,"")</f>
        <v>6</v>
      </c>
      <c r="K26" s="162">
        <f>IF('PRODUCTO NACIONAL'!V19&lt;&gt;"",'PRODUCTO NACIONAL'!V19,"")</f>
        <v>6.5</v>
      </c>
      <c r="L26" s="162">
        <f>IF('PRODUCTO NACIONAL'!W19&lt;&gt;"",'PRODUCTO NACIONAL'!W19,"")</f>
        <v>6.75</v>
      </c>
    </row>
    <row r="27" spans="1:12" x14ac:dyDescent="0.3">
      <c r="A27" s="174" t="str">
        <f>IF('PRODUCTO NACIONAL'!A42&lt;&gt;"",'PRODUCTO NACIONAL'!A42,"")</f>
        <v>M39</v>
      </c>
      <c r="B27" s="174" t="s">
        <v>266</v>
      </c>
      <c r="C27" s="159" t="str">
        <f>IF('PRODUCTO NACIONAL'!C42&lt;&gt;"",'PRODUCTO NACIONAL'!C42,"")</f>
        <v>TELA</v>
      </c>
      <c r="D27" s="159">
        <f>IF('PRODUCTO NACIONAL'!D42&lt;&gt;"",'PRODUCTO NACIONAL'!D42,"")</f>
        <v>1.8</v>
      </c>
      <c r="E27" s="159">
        <f>IF('PRODUCTO NACIONAL'!H42&lt;&gt;"",'PRODUCTO NACIONAL'!H42,"")</f>
        <v>3.8</v>
      </c>
      <c r="F27" s="160" t="str">
        <f>IF('PRODUCTO NACIONAL'!F42&lt;&gt;"",'PRODUCTO NACIONAL'!F42,"")</f>
        <v>TAPA ULISES</v>
      </c>
      <c r="G27" s="159" t="str">
        <f>IF('PRODUCTO NACIONAL'!E42&lt;&gt;"",'PRODUCTO NACIONAL'!E42,"")</f>
        <v>ABIERTA</v>
      </c>
      <c r="H27" s="159" t="str">
        <f>IF('PRODUCTO NACIONAL'!G42&lt;&gt;"",'PRODUCTO NACIONAL'!G42,"")</f>
        <v>KILOS</v>
      </c>
      <c r="I27" s="159">
        <f>IF('PRODUCTO NACIONAL'!T42&lt;&gt;"",'PRODUCTO NACIONAL'!T42,"")</f>
        <v>3.5</v>
      </c>
      <c r="J27" s="161">
        <f>IF('PRODUCTO NACIONAL'!U42&lt;&gt;"",'PRODUCTO NACIONAL'!U42,"")</f>
        <v>9.25</v>
      </c>
      <c r="K27" s="162">
        <f>IF('PRODUCTO NACIONAL'!V42&lt;&gt;"",'PRODUCTO NACIONAL'!V42,"")</f>
        <v>9.5500000000000007</v>
      </c>
      <c r="L27" s="162">
        <f>IF('PRODUCTO NACIONAL'!W42&lt;&gt;"",'PRODUCTO NACIONAL'!W42,"")</f>
        <v>9.75</v>
      </c>
    </row>
    <row r="28" spans="1:12" x14ac:dyDescent="0.3">
      <c r="A28" s="174" t="str">
        <f>IF('PRODUCTO NACIONAL'!A30&lt;&gt;"",'PRODUCTO NACIONAL'!A30,"")</f>
        <v>M27</v>
      </c>
      <c r="B28" s="174" t="s">
        <v>280</v>
      </c>
      <c r="C28" s="159" t="str">
        <f>IF('PRODUCTO NACIONAL'!C30&lt;&gt;"",'PRODUCTO NACIONAL'!C30,"")</f>
        <v>TELA</v>
      </c>
      <c r="D28" s="159">
        <f>IF('PRODUCTO NACIONAL'!D30&lt;&gt;"",'PRODUCTO NACIONAL'!D30,"")</f>
        <v>1.5</v>
      </c>
      <c r="E28" s="159" t="str">
        <f>IF('PRODUCTO NACIONAL'!H30&lt;&gt;"",'PRODUCTO NACIONAL'!H30,"")</f>
        <v/>
      </c>
      <c r="F28" s="160" t="str">
        <f>IF('PRODUCTO NACIONAL'!F30&lt;&gt;"",'PRODUCTO NACIONAL'!F30,"")</f>
        <v>VIOTO PESADA BLANCA|NEGRO|NARANJA FOSFORESCENTE</v>
      </c>
      <c r="G28" s="159" t="str">
        <f>IF('PRODUCTO NACIONAL'!E30&lt;&gt;"",'PRODUCTO NACIONAL'!E30,"")</f>
        <v>ABIERTA</v>
      </c>
      <c r="H28" s="159" t="str">
        <f>IF('PRODUCTO NACIONAL'!G30&lt;&gt;"",'PRODUCTO NACIONAL'!G30,"")</f>
        <v>METRO</v>
      </c>
      <c r="I28" s="159">
        <f>IF('PRODUCTO NACIONAL'!W30&lt;&gt;"",'PRODUCTO NACIONAL'!W30,"")</f>
        <v>3</v>
      </c>
      <c r="J28" s="161" t="str">
        <f>IF('PRODUCTO NACIONAL'!U30&lt;&gt;"",'PRODUCTO NACIONAL'!U30,"")</f>
        <v/>
      </c>
      <c r="K28" s="162" t="str">
        <f>IF('PRODUCTO NACIONAL'!V30&lt;&gt;"",'PRODUCTO NACIONAL'!V30,"")</f>
        <v/>
      </c>
      <c r="L28" s="162">
        <f>IF('PRODUCTO NACIONAL'!W30&lt;&gt;"",'PRODUCTO NACIONAL'!W30,"")</f>
        <v>3</v>
      </c>
    </row>
    <row r="29" spans="1:12" x14ac:dyDescent="0.3">
      <c r="A29" s="174" t="str">
        <f>IF('PRODUCTO NACIONAL'!A41&lt;&gt;"",'PRODUCTO NACIONAL'!A41,"")</f>
        <v>M38</v>
      </c>
      <c r="B29" s="174" t="s">
        <v>70</v>
      </c>
      <c r="C29" s="159" t="str">
        <f>IF('PRODUCTO NACIONAL'!C41&lt;&gt;"",'PRODUCTO NACIONAL'!C41,"")</f>
        <v>TELA</v>
      </c>
      <c r="D29" s="159">
        <f>IF('PRODUCTO NACIONAL'!D41&lt;&gt;"",'PRODUCTO NACIONAL'!D41,"")</f>
        <v>1.8</v>
      </c>
      <c r="E29" s="159">
        <f>IF('PRODUCTO NACIONAL'!H41&lt;&gt;"",'PRODUCTO NACIONAL'!H41,"")</f>
        <v>3.8</v>
      </c>
      <c r="F29" s="160" t="str">
        <f>IF('PRODUCTO NACIONAL'!F41&lt;&gt;"",'PRODUCTO NACIONAL'!F41,"")</f>
        <v>ZIDAN</v>
      </c>
      <c r="G29" s="159" t="str">
        <f>IF('PRODUCTO NACIONAL'!E41&lt;&gt;"",'PRODUCTO NACIONAL'!E41,"")</f>
        <v>ABIERTA</v>
      </c>
      <c r="H29" s="159" t="str">
        <f>IF('PRODUCTO NACIONAL'!G41&lt;&gt;"",'PRODUCTO NACIONAL'!G41,"")</f>
        <v>KILOS</v>
      </c>
      <c r="I29" s="159">
        <f>IF('PRODUCTO NACIONAL'!T41&lt;&gt;"",'PRODUCTO NACIONAL'!T41,"")</f>
        <v>3.5</v>
      </c>
      <c r="J29" s="161">
        <f>IF('PRODUCTO NACIONAL'!U41&lt;&gt;"",'PRODUCTO NACIONAL'!U41,"")</f>
        <v>9.25</v>
      </c>
      <c r="K29" s="162">
        <f>IF('PRODUCTO NACIONAL'!V41&lt;&gt;"",'PRODUCTO NACIONAL'!V41,"")</f>
        <v>9.5500000000000007</v>
      </c>
      <c r="L29" s="162">
        <f>IF('PRODUCTO NACIONAL'!W41&lt;&gt;"",'PRODUCTO NACIONAL'!W41,"")</f>
        <v>9.75</v>
      </c>
    </row>
    <row r="30" spans="1:12" x14ac:dyDescent="0.3">
      <c r="A30" s="175" t="str">
        <f>IF('PRODUCTO NACIONAL'!A7&lt;&gt;"",'PRODUCTO NACIONAL'!A7,"")</f>
        <v>M4</v>
      </c>
      <c r="B30" s="175"/>
      <c r="C30" s="165" t="str">
        <f>IF('PRODUCTO NACIONAL'!C7&lt;&gt;"",'PRODUCTO NACIONAL'!C7,"")</f>
        <v>PAPEL</v>
      </c>
      <c r="D30" s="165" t="str">
        <f>IF('PRODUCTO NACIONAL'!D7&lt;&gt;"",'PRODUCTO NACIONAL'!D7,"")</f>
        <v>1.62X200</v>
      </c>
      <c r="E30" s="165" t="str">
        <f>IF('PRODUCTO NACIONAL'!H7&lt;&gt;"",'PRODUCTO NACIONAL'!H7,"")</f>
        <v/>
      </c>
      <c r="F30" s="166" t="str">
        <f>IF('PRODUCTO NACIONAL'!F7&lt;&gt;"",'PRODUCTO NACIONAL'!F7,"")</f>
        <v>Papel de Sublimación 1.62mx200mx70g</v>
      </c>
      <c r="G30" s="165" t="str">
        <f>IF('PRODUCTO NACIONAL'!E7&lt;&gt;"",'PRODUCTO NACIONAL'!E7,"")</f>
        <v>ROLLO</v>
      </c>
      <c r="H30" s="165" t="str">
        <f>IF('PRODUCTO NACIONAL'!G7&lt;&gt;"",'PRODUCTO NACIONAL'!G7,"")</f>
        <v>ROLLO</v>
      </c>
      <c r="I30" s="165" t="str">
        <f>IF('PRODUCTO NACIONAL'!T7&lt;&gt;"",'PRODUCTO NACIONAL'!T7,"")</f>
        <v/>
      </c>
      <c r="J30" s="167">
        <f>IF('PRODUCTO NACIONAL'!U7&lt;&gt;"",'PRODUCTO NACIONAL'!U7,"")</f>
        <v>64</v>
      </c>
      <c r="K30" s="168">
        <f>IF('PRODUCTO NACIONAL'!V7&lt;&gt;"",'PRODUCTO NACIONAL'!V7,"")</f>
        <v>65</v>
      </c>
      <c r="L30" s="168">
        <f>IF('PRODUCTO NACIONAL'!W7&lt;&gt;"",'PRODUCTO NACIONAL'!W7,"")</f>
        <v>67</v>
      </c>
    </row>
    <row r="31" spans="1:12" x14ac:dyDescent="0.3">
      <c r="A31" s="175" t="str">
        <f>IF('PRODUCTO NACIONAL'!A8&lt;&gt;"",'PRODUCTO NACIONAL'!A8,"")</f>
        <v>M5</v>
      </c>
      <c r="B31" s="175"/>
      <c r="C31" s="165" t="str">
        <f>IF('PRODUCTO NACIONAL'!C8&lt;&gt;"",'PRODUCTO NACIONAL'!C8,"")</f>
        <v>PAPEL</v>
      </c>
      <c r="D31" s="165" t="str">
        <f>IF('PRODUCTO NACIONAL'!D8&lt;&gt;"",'PRODUCTO NACIONAL'!D8,"")</f>
        <v>1.62X100</v>
      </c>
      <c r="E31" s="165" t="str">
        <f>IF('PRODUCTO NACIONAL'!H8&lt;&gt;"",'PRODUCTO NACIONAL'!H8,"")</f>
        <v/>
      </c>
      <c r="F31" s="166" t="str">
        <f>IF('PRODUCTO NACIONAL'!F8&lt;&gt;"",'PRODUCTO NACIONAL'!F8,"")</f>
        <v>Papel de Sublimación 1.62mx100mx90g</v>
      </c>
      <c r="G31" s="165" t="str">
        <f>IF('PRODUCTO NACIONAL'!E8&lt;&gt;"",'PRODUCTO NACIONAL'!E8,"")</f>
        <v>ROLLO</v>
      </c>
      <c r="H31" s="165" t="str">
        <f>IF('PRODUCTO NACIONAL'!G8&lt;&gt;"",'PRODUCTO NACIONAL'!G8,"")</f>
        <v>ROLLO</v>
      </c>
      <c r="I31" s="165" t="str">
        <f>IF('PRODUCTO NACIONAL'!T8&lt;&gt;"",'PRODUCTO NACIONAL'!T8,"")</f>
        <v/>
      </c>
      <c r="J31" s="167">
        <f>IF('PRODUCTO NACIONAL'!U8&lt;&gt;"",'PRODUCTO NACIONAL'!U8,"")</f>
        <v>48</v>
      </c>
      <c r="K31" s="168">
        <f>IF('PRODUCTO NACIONAL'!V8&lt;&gt;"",'PRODUCTO NACIONAL'!V8,"")</f>
        <v>49</v>
      </c>
      <c r="L31" s="168">
        <f>IF('PRODUCTO NACIONAL'!W8&lt;&gt;"",'PRODUCTO NACIONAL'!W8,"")</f>
        <v>50</v>
      </c>
    </row>
    <row r="32" spans="1:12" x14ac:dyDescent="0.3">
      <c r="A32" s="175" t="str">
        <f>IF('PRODUCTO NACIONAL'!A9&lt;&gt;"",'PRODUCTO NACIONAL'!A9,"")</f>
        <v>M6</v>
      </c>
      <c r="B32" s="175"/>
      <c r="C32" s="165" t="str">
        <f>IF('PRODUCTO NACIONAL'!C9&lt;&gt;"",'PRODUCTO NACIONAL'!C9,"")</f>
        <v>PAPEL</v>
      </c>
      <c r="D32" s="165" t="str">
        <f>IF('PRODUCTO NACIONAL'!D9&lt;&gt;"",'PRODUCTO NACIONAL'!D9,"")</f>
        <v>1.12X100</v>
      </c>
      <c r="E32" s="165" t="str">
        <f>IF('PRODUCTO NACIONAL'!H9&lt;&gt;"",'PRODUCTO NACIONAL'!H9,"")</f>
        <v/>
      </c>
      <c r="F32" s="166" t="str">
        <f>IF('PRODUCTO NACIONAL'!F9&lt;&gt;"",'PRODUCTO NACIONAL'!F9,"")</f>
        <v>Papel de Sublimación 1.12mx100mx90g</v>
      </c>
      <c r="G32" s="165" t="str">
        <f>IF('PRODUCTO NACIONAL'!E9&lt;&gt;"",'PRODUCTO NACIONAL'!E9,"")</f>
        <v>ROLLO</v>
      </c>
      <c r="H32" s="165" t="str">
        <f>IF('PRODUCTO NACIONAL'!G9&lt;&gt;"",'PRODUCTO NACIONAL'!G9,"")</f>
        <v>ROLLO</v>
      </c>
      <c r="I32" s="165" t="str">
        <f>IF('PRODUCTO NACIONAL'!T9&lt;&gt;"",'PRODUCTO NACIONAL'!T9,"")</f>
        <v/>
      </c>
      <c r="J32" s="167">
        <f>IF('PRODUCTO NACIONAL'!U9&lt;&gt;"",'PRODUCTO NACIONAL'!U9,"")</f>
        <v>30</v>
      </c>
      <c r="K32" s="168">
        <f>IF('PRODUCTO NACIONAL'!V9&lt;&gt;"",'PRODUCTO NACIONAL'!V9,"")</f>
        <v>31</v>
      </c>
      <c r="L32" s="168">
        <f>IF('PRODUCTO NACIONAL'!W9&lt;&gt;"",'PRODUCTO NACIONAL'!W9,"")</f>
        <v>33</v>
      </c>
    </row>
    <row r="33" spans="1:12" x14ac:dyDescent="0.3">
      <c r="A33" s="175" t="str">
        <f>IF('PRODUCTO NACIONAL'!A13&lt;&gt;"",'PRODUCTO NACIONAL'!A13,"")</f>
        <v>M10</v>
      </c>
      <c r="B33" s="175"/>
      <c r="C33" s="165" t="str">
        <f>IF('PRODUCTO NACIONAL'!C13&lt;&gt;"",'PRODUCTO NACIONAL'!C13,"")</f>
        <v>PAPEL</v>
      </c>
      <c r="D33" s="165" t="str">
        <f>IF('PRODUCTO NACIONAL'!D13&lt;&gt;"",'PRODUCTO NACIONAL'!D13,"")</f>
        <v>1.8X200</v>
      </c>
      <c r="E33" s="165" t="str">
        <f>IF('PRODUCTO NACIONAL'!H13&lt;&gt;"",'PRODUCTO NACIONAL'!H13,"")</f>
        <v/>
      </c>
      <c r="F33" s="166" t="str">
        <f>IF('PRODUCTO NACIONAL'!F13&lt;&gt;"",'PRODUCTO NACIONAL'!F13,"")</f>
        <v>Papel de Sublimación 1.80mx200mx70g</v>
      </c>
      <c r="G33" s="165" t="str">
        <f>IF('PRODUCTO NACIONAL'!E13&lt;&gt;"",'PRODUCTO NACIONAL'!E13,"")</f>
        <v/>
      </c>
      <c r="H33" s="165" t="str">
        <f>IF('PRODUCTO NACIONAL'!G13&lt;&gt;"",'PRODUCTO NACIONAL'!G13,"")</f>
        <v>ROLLO</v>
      </c>
      <c r="I33" s="165" t="str">
        <f>IF('PRODUCTO NACIONAL'!T13&lt;&gt;"",'PRODUCTO NACIONAL'!T13,"")</f>
        <v/>
      </c>
      <c r="J33" s="167">
        <f>IF('PRODUCTO NACIONAL'!U13&lt;&gt;"",'PRODUCTO NACIONAL'!U13,"")</f>
        <v>80</v>
      </c>
      <c r="K33" s="168">
        <f>IF('PRODUCTO NACIONAL'!V13&lt;&gt;"",'PRODUCTO NACIONAL'!V13,"")</f>
        <v>81</v>
      </c>
      <c r="L33" s="168">
        <f>IF('PRODUCTO NACIONAL'!W13&lt;&gt;"",'PRODUCTO NACIONAL'!W13,"")</f>
        <v>83</v>
      </c>
    </row>
    <row r="34" spans="1:12" x14ac:dyDescent="0.3">
      <c r="A34" s="175" t="str">
        <f>IF('PRODUCTO NACIONAL'!A59&lt;&gt;"",'PRODUCTO NACIONAL'!A59,"")</f>
        <v>M56</v>
      </c>
      <c r="B34" s="175"/>
      <c r="C34" s="165" t="str">
        <f>IF('PRODUCTO NACIONAL'!C59&lt;&gt;"",'PRODUCTO NACIONAL'!C59,"")</f>
        <v>PAPEL</v>
      </c>
      <c r="D34" s="165" t="str">
        <f>IF('PRODUCTO NACIONAL'!D59&lt;&gt;"",'PRODUCTO NACIONAL'!D59,"")</f>
        <v>A4</v>
      </c>
      <c r="E34" s="165" t="str">
        <f>IF('PRODUCTO NACIONAL'!H59&lt;&gt;"",'PRODUCTO NACIONAL'!H59,"")</f>
        <v/>
      </c>
      <c r="F34" s="166" t="str">
        <f>IF('PRODUCTO NACIONAL'!F59&lt;&gt;"",'PRODUCTO NACIONAL'!F59,"")</f>
        <v>HOJA PAPEL ADHESIVO BON A4 75GR</v>
      </c>
      <c r="G34" s="165" t="str">
        <f>IF('PRODUCTO NACIONAL'!E59&lt;&gt;"",'PRODUCTO NACIONAL'!E59,"")</f>
        <v>HOJA</v>
      </c>
      <c r="H34" s="165" t="str">
        <f>IF('PRODUCTO NACIONAL'!G59&lt;&gt;"",'PRODUCTO NACIONAL'!G59,"")</f>
        <v>UNIDAD</v>
      </c>
      <c r="I34" s="165" t="str">
        <f>IF('PRODUCTO NACIONAL'!T59&lt;&gt;"",'PRODUCTO NACIONAL'!T59,"")</f>
        <v/>
      </c>
      <c r="J34" s="167" t="str">
        <f>IF('PRODUCTO NACIONAL'!U59&lt;&gt;"",'PRODUCTO NACIONAL'!U59,"")</f>
        <v/>
      </c>
      <c r="K34" s="168" t="str">
        <f>IF('PRODUCTO NACIONAL'!V59&lt;&gt;"",'PRODUCTO NACIONAL'!V59,"")</f>
        <v/>
      </c>
      <c r="L34" s="168">
        <f>IF('PRODUCTO NACIONAL'!W59&lt;&gt;"",'PRODUCTO NACIONAL'!W59,"")</f>
        <v>0.75</v>
      </c>
    </row>
    <row r="35" spans="1:12" x14ac:dyDescent="0.3">
      <c r="A35" s="175" t="str">
        <f>IF('PRODUCTO NACIONAL'!A71&lt;&gt;"",'PRODUCTO NACIONAL'!A71,"")</f>
        <v>M68</v>
      </c>
      <c r="B35" s="175"/>
      <c r="C35" s="165" t="str">
        <f>IF('PRODUCTO NACIONAL'!C71&lt;&gt;"",'PRODUCTO NACIONAL'!C71,"")</f>
        <v>PAPEL</v>
      </c>
      <c r="D35" s="165" t="str">
        <f>IF('PRODUCTO NACIONAL'!D71&lt;&gt;"",'PRODUCTO NACIONAL'!D71,"")</f>
        <v>1.62X1000</v>
      </c>
      <c r="E35" s="165" t="str">
        <f>IF('PRODUCTO NACIONAL'!H71&lt;&gt;"",'PRODUCTO NACIONAL'!H71,"")</f>
        <v/>
      </c>
      <c r="F35" s="166" t="str">
        <f>IF('PRODUCTO NACIONAL'!F71&lt;&gt;"",'PRODUCTO NACIONAL'!F71,"")</f>
        <v>Papel Crakf 1.62m x 1000m x 30g.</v>
      </c>
      <c r="G35" s="165" t="str">
        <f>IF('PRODUCTO NACIONAL'!E71&lt;&gt;"",'PRODUCTO NACIONAL'!E71,"")</f>
        <v/>
      </c>
      <c r="H35" s="165" t="str">
        <f>IF('PRODUCTO NACIONAL'!G71&lt;&gt;"",'PRODUCTO NACIONAL'!G71,"")</f>
        <v>ROLLO</v>
      </c>
      <c r="I35" s="165" t="str">
        <f>IF('PRODUCTO NACIONAL'!T71&lt;&gt;"",'PRODUCTO NACIONAL'!T71,"")</f>
        <v/>
      </c>
      <c r="J35" s="167">
        <f>IF('PRODUCTO NACIONAL'!U71&lt;&gt;"",'PRODUCTO NACIONAL'!U71,"")</f>
        <v>120</v>
      </c>
      <c r="K35" s="168">
        <f>IF('PRODUCTO NACIONAL'!V71&lt;&gt;"",'PRODUCTO NACIONAL'!V71,"")</f>
        <v>121</v>
      </c>
      <c r="L35" s="168">
        <f>IF('PRODUCTO NACIONAL'!W71&lt;&gt;"",'PRODUCTO NACIONAL'!W71,"")</f>
        <v>123</v>
      </c>
    </row>
    <row r="36" spans="1:12" x14ac:dyDescent="0.3">
      <c r="A36" s="175" t="str">
        <f>IF('PRODUCTO NACIONAL'!A75&lt;&gt;"",'PRODUCTO NACIONAL'!A75,"")</f>
        <v>M72</v>
      </c>
      <c r="B36" s="175"/>
      <c r="C36" s="165" t="str">
        <f>IF('PRODUCTO NACIONAL'!C75&lt;&gt;"",'PRODUCTO NACIONAL'!C75,"")</f>
        <v>PAPEL</v>
      </c>
      <c r="D36" s="165" t="str">
        <f>IF('PRODUCTO NACIONAL'!D75&lt;&gt;"",'PRODUCTO NACIONAL'!D75,"")</f>
        <v>A4</v>
      </c>
      <c r="E36" s="165" t="str">
        <f>IF('PRODUCTO NACIONAL'!H75&lt;&gt;"",'PRODUCTO NACIONAL'!H75,"")</f>
        <v/>
      </c>
      <c r="F36" s="166" t="str">
        <f>IF('PRODUCTO NACIONAL'!F75&lt;&gt;"",'PRODUCTO NACIONAL'!F75,"")</f>
        <v>RESMA PAPEL DE SUBLIMACIÓN A4 75GR</v>
      </c>
      <c r="G36" s="165" t="str">
        <f>IF('PRODUCTO NACIONAL'!E75&lt;&gt;"",'PRODUCTO NACIONAL'!E75,"")</f>
        <v>HOJA</v>
      </c>
      <c r="H36" s="165" t="str">
        <f>IF('PRODUCTO NACIONAL'!G75&lt;&gt;"",'PRODUCTO NACIONAL'!G75,"")</f>
        <v>UNIDAD</v>
      </c>
      <c r="I36" s="165" t="str">
        <f>IF('PRODUCTO NACIONAL'!T75&lt;&gt;"",'PRODUCTO NACIONAL'!T75,"")</f>
        <v/>
      </c>
      <c r="J36" s="167" t="str">
        <f>IF('PRODUCTO NACIONAL'!U75&lt;&gt;"",'PRODUCTO NACIONAL'!U75,"")</f>
        <v/>
      </c>
      <c r="K36" s="168" t="str">
        <f>IF('PRODUCTO NACIONAL'!V75&lt;&gt;"",'PRODUCTO NACIONAL'!V75,"")</f>
        <v/>
      </c>
      <c r="L36" s="168">
        <f>IF('PRODUCTO NACIONAL'!W75&lt;&gt;"",'PRODUCTO NACIONAL'!W75,"")</f>
        <v>7.5</v>
      </c>
    </row>
    <row r="37" spans="1:12" x14ac:dyDescent="0.3">
      <c r="A37" s="246"/>
      <c r="B37" s="246"/>
      <c r="C37" s="247"/>
      <c r="D37" s="247"/>
      <c r="E37" s="247"/>
      <c r="F37" s="248"/>
      <c r="G37" s="247"/>
      <c r="H37" s="247"/>
      <c r="I37" s="247"/>
      <c r="J37" s="240" t="s">
        <v>257</v>
      </c>
      <c r="K37" s="241" t="s">
        <v>258</v>
      </c>
      <c r="L37" s="241" t="s">
        <v>134</v>
      </c>
    </row>
    <row r="38" spans="1:12" x14ac:dyDescent="0.3">
      <c r="A38" s="41" t="str">
        <f>IF('PRODUCTO NACIONAL'!A6&lt;&gt;"",'PRODUCTO NACIONAL'!A6,"")</f>
        <v>M3</v>
      </c>
      <c r="B38" s="41"/>
      <c r="C38" s="30" t="str">
        <f>IF('PRODUCTO NACIONAL'!C6&lt;&gt;"",'PRODUCTO NACIONAL'!C6,"")</f>
        <v>TINTA</v>
      </c>
      <c r="D38" s="30" t="str">
        <f>IF('PRODUCTO NACIONAL'!D6&lt;&gt;"",'PRODUCTO NACIONAL'!D6,"")</f>
        <v/>
      </c>
      <c r="E38" s="30" t="str">
        <f>IF('PRODUCTO NACIONAL'!H6&lt;&gt;"",'PRODUCTO NACIONAL'!H6,"")</f>
        <v/>
      </c>
      <c r="F38" s="49" t="str">
        <f>IF('PRODUCTO NACIONAL'!F6&lt;&gt;"",'PRODUCTO NACIONAL'!F6,"")</f>
        <v>Tinta Jaz Negra</v>
      </c>
      <c r="G38" s="30" t="str">
        <f>IF('PRODUCTO NACIONAL'!E6&lt;&gt;"",'PRODUCTO NACIONAL'!E6,"")</f>
        <v/>
      </c>
      <c r="H38" s="30" t="str">
        <f>IF('PRODUCTO NACIONAL'!G6&lt;&gt;"",'PRODUCTO NACIONAL'!G6,"")</f>
        <v>LITRO</v>
      </c>
      <c r="I38" s="30" t="str">
        <f>IF('PRODUCTO NACIONAL'!T6&lt;&gt;"",'PRODUCTO NACIONAL'!T6,"")</f>
        <v/>
      </c>
      <c r="J38" s="163">
        <f>IF('PRODUCTO NACIONAL'!U6&lt;&gt;"",'PRODUCTO NACIONAL'!U6,"")</f>
        <v>27</v>
      </c>
      <c r="K38" s="164">
        <f>IF('PRODUCTO NACIONAL'!V6&lt;&gt;"",'PRODUCTO NACIONAL'!V6,"")</f>
        <v>28</v>
      </c>
      <c r="L38" s="164">
        <f>IF('PRODUCTO NACIONAL'!W6&lt;&gt;"",'PRODUCTO NACIONAL'!W6,"")</f>
        <v>30</v>
      </c>
    </row>
    <row r="39" spans="1:12" x14ac:dyDescent="0.3">
      <c r="A39" s="41" t="str">
        <f>IF('PRODUCTO NACIONAL'!A72&lt;&gt;"",'PRODUCTO NACIONAL'!A72,"")</f>
        <v>M69</v>
      </c>
      <c r="B39" s="41"/>
      <c r="C39" s="30" t="str">
        <f>IF('PRODUCTO NACIONAL'!C72&lt;&gt;"",'PRODUCTO NACIONAL'!C72,"")</f>
        <v>TINTA</v>
      </c>
      <c r="D39" s="30" t="str">
        <f>IF('PRODUCTO NACIONAL'!D72&lt;&gt;"",'PRODUCTO NACIONAL'!D72,"")</f>
        <v/>
      </c>
      <c r="E39" s="30" t="str">
        <f>IF('PRODUCTO NACIONAL'!H72&lt;&gt;"",'PRODUCTO NACIONAL'!H72,"")</f>
        <v/>
      </c>
      <c r="F39" s="49" t="str">
        <f>IF('PRODUCTO NACIONAL'!F72&lt;&gt;"",'PRODUCTO NACIONAL'!F72,"")</f>
        <v>Tinta Jaz Azul</v>
      </c>
      <c r="G39" s="30" t="str">
        <f>IF('PRODUCTO NACIONAL'!E72&lt;&gt;"",'PRODUCTO NACIONAL'!E72,"")</f>
        <v/>
      </c>
      <c r="H39" s="30" t="str">
        <f>IF('PRODUCTO NACIONAL'!G72&lt;&gt;"",'PRODUCTO NACIONAL'!G72,"")</f>
        <v>LITRO</v>
      </c>
      <c r="I39" s="30" t="str">
        <f>IF('PRODUCTO NACIONAL'!T72&lt;&gt;"",'PRODUCTO NACIONAL'!T72,"")</f>
        <v/>
      </c>
      <c r="J39" s="163">
        <f>IF('PRODUCTO NACIONAL'!U72&lt;&gt;"",'PRODUCTO NACIONAL'!U72,"")</f>
        <v>27</v>
      </c>
      <c r="K39" s="164">
        <f>IF('PRODUCTO NACIONAL'!V72&lt;&gt;"",'PRODUCTO NACIONAL'!V72,"")</f>
        <v>28</v>
      </c>
      <c r="L39" s="164">
        <f>IF('PRODUCTO NACIONAL'!W72&lt;&gt;"",'PRODUCTO NACIONAL'!W72,"")</f>
        <v>30</v>
      </c>
    </row>
    <row r="40" spans="1:12" x14ac:dyDescent="0.3">
      <c r="A40" s="41" t="str">
        <f>IF('PRODUCTO NACIONAL'!A73&lt;&gt;"",'PRODUCTO NACIONAL'!A73,"")</f>
        <v>M70</v>
      </c>
      <c r="B40" s="41"/>
      <c r="C40" s="30" t="str">
        <f>IF('PRODUCTO NACIONAL'!C73&lt;&gt;"",'PRODUCTO NACIONAL'!C73,"")</f>
        <v>TINTA</v>
      </c>
      <c r="D40" s="30" t="str">
        <f>IF('PRODUCTO NACIONAL'!D73&lt;&gt;"",'PRODUCTO NACIONAL'!D73,"")</f>
        <v/>
      </c>
      <c r="E40" s="30" t="str">
        <f>IF('PRODUCTO NACIONAL'!H73&lt;&gt;"",'PRODUCTO NACIONAL'!H73,"")</f>
        <v/>
      </c>
      <c r="F40" s="49" t="str">
        <f>IF('PRODUCTO NACIONAL'!F73&lt;&gt;"",'PRODUCTO NACIONAL'!F73,"")</f>
        <v>Tinta Jaz Amarilla</v>
      </c>
      <c r="G40" s="30" t="str">
        <f>IF('PRODUCTO NACIONAL'!E73&lt;&gt;"",'PRODUCTO NACIONAL'!E73,"")</f>
        <v/>
      </c>
      <c r="H40" s="30" t="str">
        <f>IF('PRODUCTO NACIONAL'!G73&lt;&gt;"",'PRODUCTO NACIONAL'!G73,"")</f>
        <v>LITRO</v>
      </c>
      <c r="I40" s="30" t="str">
        <f>IF('PRODUCTO NACIONAL'!T73&lt;&gt;"",'PRODUCTO NACIONAL'!T73,"")</f>
        <v/>
      </c>
      <c r="J40" s="163">
        <f>IF('PRODUCTO NACIONAL'!U73&lt;&gt;"",'PRODUCTO NACIONAL'!U73,"")</f>
        <v>27</v>
      </c>
      <c r="K40" s="164">
        <f>IF('PRODUCTO NACIONAL'!V73&lt;&gt;"",'PRODUCTO NACIONAL'!V73,"")</f>
        <v>28</v>
      </c>
      <c r="L40" s="164">
        <f>IF('PRODUCTO NACIONAL'!W73&lt;&gt;"",'PRODUCTO NACIONAL'!W73,"")</f>
        <v>30</v>
      </c>
    </row>
    <row r="41" spans="1:12" x14ac:dyDescent="0.3">
      <c r="A41" s="41" t="str">
        <f>IF('PRODUCTO NACIONAL'!A74&lt;&gt;"",'PRODUCTO NACIONAL'!A74,"")</f>
        <v>M71</v>
      </c>
      <c r="B41" s="41"/>
      <c r="C41" s="30" t="str">
        <f>IF('PRODUCTO NACIONAL'!C74&lt;&gt;"",'PRODUCTO NACIONAL'!C74,"")</f>
        <v>TINTA</v>
      </c>
      <c r="D41" s="30" t="str">
        <f>IF('PRODUCTO NACIONAL'!D74&lt;&gt;"",'PRODUCTO NACIONAL'!D74,"")</f>
        <v/>
      </c>
      <c r="E41" s="30" t="str">
        <f>IF('PRODUCTO NACIONAL'!H74&lt;&gt;"",'PRODUCTO NACIONAL'!H74,"")</f>
        <v/>
      </c>
      <c r="F41" s="49" t="str">
        <f>IF('PRODUCTO NACIONAL'!F74&lt;&gt;"",'PRODUCTO NACIONAL'!F74,"")</f>
        <v>Tinta Jaz Roja</v>
      </c>
      <c r="G41" s="30" t="str">
        <f>IF('PRODUCTO NACIONAL'!E74&lt;&gt;"",'PRODUCTO NACIONAL'!E74,"")</f>
        <v/>
      </c>
      <c r="H41" s="30" t="str">
        <f>IF('PRODUCTO NACIONAL'!G74&lt;&gt;"",'PRODUCTO NACIONAL'!G74,"")</f>
        <v>LITRO</v>
      </c>
      <c r="I41" s="30" t="str">
        <f>IF('PRODUCTO NACIONAL'!T74&lt;&gt;"",'PRODUCTO NACIONAL'!T74,"")</f>
        <v/>
      </c>
      <c r="J41" s="163">
        <f>IF('PRODUCTO NACIONAL'!U74&lt;&gt;"",'PRODUCTO NACIONAL'!U74,"")</f>
        <v>27</v>
      </c>
      <c r="K41" s="164">
        <f>IF('PRODUCTO NACIONAL'!V74&lt;&gt;"",'PRODUCTO NACIONAL'!V74,"")</f>
        <v>28</v>
      </c>
      <c r="L41" s="164">
        <f>IF('PRODUCTO NACIONAL'!W74&lt;&gt;"",'PRODUCTO NACIONAL'!W74,"")</f>
        <v>30</v>
      </c>
    </row>
    <row r="42" spans="1:12" x14ac:dyDescent="0.3">
      <c r="A42" s="246"/>
      <c r="B42" s="246"/>
      <c r="C42" s="247"/>
      <c r="D42" s="247"/>
      <c r="E42" s="247"/>
      <c r="F42" s="248"/>
      <c r="G42" s="247"/>
      <c r="H42" s="247"/>
      <c r="I42" s="247"/>
      <c r="J42" s="249"/>
      <c r="K42" s="250"/>
      <c r="L42" s="250"/>
    </row>
    <row r="43" spans="1:12" x14ac:dyDescent="0.3">
      <c r="A43" s="188" t="str">
        <f>IF('PRODUCTO NACIONAL'!A76&lt;&gt;"",'PRODUCTO NACIONAL'!A76,"")</f>
        <v>M73</v>
      </c>
      <c r="B43" s="188"/>
      <c r="C43" s="189" t="str">
        <f>IF('PRODUCTO NACIONAL'!C76&lt;&gt;"",'PRODUCTO NACIONAL'!C76,"")</f>
        <v>CINTA</v>
      </c>
      <c r="D43" s="189" t="str">
        <f>IF('PRODUCTO NACIONAL'!D76&lt;&gt;"",'PRODUCTO NACIONAL'!D76,"")</f>
        <v>3cm</v>
      </c>
      <c r="E43" s="189" t="str">
        <f>IF('PRODUCTO NACIONAL'!H76&lt;&gt;"",'PRODUCTO NACIONAL'!H76,"")</f>
        <v/>
      </c>
      <c r="F43" s="190" t="str">
        <f>IF('PRODUCTO NACIONAL'!F76&lt;&gt;"",'PRODUCTO NACIONAL'!F76,"")</f>
        <v>CINTA REFLECTIVA DE 3cm de anchox1m</v>
      </c>
      <c r="G43" s="189" t="str">
        <f>IF('PRODUCTO NACIONAL'!E76&lt;&gt;"",'PRODUCTO NACIONAL'!E76,"")</f>
        <v>CINTA</v>
      </c>
      <c r="H43" s="189" t="str">
        <f>IF('PRODUCTO NACIONAL'!G76&lt;&gt;"",'PRODUCTO NACIONAL'!G76,"")</f>
        <v>UNIDAD</v>
      </c>
      <c r="I43" s="189" t="str">
        <f>IF('PRODUCTO NACIONAL'!T76&lt;&gt;"",'PRODUCTO NACIONAL'!T76,"")</f>
        <v/>
      </c>
      <c r="J43" s="192" t="str">
        <f>IF('PRODUCTO NACIONAL'!U76&lt;&gt;"",'PRODUCTO NACIONAL'!U76,"")</f>
        <v/>
      </c>
      <c r="K43" s="191" t="str">
        <f>IF('PRODUCTO NACIONAL'!V76&lt;&gt;"",'PRODUCTO NACIONAL'!V76,"")</f>
        <v/>
      </c>
      <c r="L43" s="191" t="str">
        <f>IF('PRODUCTO NACIONAL'!W76&lt;&gt;"",'PRODUCTO NACIONAL'!W76,"")</f>
        <v/>
      </c>
    </row>
    <row r="44" spans="1:12" x14ac:dyDescent="0.3">
      <c r="A44" s="188" t="str">
        <f>IF('PRODUCTO NACIONAL'!A79&lt;&gt;"",'PRODUCTO NACIONAL'!A79,"")</f>
        <v>M79</v>
      </c>
      <c r="B44" s="188"/>
      <c r="C44" s="189" t="str">
        <f>IF('PRODUCTO NACIONAL'!C79&lt;&gt;"",'PRODUCTO NACIONAL'!C79,"")</f>
        <v>CINTA</v>
      </c>
      <c r="D44" s="189" t="str">
        <f>IF('PRODUCTO NACIONAL'!D79&lt;&gt;"",'PRODUCTO NACIONAL'!D79,"")</f>
        <v>1cm</v>
      </c>
      <c r="E44" s="189" t="str">
        <f>IF('PRODUCTO NACIONAL'!H79&lt;&gt;"",'PRODUCTO NACIONAL'!H79,"")</f>
        <v/>
      </c>
      <c r="F44" s="190" t="str">
        <f>IF('PRODUCTO NACIONAL'!F79&lt;&gt;"",'PRODUCTO NACIONAL'!F79,"")</f>
        <v>CINTA TERMICA</v>
      </c>
      <c r="G44" s="189" t="str">
        <f>IF('PRODUCTO NACIONAL'!E79&lt;&gt;"",'PRODUCTO NACIONAL'!E79,"")</f>
        <v/>
      </c>
      <c r="H44" s="189" t="str">
        <f>IF('PRODUCTO NACIONAL'!G79&lt;&gt;"",'PRODUCTO NACIONAL'!G79,"")</f>
        <v>UNIDAD</v>
      </c>
      <c r="I44" s="189" t="str">
        <f>IF('PRODUCTO NACIONAL'!T79&lt;&gt;"",'PRODUCTO NACIONAL'!T79,"")</f>
        <v/>
      </c>
      <c r="J44" s="192">
        <f>IF('PRODUCTO NACIONAL'!U79&lt;&gt;"",'PRODUCTO NACIONAL'!U79,"")</f>
        <v>2.5</v>
      </c>
      <c r="K44" s="191">
        <f>IF('PRODUCTO NACIONAL'!V79&lt;&gt;"",'PRODUCTO NACIONAL'!V79,"")</f>
        <v>2.75</v>
      </c>
      <c r="L44" s="191">
        <f>IF('PRODUCTO NACIONAL'!W79&lt;&gt;"",'PRODUCTO NACIONAL'!W79,"")</f>
        <v>3</v>
      </c>
    </row>
    <row r="45" spans="1:12" x14ac:dyDescent="0.3">
      <c r="A45" s="183" t="str">
        <f>IF('PRODUCTO NACIONAL'!A67&lt;&gt;"",'PRODUCTO NACIONAL'!A67,"")</f>
        <v>M64</v>
      </c>
      <c r="B45" s="183"/>
      <c r="C45" s="184" t="str">
        <f>IF('PRODUCTO NACIONAL'!C67&lt;&gt;"",'PRODUCTO NACIONAL'!C67,"")</f>
        <v>CUELLO</v>
      </c>
      <c r="D45" s="184" t="str">
        <f>IF('PRODUCTO NACIONAL'!D67&lt;&gt;"",'PRODUCTO NACIONAL'!D67,"")</f>
        <v/>
      </c>
      <c r="E45" s="184">
        <f>IF('PRODUCTO NACIONAL'!H67&lt;&gt;"",'PRODUCTO NACIONAL'!H67,"")</f>
        <v>33</v>
      </c>
      <c r="F45" s="185" t="str">
        <f>IF('PRODUCTO NACIONAL'!F67&lt;&gt;"",'PRODUCTO NACIONAL'!F67,"")</f>
        <v>CUELLOS20 PEI|NEGRO AZABACHE Y MAS.</v>
      </c>
      <c r="G45" s="184" t="str">
        <f>IF('PRODUCTO NACIONAL'!E67&lt;&gt;"",'PRODUCTO NACIONAL'!E67,"")</f>
        <v>ABIERTO</v>
      </c>
      <c r="H45" s="184" t="str">
        <f>IF('PRODUCTO NACIONAL'!G67&lt;&gt;"",'PRODUCTO NACIONAL'!G67,"")</f>
        <v>KILOS</v>
      </c>
      <c r="I45" s="184" t="str">
        <f>IF('PRODUCTO NACIONAL'!T67&lt;&gt;"",'PRODUCTO NACIONAL'!T67,"")</f>
        <v/>
      </c>
      <c r="J45" s="186" t="str">
        <f>IF('PRODUCTO NACIONAL'!U67&lt;&gt;"",'PRODUCTO NACIONAL'!U67,"")</f>
        <v/>
      </c>
      <c r="K45" s="187" t="str">
        <f>IF('PRODUCTO NACIONAL'!V67&lt;&gt;"",'PRODUCTO NACIONAL'!V67,"")</f>
        <v/>
      </c>
      <c r="L45" s="187">
        <f>IF('PRODUCTO NACIONAL'!W67&lt;&gt;"",'PRODUCTO NACIONAL'!W67,"")</f>
        <v>1</v>
      </c>
    </row>
    <row r="46" spans="1:12" x14ac:dyDescent="0.3">
      <c r="A46" s="183" t="str">
        <f>IF('PRODUCTO NACIONAL'!A68&lt;&gt;"",'PRODUCTO NACIONAL'!A68,"")</f>
        <v>M65</v>
      </c>
      <c r="B46" s="183"/>
      <c r="C46" s="184" t="str">
        <f>IF('PRODUCTO NACIONAL'!C68&lt;&gt;"",'PRODUCTO NACIONAL'!C68,"")</f>
        <v>PUÑO</v>
      </c>
      <c r="D46" s="184" t="str">
        <f>IF('PRODUCTO NACIONAL'!D68&lt;&gt;"",'PRODUCTO NACIONAL'!D68,"")</f>
        <v/>
      </c>
      <c r="E46" s="184">
        <f>IF('PRODUCTO NACIONAL'!H68&lt;&gt;"",'PRODUCTO NACIONAL'!H68,"")</f>
        <v>66</v>
      </c>
      <c r="F46" s="185" t="str">
        <f>IF('PRODUCTO NACIONAL'!F68&lt;&gt;"",'PRODUCTO NACIONAL'!F68,"")</f>
        <v>PUÑOS20 PEI|NEGRO AZABACHE Y MAS.</v>
      </c>
      <c r="G46" s="184" t="str">
        <f>IF('PRODUCTO NACIONAL'!E68&lt;&gt;"",'PRODUCTO NACIONAL'!E68,"")</f>
        <v>ABIERTO</v>
      </c>
      <c r="H46" s="184" t="str">
        <f>IF('PRODUCTO NACIONAL'!G68&lt;&gt;"",'PRODUCTO NACIONAL'!G68,"")</f>
        <v>KILOS</v>
      </c>
      <c r="I46" s="184" t="str">
        <f>IF('PRODUCTO NACIONAL'!T68&lt;&gt;"",'PRODUCTO NACIONAL'!T68,"")</f>
        <v/>
      </c>
      <c r="J46" s="186" t="str">
        <f>IF('PRODUCTO NACIONAL'!U68&lt;&gt;"",'PRODUCTO NACIONAL'!U68,"")</f>
        <v/>
      </c>
      <c r="K46" s="187" t="str">
        <f>IF('PRODUCTO NACIONAL'!V68&lt;&gt;"",'PRODUCTO NACIONAL'!V68,"")</f>
        <v/>
      </c>
      <c r="L46" s="187">
        <f>IF('PRODUCTO NACIONAL'!W68&lt;&gt;"",'PRODUCTO NACIONAL'!W68,"")</f>
        <v>0.5</v>
      </c>
    </row>
    <row r="47" spans="1:12" x14ac:dyDescent="0.3">
      <c r="A47" s="198" t="str">
        <f>IF('PRODUCTO NACIONAL'!A26&lt;&gt;"",'PRODUCTO NACIONAL'!A26,"")</f>
        <v>M23</v>
      </c>
      <c r="B47" s="198"/>
      <c r="C47" s="199" t="str">
        <f>IF('PRODUCTO NACIONAL'!C26&lt;&gt;"",'PRODUCTO NACIONAL'!C26,"")</f>
        <v>POLIN</v>
      </c>
      <c r="D47" s="199" t="str">
        <f>IF('PRODUCTO NACIONAL'!D26&lt;&gt;"",'PRODUCTO NACIONAL'!D26,"")</f>
        <v/>
      </c>
      <c r="E47" s="199" t="str">
        <f>IF('PRODUCTO NACIONAL'!H26&lt;&gt;"",'PRODUCTO NACIONAL'!H26,"")</f>
        <v/>
      </c>
      <c r="F47" s="200" t="str">
        <f>IF('PRODUCTO NACIONAL'!F26&lt;&gt;"",'PRODUCTO NACIONAL'!F26,"")</f>
        <v>POLIN GUTMAN T4-6 |T6-8</v>
      </c>
      <c r="G47" s="199" t="str">
        <f>IF('PRODUCTO NACIONAL'!E26&lt;&gt;"",'PRODUCTO NACIONAL'!E26,"")</f>
        <v>DOCENA</v>
      </c>
      <c r="H47" s="199" t="str">
        <f>IF('PRODUCTO NACIONAL'!G26&lt;&gt;"",'PRODUCTO NACIONAL'!G26,"")</f>
        <v>UNIDAD</v>
      </c>
      <c r="I47" s="199" t="str">
        <f>IF('PRODUCTO NACIONAL'!W26&lt;&gt;"",'PRODUCTO NACIONAL'!W26,"")</f>
        <v/>
      </c>
      <c r="J47" s="201" t="str">
        <f>IF('PRODUCTO NACIONAL'!U26&lt;&gt;"",'PRODUCTO NACIONAL'!U26,"")</f>
        <v/>
      </c>
      <c r="K47" s="202">
        <f>IF('PRODUCTO NACIONAL'!V26&lt;&gt;"",'PRODUCTO NACIONAL'!V26,"")</f>
        <v>19</v>
      </c>
      <c r="L47" s="202">
        <v>2</v>
      </c>
    </row>
    <row r="48" spans="1:12" x14ac:dyDescent="0.3">
      <c r="A48" s="198" t="str">
        <f>IF('PRODUCTO NACIONAL'!A27&lt;&gt;"",'PRODUCTO NACIONAL'!A27,"")</f>
        <v>M24</v>
      </c>
      <c r="B48" s="198"/>
      <c r="C48" s="199" t="str">
        <f>IF('PRODUCTO NACIONAL'!C27&lt;&gt;"",'PRODUCTO NACIONAL'!C27,"")</f>
        <v>POLIN</v>
      </c>
      <c r="D48" s="199" t="str">
        <f>IF('PRODUCTO NACIONAL'!D27&lt;&gt;"",'PRODUCTO NACIONAL'!D27,"")</f>
        <v/>
      </c>
      <c r="E48" s="199" t="str">
        <f>IF('PRODUCTO NACIONAL'!H27&lt;&gt;"",'PRODUCTO NACIONAL'!H27,"")</f>
        <v/>
      </c>
      <c r="F48" s="200" t="str">
        <f>IF('PRODUCTO NACIONAL'!F27&lt;&gt;"",'PRODUCTO NACIONAL'!F27,"")</f>
        <v>POLIN GUTMAN T8-10 | T10-12</v>
      </c>
      <c r="G48" s="199" t="str">
        <f>IF('PRODUCTO NACIONAL'!E27&lt;&gt;"",'PRODUCTO NACIONAL'!E27,"")</f>
        <v>DOCENA</v>
      </c>
      <c r="H48" s="199" t="str">
        <f>IF('PRODUCTO NACIONAL'!G27&lt;&gt;"",'PRODUCTO NACIONAL'!G27,"")</f>
        <v>UNIDAD</v>
      </c>
      <c r="I48" s="199" t="str">
        <f>IF('PRODUCTO NACIONAL'!W27&lt;&gt;"",'PRODUCTO NACIONAL'!W27,"")</f>
        <v/>
      </c>
      <c r="J48" s="201" t="str">
        <f>IF('PRODUCTO NACIONAL'!U27&lt;&gt;"",'PRODUCTO NACIONAL'!U27,"")</f>
        <v/>
      </c>
      <c r="K48" s="202">
        <f>IF('PRODUCTO NACIONAL'!V27&lt;&gt;"",'PRODUCTO NACIONAL'!V27,"")</f>
        <v>22</v>
      </c>
      <c r="L48" s="202">
        <v>2.5</v>
      </c>
    </row>
    <row r="49" spans="1:12" x14ac:dyDescent="0.3">
      <c r="A49" s="27" t="str">
        <f>IF('PRODUCTO NACIONAL'!A44&lt;&gt;"",'PRODUCTO NACIONAL'!A44,"")</f>
        <v>M41</v>
      </c>
      <c r="B49" s="27"/>
      <c r="C49" s="3" t="str">
        <f>IF('PRODUCTO NACIONAL'!C44&lt;&gt;"",'PRODUCTO NACIONAL'!C44,"")</f>
        <v>BOTON</v>
      </c>
      <c r="D49" s="3" t="str">
        <f>IF('PRODUCTO NACIONAL'!D44&lt;&gt;"",'PRODUCTO NACIONAL'!D44,"")</f>
        <v/>
      </c>
      <c r="E49" s="3">
        <f>IF('PRODUCTO NACIONAL'!H44&lt;&gt;"",'PRODUCTO NACIONAL'!H44,"")</f>
        <v>1000</v>
      </c>
      <c r="F49" s="48" t="str">
        <f>IF('PRODUCTO NACIONAL'!F44&lt;&gt;"",'PRODUCTO NACIONAL'!F44,"")</f>
        <v>BOTON DE CAMISA 2 HUECOS</v>
      </c>
      <c r="G49" s="3" t="str">
        <f>IF('PRODUCTO NACIONAL'!E44&lt;&gt;"",'PRODUCTO NACIONAL'!E44,"")</f>
        <v/>
      </c>
      <c r="H49" s="3" t="str">
        <f>IF('PRODUCTO NACIONAL'!G44&lt;&gt;"",'PRODUCTO NACIONAL'!G44,"")</f>
        <v>UNIDAD</v>
      </c>
      <c r="I49" s="3" t="str">
        <f>IF('PRODUCTO NACIONAL'!T44&lt;&gt;"",'PRODUCTO NACIONAL'!T44,"")</f>
        <v/>
      </c>
      <c r="J49" s="169" t="str">
        <f>IF('PRODUCTO NACIONAL'!U44&lt;&gt;"",'PRODUCTO NACIONAL'!U44,"")</f>
        <v/>
      </c>
      <c r="K49" s="20" t="str">
        <f>IF('PRODUCTO NACIONAL'!V44&lt;&gt;"",'PRODUCTO NACIONAL'!V44,"")</f>
        <v/>
      </c>
      <c r="L49" s="20">
        <f>IF('PRODUCTO NACIONAL'!W44&lt;&gt;"",'PRODUCTO NACIONAL'!W44,"")</f>
        <v>0.02</v>
      </c>
    </row>
    <row r="50" spans="1:12" x14ac:dyDescent="0.3">
      <c r="A50" s="193" t="str">
        <f>IF('PRODUCTO NACIONAL'!A32&lt;&gt;"",'PRODUCTO NACIONAL'!A32,"")</f>
        <v>M29</v>
      </c>
      <c r="B50" s="193"/>
      <c r="C50" s="194" t="str">
        <f>IF('PRODUCTO NACIONAL'!C32&lt;&gt;"",'PRODUCTO NACIONAL'!C32,"")</f>
        <v>CIERRE</v>
      </c>
      <c r="D50" s="194" t="str">
        <f>IF('PRODUCTO NACIONAL'!D32&lt;&gt;"",'PRODUCTO NACIONAL'!D32,"")</f>
        <v/>
      </c>
      <c r="E50" s="194" t="str">
        <f>IF('PRODUCTO NACIONAL'!H32&lt;&gt;"",'PRODUCTO NACIONAL'!H32,"")</f>
        <v/>
      </c>
      <c r="F50" s="195" t="str">
        <f>IF('PRODUCTO NACIONAL'!F32&lt;&gt;"",'PRODUCTO NACIONAL'!F32,"")</f>
        <v>CIERRE POLIESTER 5 DESPLEGABLE 80CM SENCILLO</v>
      </c>
      <c r="G50" s="194" t="str">
        <f>IF('PRODUCTO NACIONAL'!E32&lt;&gt;"",'PRODUCTO NACIONAL'!E32,"")</f>
        <v/>
      </c>
      <c r="H50" s="194" t="str">
        <f>IF('PRODUCTO NACIONAL'!G32&lt;&gt;"",'PRODUCTO NACIONAL'!G32,"")</f>
        <v>UNIDAD</v>
      </c>
      <c r="I50" s="194" t="str">
        <f>IF('PRODUCTO NACIONAL'!T32&lt;&gt;"",'PRODUCTO NACIONAL'!T32,"")</f>
        <v/>
      </c>
      <c r="J50" s="196" t="str">
        <f>IF('PRODUCTO NACIONAL'!U32&lt;&gt;"",'PRODUCTO NACIONAL'!U32,"")</f>
        <v/>
      </c>
      <c r="K50" s="197" t="str">
        <f>IF('PRODUCTO NACIONAL'!V32&lt;&gt;"",'PRODUCTO NACIONAL'!V32,"")</f>
        <v/>
      </c>
      <c r="L50" s="197">
        <f>IF('PRODUCTO NACIONAL'!W32&lt;&gt;"",'PRODUCTO NACIONAL'!W32,"")</f>
        <v>1.25</v>
      </c>
    </row>
    <row r="51" spans="1:12" ht="27" customHeight="1" x14ac:dyDescent="0.3">
      <c r="A51" s="193" t="str">
        <f>IF('PRODUCTO NACIONAL'!A49&lt;&gt;"",'PRODUCTO NACIONAL'!A49,"")</f>
        <v>M46</v>
      </c>
      <c r="B51" s="193"/>
      <c r="C51" s="194" t="str">
        <f>IF('PRODUCTO NACIONAL'!C49&lt;&gt;"",'PRODUCTO NACIONAL'!C49,"")</f>
        <v>CIERRE</v>
      </c>
      <c r="D51" s="194" t="str">
        <f>IF('PRODUCTO NACIONAL'!D49&lt;&gt;"",'PRODUCTO NACIONAL'!D49,"")</f>
        <v/>
      </c>
      <c r="E51" s="194" t="str">
        <f>IF('PRODUCTO NACIONAL'!H49&lt;&gt;"",'PRODUCTO NACIONAL'!H49,"")</f>
        <v/>
      </c>
      <c r="F51" s="213" t="str">
        <f>IF('PRODUCTO NACIONAL'!F49&lt;&gt;"",'PRODUCTO NACIONAL'!F49,"")</f>
        <v>TIRA CIERRES S99 COLOR NEGRO 580 PALETA CUADRADO CORDON PUNTOS BLANCO</v>
      </c>
      <c r="G51" s="194" t="str">
        <f>IF('PRODUCTO NACIONAL'!E49&lt;&gt;"",'PRODUCTO NACIONAL'!E49,"")</f>
        <v/>
      </c>
      <c r="H51" s="194" t="str">
        <f>IF('PRODUCTO NACIONAL'!G49&lt;&gt;"",'PRODUCTO NACIONAL'!G49,"")</f>
        <v>UNIDAD</v>
      </c>
      <c r="I51" s="194" t="str">
        <f>IF('PRODUCTO NACIONAL'!T49&lt;&gt;"",'PRODUCTO NACIONAL'!T49,"")</f>
        <v/>
      </c>
      <c r="J51" s="196" t="str">
        <f>IF('PRODUCTO NACIONAL'!U49&lt;&gt;"",'PRODUCTO NACIONAL'!U49,"")</f>
        <v/>
      </c>
      <c r="K51" s="197" t="str">
        <f>IF('PRODUCTO NACIONAL'!V49&lt;&gt;"",'PRODUCTO NACIONAL'!V49,"")</f>
        <v/>
      </c>
      <c r="L51" s="197">
        <f>IF('PRODUCTO NACIONAL'!W49&lt;&gt;"",'PRODUCTO NACIONAL'!W49,"")</f>
        <v>0.25</v>
      </c>
    </row>
    <row r="52" spans="1:12" x14ac:dyDescent="0.3">
      <c r="A52" s="193" t="str">
        <f>IF('PRODUCTO NACIONAL'!A50&lt;&gt;"",'PRODUCTO NACIONAL'!A50,"")</f>
        <v>M47</v>
      </c>
      <c r="B52" s="193"/>
      <c r="C52" s="194" t="str">
        <f>IF('PRODUCTO NACIONAL'!C50&lt;&gt;"",'PRODUCTO NACIONAL'!C50,"")</f>
        <v>CIERRE</v>
      </c>
      <c r="D52" s="194" t="str">
        <f>IF('PRODUCTO NACIONAL'!D50&lt;&gt;"",'PRODUCTO NACIONAL'!D50,"")</f>
        <v/>
      </c>
      <c r="E52" s="194" t="str">
        <f>IF('PRODUCTO NACIONAL'!H50&lt;&gt;"",'PRODUCTO NACIONAL'!H50,"")</f>
        <v/>
      </c>
      <c r="F52" s="195" t="str">
        <f>IF('PRODUCTO NACIONAL'!F50&lt;&gt;"",'PRODUCTO NACIONAL'!F50,"")</f>
        <v>CIERRE POLIESTER 5 FIJO 18CM CAMPANA</v>
      </c>
      <c r="G52" s="194" t="str">
        <f>IF('PRODUCTO NACIONAL'!E50&lt;&gt;"",'PRODUCTO NACIONAL'!E50,"")</f>
        <v/>
      </c>
      <c r="H52" s="194" t="str">
        <f>IF('PRODUCTO NACIONAL'!G50&lt;&gt;"",'PRODUCTO NACIONAL'!G50,"")</f>
        <v>UNIDAD</v>
      </c>
      <c r="I52" s="194" t="str">
        <f>IF('PRODUCTO NACIONAL'!T50&lt;&gt;"",'PRODUCTO NACIONAL'!T50,"")</f>
        <v/>
      </c>
      <c r="J52" s="196" t="str">
        <f>IF('PRODUCTO NACIONAL'!U50&lt;&gt;"",'PRODUCTO NACIONAL'!U50,"")</f>
        <v/>
      </c>
      <c r="K52" s="197" t="str">
        <f>IF('PRODUCTO NACIONAL'!V50&lt;&gt;"",'PRODUCTO NACIONAL'!V50,"")</f>
        <v/>
      </c>
      <c r="L52" s="197">
        <f>IF('PRODUCTO NACIONAL'!W50&lt;&gt;"",'PRODUCTO NACIONAL'!W50,"")</f>
        <v>0.3</v>
      </c>
    </row>
    <row r="53" spans="1:12" x14ac:dyDescent="0.3">
      <c r="A53" s="193" t="str">
        <f>IF('PRODUCTO NACIONAL'!A51&lt;&gt;"",'PRODUCTO NACIONAL'!A51,"")</f>
        <v>M48</v>
      </c>
      <c r="B53" s="193"/>
      <c r="C53" s="194" t="str">
        <f>IF('PRODUCTO NACIONAL'!C51&lt;&gt;"",'PRODUCTO NACIONAL'!C51,"")</f>
        <v>CIERRE</v>
      </c>
      <c r="D53" s="194" t="str">
        <f>IF('PRODUCTO NACIONAL'!D51&lt;&gt;"",'PRODUCTO NACIONAL'!D51,"")</f>
        <v/>
      </c>
      <c r="E53" s="194" t="str">
        <f>IF('PRODUCTO NACIONAL'!H51&lt;&gt;"",'PRODUCTO NACIONAL'!H51,"")</f>
        <v/>
      </c>
      <c r="F53" s="195" t="str">
        <f>IF('PRODUCTO NACIONAL'!F51&lt;&gt;"",'PRODUCTO NACIONAL'!F51,"")</f>
        <v>CIERRE POLIESTER 3 FIJO 30CM SENCILLO</v>
      </c>
      <c r="G53" s="194" t="str">
        <f>IF('PRODUCTO NACIONAL'!E51&lt;&gt;"",'PRODUCTO NACIONAL'!E51,"")</f>
        <v/>
      </c>
      <c r="H53" s="194" t="str">
        <f>IF('PRODUCTO NACIONAL'!G51&lt;&gt;"",'PRODUCTO NACIONAL'!G51,"")</f>
        <v>UNIDAD</v>
      </c>
      <c r="I53" s="194" t="str">
        <f>IF('PRODUCTO NACIONAL'!T51&lt;&gt;"",'PRODUCTO NACIONAL'!T51,"")</f>
        <v/>
      </c>
      <c r="J53" s="196" t="str">
        <f>IF('PRODUCTO NACIONAL'!U51&lt;&gt;"",'PRODUCTO NACIONAL'!U51,"")</f>
        <v/>
      </c>
      <c r="K53" s="197" t="str">
        <f>IF('PRODUCTO NACIONAL'!V51&lt;&gt;"",'PRODUCTO NACIONAL'!V51,"")</f>
        <v/>
      </c>
      <c r="L53" s="197">
        <f>IF('PRODUCTO NACIONAL'!W51&lt;&gt;"",'PRODUCTO NACIONAL'!W51,"")</f>
        <v>0.4</v>
      </c>
    </row>
    <row r="54" spans="1:12" x14ac:dyDescent="0.3">
      <c r="A54" s="193" t="str">
        <f>IF('PRODUCTO NACIONAL'!A52&lt;&gt;"",'PRODUCTO NACIONAL'!A52,"")</f>
        <v>M49</v>
      </c>
      <c r="B54" s="193"/>
      <c r="C54" s="194" t="str">
        <f>IF('PRODUCTO NACIONAL'!C52&lt;&gt;"",'PRODUCTO NACIONAL'!C52,"")</f>
        <v>CIERRE</v>
      </c>
      <c r="D54" s="194" t="str">
        <f>IF('PRODUCTO NACIONAL'!D52&lt;&gt;"",'PRODUCTO NACIONAL'!D52,"")</f>
        <v/>
      </c>
      <c r="E54" s="194" t="str">
        <f>IF('PRODUCTO NACIONAL'!H52&lt;&gt;"",'PRODUCTO NACIONAL'!H52,"")</f>
        <v/>
      </c>
      <c r="F54" s="195" t="str">
        <f>IF('PRODUCTO NACIONAL'!F52&lt;&gt;"",'PRODUCTO NACIONAL'!F52,"")</f>
        <v>CIERRE POLIESTER 3 FIJO 35CM SENCILLO</v>
      </c>
      <c r="G54" s="194" t="str">
        <f>IF('PRODUCTO NACIONAL'!E52&lt;&gt;"",'PRODUCTO NACIONAL'!E52,"")</f>
        <v/>
      </c>
      <c r="H54" s="194" t="str">
        <f>IF('PRODUCTO NACIONAL'!G52&lt;&gt;"",'PRODUCTO NACIONAL'!G52,"")</f>
        <v>UNIDAD</v>
      </c>
      <c r="I54" s="194" t="str">
        <f>IF('PRODUCTO NACIONAL'!T52&lt;&gt;"",'PRODUCTO NACIONAL'!T52,"")</f>
        <v/>
      </c>
      <c r="J54" s="196" t="str">
        <f>IF('PRODUCTO NACIONAL'!U52&lt;&gt;"",'PRODUCTO NACIONAL'!U52,"")</f>
        <v/>
      </c>
      <c r="K54" s="197" t="str">
        <f>IF('PRODUCTO NACIONAL'!V52&lt;&gt;"",'PRODUCTO NACIONAL'!V52,"")</f>
        <v/>
      </c>
      <c r="L54" s="197">
        <f>IF('PRODUCTO NACIONAL'!W52&lt;&gt;"",'PRODUCTO NACIONAL'!W52,"")</f>
        <v>0.45</v>
      </c>
    </row>
    <row r="55" spans="1:12" x14ac:dyDescent="0.3">
      <c r="A55" s="193" t="str">
        <f>IF('PRODUCTO NACIONAL'!A53&lt;&gt;"",'PRODUCTO NACIONAL'!A53,"")</f>
        <v>M50</v>
      </c>
      <c r="B55" s="193"/>
      <c r="C55" s="194" t="str">
        <f>IF('PRODUCTO NACIONAL'!C53&lt;&gt;"",'PRODUCTO NACIONAL'!C53,"")</f>
        <v>CIERRE</v>
      </c>
      <c r="D55" s="194" t="str">
        <f>IF('PRODUCTO NACIONAL'!D53&lt;&gt;"",'PRODUCTO NACIONAL'!D53,"")</f>
        <v/>
      </c>
      <c r="E55" s="194" t="str">
        <f>IF('PRODUCTO NACIONAL'!H53&lt;&gt;"",'PRODUCTO NACIONAL'!H53,"")</f>
        <v/>
      </c>
      <c r="F55" s="195" t="str">
        <f>IF('PRODUCTO NACIONAL'!F53&lt;&gt;"",'PRODUCTO NACIONAL'!F53,"")</f>
        <v>CIERRE POLIESTER 5 DESPLEGABLE 40CM</v>
      </c>
      <c r="G55" s="194" t="str">
        <f>IF('PRODUCTO NACIONAL'!E53&lt;&gt;"",'PRODUCTO NACIONAL'!E53,"")</f>
        <v/>
      </c>
      <c r="H55" s="194" t="str">
        <f>IF('PRODUCTO NACIONAL'!G53&lt;&gt;"",'PRODUCTO NACIONAL'!G53,"")</f>
        <v>UNIDAD</v>
      </c>
      <c r="I55" s="194" t="str">
        <f>IF('PRODUCTO NACIONAL'!T53&lt;&gt;"",'PRODUCTO NACIONAL'!T53,"")</f>
        <v/>
      </c>
      <c r="J55" s="196" t="str">
        <f>IF('PRODUCTO NACIONAL'!U53&lt;&gt;"",'PRODUCTO NACIONAL'!U53,"")</f>
        <v/>
      </c>
      <c r="K55" s="197" t="str">
        <f>IF('PRODUCTO NACIONAL'!V53&lt;&gt;"",'PRODUCTO NACIONAL'!V53,"")</f>
        <v/>
      </c>
      <c r="L55" s="197">
        <f>IF('PRODUCTO NACIONAL'!W53&lt;&gt;"",'PRODUCTO NACIONAL'!W53,"")</f>
        <v>0.5</v>
      </c>
    </row>
    <row r="56" spans="1:12" x14ac:dyDescent="0.3">
      <c r="A56" s="193" t="str">
        <f>IF('PRODUCTO NACIONAL'!A54&lt;&gt;"",'PRODUCTO NACIONAL'!A54,"")</f>
        <v>M51</v>
      </c>
      <c r="B56" s="193"/>
      <c r="C56" s="194" t="str">
        <f>IF('PRODUCTO NACIONAL'!C54&lt;&gt;"",'PRODUCTO NACIONAL'!C54,"")</f>
        <v>CIERRE</v>
      </c>
      <c r="D56" s="194" t="str">
        <f>IF('PRODUCTO NACIONAL'!D54&lt;&gt;"",'PRODUCTO NACIONAL'!D54,"")</f>
        <v/>
      </c>
      <c r="E56" s="194" t="str">
        <f>IF('PRODUCTO NACIONAL'!H54&lt;&gt;"",'PRODUCTO NACIONAL'!H54,"")</f>
        <v/>
      </c>
      <c r="F56" s="195" t="str">
        <f>IF('PRODUCTO NACIONAL'!F54&lt;&gt;"",'PRODUCTO NACIONAL'!F54,"")</f>
        <v>CIERRE PLASTICO 5 DESPLEGABLE 65CM</v>
      </c>
      <c r="G56" s="194" t="str">
        <f>IF('PRODUCTO NACIONAL'!E54&lt;&gt;"",'PRODUCTO NACIONAL'!E54,"")</f>
        <v/>
      </c>
      <c r="H56" s="194" t="str">
        <f>IF('PRODUCTO NACIONAL'!G54&lt;&gt;"",'PRODUCTO NACIONAL'!G54,"")</f>
        <v>UNIDAD</v>
      </c>
      <c r="I56" s="194" t="str">
        <f>IF('PRODUCTO NACIONAL'!T54&lt;&gt;"",'PRODUCTO NACIONAL'!T54,"")</f>
        <v/>
      </c>
      <c r="J56" s="196" t="str">
        <f>IF('PRODUCTO NACIONAL'!U54&lt;&gt;"",'PRODUCTO NACIONAL'!U54,"")</f>
        <v/>
      </c>
      <c r="K56" s="197" t="str">
        <f>IF('PRODUCTO NACIONAL'!V54&lt;&gt;"",'PRODUCTO NACIONAL'!V54,"")</f>
        <v/>
      </c>
      <c r="L56" s="197">
        <f>IF('PRODUCTO NACIONAL'!W54&lt;&gt;"",'PRODUCTO NACIONAL'!W54,"")</f>
        <v>0.7</v>
      </c>
    </row>
    <row r="57" spans="1:12" x14ac:dyDescent="0.3">
      <c r="A57" s="193" t="str">
        <f>IF('PRODUCTO NACIONAL'!A55&lt;&gt;"",'PRODUCTO NACIONAL'!A55,"")</f>
        <v>M52</v>
      </c>
      <c r="B57" s="193"/>
      <c r="C57" s="194" t="str">
        <f>IF('PRODUCTO NACIONAL'!C55&lt;&gt;"",'PRODUCTO NACIONAL'!C55,"")</f>
        <v>CIERRE</v>
      </c>
      <c r="D57" s="194" t="str">
        <f>IF('PRODUCTO NACIONAL'!D55&lt;&gt;"",'PRODUCTO NACIONAL'!D55,"")</f>
        <v/>
      </c>
      <c r="E57" s="194" t="str">
        <f>IF('PRODUCTO NACIONAL'!H55&lt;&gt;"",'PRODUCTO NACIONAL'!H55,"")</f>
        <v/>
      </c>
      <c r="F57" s="195" t="str">
        <f>IF('PRODUCTO NACIONAL'!F55&lt;&gt;"",'PRODUCTO NACIONAL'!F55,"")</f>
        <v>CIERRE POLIESTER 5 DESPLEGABLE 70CM</v>
      </c>
      <c r="G57" s="194" t="str">
        <f>IF('PRODUCTO NACIONAL'!E55&lt;&gt;"",'PRODUCTO NACIONAL'!E55,"")</f>
        <v/>
      </c>
      <c r="H57" s="194" t="str">
        <f>IF('PRODUCTO NACIONAL'!G55&lt;&gt;"",'PRODUCTO NACIONAL'!G55,"")</f>
        <v>UNIDAD</v>
      </c>
      <c r="I57" s="194" t="str">
        <f>IF('PRODUCTO NACIONAL'!T55&lt;&gt;"",'PRODUCTO NACIONAL'!T55,"")</f>
        <v/>
      </c>
      <c r="J57" s="196" t="str">
        <f>IF('PRODUCTO NACIONAL'!U55&lt;&gt;"",'PRODUCTO NACIONAL'!U55,"")</f>
        <v/>
      </c>
      <c r="K57" s="197" t="str">
        <f>IF('PRODUCTO NACIONAL'!V55&lt;&gt;"",'PRODUCTO NACIONAL'!V55,"")</f>
        <v/>
      </c>
      <c r="L57" s="197">
        <f>IF('PRODUCTO NACIONAL'!W55&lt;&gt;"",'PRODUCTO NACIONAL'!W55,"")</f>
        <v>1</v>
      </c>
    </row>
    <row r="58" spans="1:12" x14ac:dyDescent="0.3">
      <c r="A58" s="193" t="str">
        <f>IF('PRODUCTO NACIONAL'!A56&lt;&gt;"",'PRODUCTO NACIONAL'!A56,"")</f>
        <v>M53</v>
      </c>
      <c r="B58" s="193"/>
      <c r="C58" s="194" t="str">
        <f>IF('PRODUCTO NACIONAL'!C56&lt;&gt;"",'PRODUCTO NACIONAL'!C56,"")</f>
        <v>CIERRE</v>
      </c>
      <c r="D58" s="194" t="str">
        <f>IF('PRODUCTO NACIONAL'!D56&lt;&gt;"",'PRODUCTO NACIONAL'!D56,"")</f>
        <v/>
      </c>
      <c r="E58" s="194" t="str">
        <f>IF('PRODUCTO NACIONAL'!H56&lt;&gt;"",'PRODUCTO NACIONAL'!H56,"")</f>
        <v/>
      </c>
      <c r="F58" s="195" t="str">
        <f>IF('PRODUCTO NACIONAL'!F56&lt;&gt;"",'PRODUCTO NACIONAL'!F56,"")</f>
        <v>CIERRE METAL 5 DESPLEGABLE 75CM</v>
      </c>
      <c r="G58" s="194" t="str">
        <f>IF('PRODUCTO NACIONAL'!E56&lt;&gt;"",'PRODUCTO NACIONAL'!E56,"")</f>
        <v/>
      </c>
      <c r="H58" s="194" t="str">
        <f>IF('PRODUCTO NACIONAL'!G56&lt;&gt;"",'PRODUCTO NACIONAL'!G56,"")</f>
        <v>UNIDAD</v>
      </c>
      <c r="I58" s="194" t="str">
        <f>IF('PRODUCTO NACIONAL'!T56&lt;&gt;"",'PRODUCTO NACIONAL'!T56,"")</f>
        <v/>
      </c>
      <c r="J58" s="196" t="str">
        <f>IF('PRODUCTO NACIONAL'!U56&lt;&gt;"",'PRODUCTO NACIONAL'!U56,"")</f>
        <v/>
      </c>
      <c r="K58" s="197" t="str">
        <f>IF('PRODUCTO NACIONAL'!V56&lt;&gt;"",'PRODUCTO NACIONAL'!V56,"")</f>
        <v/>
      </c>
      <c r="L58" s="197">
        <f>IF('PRODUCTO NACIONAL'!W56&lt;&gt;"",'PRODUCTO NACIONAL'!W56,"")</f>
        <v>1.75</v>
      </c>
    </row>
    <row r="59" spans="1:12" x14ac:dyDescent="0.3">
      <c r="A59" s="193" t="str">
        <f>IF('PRODUCTO NACIONAL'!A57&lt;&gt;"",'PRODUCTO NACIONAL'!A57,"")</f>
        <v>M54</v>
      </c>
      <c r="B59" s="193"/>
      <c r="C59" s="194" t="str">
        <f>IF('PRODUCTO NACIONAL'!C57&lt;&gt;"",'PRODUCTO NACIONAL'!C57,"")</f>
        <v>CIERRE</v>
      </c>
      <c r="D59" s="194" t="str">
        <f>IF('PRODUCTO NACIONAL'!D57&lt;&gt;"",'PRODUCTO NACIONAL'!D57,"")</f>
        <v/>
      </c>
      <c r="E59" s="194" t="str">
        <f>IF('PRODUCTO NACIONAL'!H57&lt;&gt;"",'PRODUCTO NACIONAL'!H57,"")</f>
        <v/>
      </c>
      <c r="F59" s="195" t="str">
        <f>IF('PRODUCTO NACIONAL'!F57&lt;&gt;"",'PRODUCTO NACIONAL'!F57,"")</f>
        <v>CIERRE INVISIBLE POLIESTER 5 DESPLEGABLE 80CM</v>
      </c>
      <c r="G59" s="194" t="str">
        <f>IF('PRODUCTO NACIONAL'!E57&lt;&gt;"",'PRODUCTO NACIONAL'!E57,"")</f>
        <v/>
      </c>
      <c r="H59" s="194" t="str">
        <f>IF('PRODUCTO NACIONAL'!G57&lt;&gt;"",'PRODUCTO NACIONAL'!G57,"")</f>
        <v>UNIDAD</v>
      </c>
      <c r="I59" s="194" t="str">
        <f>IF('PRODUCTO NACIONAL'!T57&lt;&gt;"",'PRODUCTO NACIONAL'!T57,"")</f>
        <v/>
      </c>
      <c r="J59" s="196" t="str">
        <f>IF('PRODUCTO NACIONAL'!U57&lt;&gt;"",'PRODUCTO NACIONAL'!U57,"")</f>
        <v/>
      </c>
      <c r="K59" s="197" t="str">
        <f>IF('PRODUCTO NACIONAL'!V57&lt;&gt;"",'PRODUCTO NACIONAL'!V57,"")</f>
        <v/>
      </c>
      <c r="L59" s="197">
        <f>IF('PRODUCTO NACIONAL'!W57&lt;&gt;"",'PRODUCTO NACIONAL'!W57,"")</f>
        <v>1.5</v>
      </c>
    </row>
    <row r="60" spans="1:12" x14ac:dyDescent="0.3">
      <c r="A60" s="27" t="str">
        <f>IF('PRODUCTO NACIONAL'!A5&lt;&gt;"",'PRODUCTO NACIONAL'!A5,"")</f>
        <v>M2</v>
      </c>
      <c r="B60" s="27"/>
      <c r="C60" s="3" t="str">
        <f>IF('PRODUCTO NACIONAL'!C5&lt;&gt;"",'PRODUCTO NACIONAL'!C5,"")</f>
        <v>CORDON</v>
      </c>
      <c r="D60" s="3" t="str">
        <f>IF('PRODUCTO NACIONAL'!D5&lt;&gt;"",'PRODUCTO NACIONAL'!D5,"")</f>
        <v>20mm</v>
      </c>
      <c r="E60" s="3">
        <f>IF('PRODUCTO NACIONAL'!H5&lt;&gt;"",'PRODUCTO NACIONAL'!H5,"")</f>
        <v>100</v>
      </c>
      <c r="F60" s="48" t="str">
        <f>IF('PRODUCTO NACIONAL'!AO13&lt;&gt;"",'PRODUCTO NACIONAL'!AO13,"")</f>
        <v>CORDON POLI RIGIDO UMBRO 20mm COLORES</v>
      </c>
      <c r="G60" s="3" t="str">
        <f>IF('PRODUCTO NACIONAL'!E5&lt;&gt;"",'PRODUCTO NACIONAL'!E5,"")</f>
        <v>NORMAL</v>
      </c>
      <c r="H60" s="3" t="str">
        <f>IF('PRODUCTO NACIONAL'!G5&lt;&gt;"",'PRODUCTO NACIONAL'!G5,"")</f>
        <v>CARRETE</v>
      </c>
      <c r="I60" s="3">
        <f>IF('PRODUCTO NACIONAL'!T5&lt;&gt;"",'PRODUCTO NACIONAL'!T5,"")</f>
        <v>0.2</v>
      </c>
      <c r="J60" s="169">
        <f>IF('PRODUCTO NACIONAL'!U5&lt;&gt;"",'PRODUCTO NACIONAL'!U5,"")</f>
        <v>7.5</v>
      </c>
      <c r="K60" s="20">
        <f>IF('PRODUCTO NACIONAL'!V5&lt;&gt;"",'PRODUCTO NACIONAL'!V5,"")</f>
        <v>7.7</v>
      </c>
      <c r="L60" s="20">
        <f>IF('PRODUCTO NACIONAL'!W5&lt;&gt;"",'PRODUCTO NACIONAL'!W5,"")</f>
        <v>7.8</v>
      </c>
    </row>
    <row r="61" spans="1:12" x14ac:dyDescent="0.3">
      <c r="A61" s="65" t="str">
        <f>IF('PRODUCTO NACIONAL'!A23&lt;&gt;"",'PRODUCTO NACIONAL'!A23,"")</f>
        <v>M20</v>
      </c>
      <c r="B61" s="65"/>
      <c r="C61" s="66" t="str">
        <f>IF('PRODUCTO NACIONAL'!C23&lt;&gt;"",'PRODUCTO NACIONAL'!C23,"")</f>
        <v>ELASTICO</v>
      </c>
      <c r="D61" s="66" t="str">
        <f>IF('PRODUCTO NACIONAL'!D23&lt;&gt;"",'PRODUCTO NACIONAL'!D23,"")</f>
        <v>4cm</v>
      </c>
      <c r="E61" s="66">
        <f>IF('PRODUCTO NACIONAL'!H23&lt;&gt;"",'PRODUCTO NACIONAL'!H23,"")</f>
        <v>45</v>
      </c>
      <c r="F61" s="67" t="str">
        <f>IF('PRODUCTO NACIONAL'!F23&lt;&gt;"",'PRODUCTO NACIONAL'!F23,"")</f>
        <v>ELASTICO LLANO NORMAL 40mm CRUDO 45metros</v>
      </c>
      <c r="G61" s="66" t="str">
        <f>IF('PRODUCTO NACIONAL'!E23&lt;&gt;"",'PRODUCTO NACIONAL'!E23,"")</f>
        <v>normal</v>
      </c>
      <c r="H61" s="66" t="str">
        <f>IF('PRODUCTO NACIONAL'!G23&lt;&gt;"",'PRODUCTO NACIONAL'!G23,"")</f>
        <v>METRO</v>
      </c>
      <c r="I61" s="66">
        <f>IF('PRODUCTO NACIONAL'!T23&lt;&gt;"",'PRODUCTO NACIONAL'!T23,"")</f>
        <v>0.25</v>
      </c>
      <c r="J61" s="208" t="str">
        <f>IF('PRODUCTO NACIONAL'!U23&lt;&gt;"",'PRODUCTO NACIONAL'!U23,"")</f>
        <v/>
      </c>
      <c r="K61" s="68" t="str">
        <f>IF('PRODUCTO NACIONAL'!V23&lt;&gt;"",'PRODUCTO NACIONAL'!V23,"")</f>
        <v/>
      </c>
      <c r="L61" s="68">
        <f>IF('PRODUCTO NACIONAL'!W23&lt;&gt;"",'PRODUCTO NACIONAL'!W23,"")</f>
        <v>7</v>
      </c>
    </row>
    <row r="62" spans="1:12" x14ac:dyDescent="0.3">
      <c r="A62" s="65" t="str">
        <f>IF('PRODUCTO NACIONAL'!A47&lt;&gt;"",'PRODUCTO NACIONAL'!A47,"")</f>
        <v>M44</v>
      </c>
      <c r="B62" s="65"/>
      <c r="C62" s="66" t="str">
        <f>IF('PRODUCTO NACIONAL'!C47&lt;&gt;"",'PRODUCTO NACIONAL'!C47,"")</f>
        <v>ELASTICO</v>
      </c>
      <c r="D62" s="66" t="str">
        <f>IF('PRODUCTO NACIONAL'!D47&lt;&gt;"",'PRODUCTO NACIONAL'!D47,"")</f>
        <v>8cm</v>
      </c>
      <c r="E62" s="66">
        <f>IF('PRODUCTO NACIONAL'!H47&lt;&gt;"",'PRODUCTO NACIONAL'!H47,"")</f>
        <v>45</v>
      </c>
      <c r="F62" s="67" t="str">
        <f>IF('PRODUCTO NACIONAL'!F47&lt;&gt;"",'PRODUCTO NACIONAL'!F47,"")</f>
        <v>ELASTICO LLANO NORMAL 80mm CRUDO 45metros</v>
      </c>
      <c r="G62" s="66" t="str">
        <f>IF('PRODUCTO NACIONAL'!E47&lt;&gt;"",'PRODUCTO NACIONAL'!E47,"")</f>
        <v/>
      </c>
      <c r="H62" s="66" t="str">
        <f>IF('PRODUCTO NACIONAL'!G47&lt;&gt;"",'PRODUCTO NACIONAL'!G47,"")</f>
        <v>CARRETE</v>
      </c>
      <c r="I62" s="66">
        <f>IF('PRODUCTO NACIONAL'!T47&lt;&gt;"",'PRODUCTO NACIONAL'!T47,"")</f>
        <v>0.75</v>
      </c>
      <c r="J62" s="208" t="str">
        <f>IF('PRODUCTO NACIONAL'!U47&lt;&gt;"",'PRODUCTO NACIONAL'!U47,"")</f>
        <v/>
      </c>
      <c r="K62" s="68" t="str">
        <f>IF('PRODUCTO NACIONAL'!V47&lt;&gt;"",'PRODUCTO NACIONAL'!V47,"")</f>
        <v/>
      </c>
      <c r="L62" s="68">
        <f>IF('PRODUCTO NACIONAL'!W47&lt;&gt;"",'PRODUCTO NACIONAL'!W47,"")</f>
        <v>17</v>
      </c>
    </row>
    <row r="63" spans="1:12" x14ac:dyDescent="0.3">
      <c r="A63" s="65" t="str">
        <f>IF('PRODUCTO NACIONAL'!A48&lt;&gt;"",'PRODUCTO NACIONAL'!A48,"")</f>
        <v>M45</v>
      </c>
      <c r="B63" s="65"/>
      <c r="C63" s="66" t="str">
        <f>IF('PRODUCTO NACIONAL'!C48&lt;&gt;"",'PRODUCTO NACIONAL'!C48,"")</f>
        <v>ELASTICO</v>
      </c>
      <c r="D63" s="66" t="str">
        <f>IF('PRODUCTO NACIONAL'!D48&lt;&gt;"",'PRODUCTO NACIONAL'!D48,"")</f>
        <v>1.9cm</v>
      </c>
      <c r="E63" s="66">
        <f>IF('PRODUCTO NACIONAL'!H48&lt;&gt;"",'PRODUCTO NACIONAL'!H48,"")</f>
        <v>45</v>
      </c>
      <c r="F63" s="67" t="str">
        <f>IF('PRODUCTO NACIONAL'!F48&lt;&gt;"",'PRODUCTO NACIONAL'!F48,"")</f>
        <v>ELASTICO LLANO REFORZADO 19mm CRUDO 45metros</v>
      </c>
      <c r="G63" s="66" t="str">
        <f>IF('PRODUCTO NACIONAL'!E48&lt;&gt;"",'PRODUCTO NACIONAL'!E48,"")</f>
        <v/>
      </c>
      <c r="H63" s="66" t="str">
        <f>IF('PRODUCTO NACIONAL'!G48&lt;&gt;"",'PRODUCTO NACIONAL'!G48,"")</f>
        <v>CARRETE</v>
      </c>
      <c r="I63" s="66">
        <f>IF('PRODUCTO NACIONAL'!T48&lt;&gt;"",'PRODUCTO NACIONAL'!T48,"")</f>
        <v>0.2</v>
      </c>
      <c r="J63" s="208" t="str">
        <f>IF('PRODUCTO NACIONAL'!U48&lt;&gt;"",'PRODUCTO NACIONAL'!U48,"")</f>
        <v/>
      </c>
      <c r="K63" s="68" t="str">
        <f>IF('PRODUCTO NACIONAL'!V48&lt;&gt;"",'PRODUCTO NACIONAL'!V48,"")</f>
        <v/>
      </c>
      <c r="L63" s="68">
        <f>IF('PRODUCTO NACIONAL'!W48&lt;&gt;"",'PRODUCTO NACIONAL'!W48,"")</f>
        <v>6</v>
      </c>
    </row>
    <row r="64" spans="1:12" x14ac:dyDescent="0.3">
      <c r="A64" s="27" t="str">
        <f>IF('PRODUCTO NACIONAL'!A45&lt;&gt;"",'PRODUCTO NACIONAL'!A45,"")</f>
        <v>M42</v>
      </c>
      <c r="B64" s="27"/>
      <c r="C64" s="3" t="str">
        <f>IF('PRODUCTO NACIONAL'!C45&lt;&gt;"",'PRODUCTO NACIONAL'!C45,"")</f>
        <v>HILO</v>
      </c>
      <c r="D64" s="3" t="str">
        <f>IF('PRODUCTO NACIONAL'!D45&lt;&gt;"",'PRODUCTO NACIONAL'!D45,"")</f>
        <v/>
      </c>
      <c r="E64" s="3" t="str">
        <f>IF('PRODUCTO NACIONAL'!H45&lt;&gt;"",'PRODUCTO NACIONAL'!H45,"")</f>
        <v/>
      </c>
      <c r="F64" s="48" t="str">
        <f>IF('PRODUCTO NACIONAL'!F45&lt;&gt;"",'PRODUCTO NACIONAL'!F45,"")</f>
        <v>HILOS DE 10000 YDS</v>
      </c>
      <c r="G64" s="3" t="str">
        <f>IF('PRODUCTO NACIONAL'!E45&lt;&gt;"",'PRODUCTO NACIONAL'!E45,"")</f>
        <v>CAJA</v>
      </c>
      <c r="H64" s="3" t="str">
        <f>IF('PRODUCTO NACIONAL'!G45&lt;&gt;"",'PRODUCTO NACIONAL'!G45,"")</f>
        <v>UNIDAD</v>
      </c>
      <c r="I64" s="3" t="str">
        <f>IF('PRODUCTO NACIONAL'!T45&lt;&gt;"",'PRODUCTO NACIONAL'!T45,"")</f>
        <v/>
      </c>
      <c r="J64" s="169" t="str">
        <f>IF('PRODUCTO NACIONAL'!U45&lt;&gt;"",'PRODUCTO NACIONAL'!U45,"")</f>
        <v/>
      </c>
      <c r="K64" s="20" t="str">
        <f>IF('PRODUCTO NACIONAL'!V45&lt;&gt;"",'PRODUCTO NACIONAL'!V45,"")</f>
        <v/>
      </c>
      <c r="L64" s="20">
        <f>IF('PRODUCTO NACIONAL'!W45&lt;&gt;"",'PRODUCTO NACIONAL'!W45,"")</f>
        <v>3</v>
      </c>
    </row>
    <row r="65" spans="1:12" x14ac:dyDescent="0.3">
      <c r="A65" s="27" t="str">
        <f>IF('PRODUCTO NACIONAL'!A46&lt;&gt;"",'PRODUCTO NACIONAL'!A46,"")</f>
        <v>M43</v>
      </c>
      <c r="B65" s="27"/>
      <c r="C65" s="3" t="str">
        <f>IF('PRODUCTO NACIONAL'!C46&lt;&gt;"",'PRODUCTO NACIONAL'!C46,"")</f>
        <v>PELLON</v>
      </c>
      <c r="D65" s="3" t="str">
        <f>IF('PRODUCTO NACIONAL'!D46&lt;&gt;"",'PRODUCTO NACIONAL'!D46,"")</f>
        <v/>
      </c>
      <c r="E65" s="3" t="str">
        <f>IF('PRODUCTO NACIONAL'!H46&lt;&gt;"",'PRODUCTO NACIONAL'!H46,"")</f>
        <v/>
      </c>
      <c r="F65" s="48" t="str">
        <f>IF('PRODUCTO NACIONAL'!F46&lt;&gt;"",'PRODUCTO NACIONAL'!F46,"")</f>
        <v>PELLON PEGABLE FINO 70GSM|150cmX100m</v>
      </c>
      <c r="G65" s="3" t="str">
        <f>IF('PRODUCTO NACIONAL'!E46&lt;&gt;"",'PRODUCTO NACIONAL'!E46,"")</f>
        <v>ROLLO</v>
      </c>
      <c r="H65" s="3" t="str">
        <f>IF('PRODUCTO NACIONAL'!G46&lt;&gt;"",'PRODUCTO NACIONAL'!G46,"")</f>
        <v>METRO</v>
      </c>
      <c r="I65" s="3" t="str">
        <f>IF('PRODUCTO NACIONAL'!T46&lt;&gt;"",'PRODUCTO NACIONAL'!T46,"")</f>
        <v/>
      </c>
      <c r="J65" s="169" t="str">
        <f>IF('PRODUCTO NACIONAL'!U46&lt;&gt;"",'PRODUCTO NACIONAL'!U46,"")</f>
        <v/>
      </c>
      <c r="K65" s="20" t="str">
        <f>IF('PRODUCTO NACIONAL'!V46&lt;&gt;"",'PRODUCTO NACIONAL'!V46,"")</f>
        <v/>
      </c>
      <c r="L65" s="20">
        <f>IF('PRODUCTO NACIONAL'!W46&lt;&gt;"",'PRODUCTO NACIONAL'!W46,"")</f>
        <v>2.5</v>
      </c>
    </row>
    <row r="66" spans="1:12" x14ac:dyDescent="0.3">
      <c r="A66" s="222" t="str">
        <f>IF('PRODUCTO NACIONAL'!A58&lt;&gt;"",'PRODUCTO NACIONAL'!A58,"")</f>
        <v>M55</v>
      </c>
      <c r="B66" s="222"/>
      <c r="C66" s="223" t="str">
        <f>IF('PRODUCTO NACIONAL'!C58&lt;&gt;"",'PRODUCTO NACIONAL'!C58,"")</f>
        <v>PLUMON</v>
      </c>
      <c r="D66" s="223" t="str">
        <f>IF('PRODUCTO NACIONAL'!D58&lt;&gt;"",'PRODUCTO NACIONAL'!D58,"")</f>
        <v/>
      </c>
      <c r="E66" s="223" t="str">
        <f>IF('PRODUCTO NACIONAL'!H58&lt;&gt;"",'PRODUCTO NACIONAL'!H58,"")</f>
        <v/>
      </c>
      <c r="F66" s="224" t="str">
        <f>IF('PRODUCTO NACIONAL'!F58&lt;&gt;"",'PRODUCTO NACIONAL'!F58,"")</f>
        <v>PLUMON (FUNDA)</v>
      </c>
      <c r="G66" s="223" t="str">
        <f>IF('PRODUCTO NACIONAL'!E58&lt;&gt;"",'PRODUCTO NACIONAL'!E58,"")</f>
        <v>KILO</v>
      </c>
      <c r="H66" s="223" t="str">
        <f>IF('PRODUCTO NACIONAL'!G58&lt;&gt;"",'PRODUCTO NACIONAL'!G58,"")</f>
        <v>KILO</v>
      </c>
      <c r="I66" s="223" t="str">
        <f>IF('PRODUCTO NACIONAL'!T58&lt;&gt;"",'PRODUCTO NACIONAL'!T58,"")</f>
        <v/>
      </c>
      <c r="J66" s="225" t="str">
        <f>IF('PRODUCTO NACIONAL'!U58&lt;&gt;"",'PRODUCTO NACIONAL'!U58,"")</f>
        <v/>
      </c>
      <c r="K66" s="226" t="str">
        <f>IF('PRODUCTO NACIONAL'!V58&lt;&gt;"",'PRODUCTO NACIONAL'!V58,"")</f>
        <v/>
      </c>
      <c r="L66" s="226">
        <f>IF('PRODUCTO NACIONAL'!W58&lt;&gt;"",'PRODUCTO NACIONAL'!W58,"")</f>
        <v>8.5</v>
      </c>
    </row>
    <row r="67" spans="1:12" x14ac:dyDescent="0.3">
      <c r="A67" s="27" t="str">
        <f>IF('PRODUCTO NACIONAL'!A60&lt;&gt;"",'PRODUCTO NACIONAL'!A60,"")</f>
        <v>M57</v>
      </c>
      <c r="B67" s="27"/>
      <c r="C67" s="3" t="str">
        <f>IF('PRODUCTO NACIONAL'!C60&lt;&gt;"",'PRODUCTO NACIONAL'!C60,"")</f>
        <v>REATA</v>
      </c>
      <c r="D67" s="3" t="str">
        <f>IF('PRODUCTO NACIONAL'!D60&lt;&gt;"",'PRODUCTO NACIONAL'!D60,"")</f>
        <v>1cm</v>
      </c>
      <c r="E67" s="3">
        <f>IF('PRODUCTO NACIONAL'!H60&lt;&gt;"",'PRODUCTO NACIONAL'!H60,"")</f>
        <v>91</v>
      </c>
      <c r="F67" s="48" t="str">
        <f>IF('PRODUCTO NACIONAL'!F60&lt;&gt;"",'PRODUCTO NACIONAL'!F60,"")</f>
        <v>Reata hiladilla Po 10mm de colores + carretes plásticos de 91m</v>
      </c>
      <c r="G67" s="3" t="str">
        <f>IF('PRODUCTO NACIONAL'!E60&lt;&gt;"",'PRODUCTO NACIONAL'!E60,"")</f>
        <v/>
      </c>
      <c r="H67" s="3" t="str">
        <f>IF('PRODUCTO NACIONAL'!G60&lt;&gt;"",'PRODUCTO NACIONAL'!G60,"")</f>
        <v>CARRETE</v>
      </c>
      <c r="I67" s="3">
        <f>IF('PRODUCTO NACIONAL'!T60&lt;&gt;"",'PRODUCTO NACIONAL'!T60,"")</f>
        <v>0.2</v>
      </c>
      <c r="J67" s="169" t="str">
        <f>IF('PRODUCTO NACIONAL'!U60&lt;&gt;"",'PRODUCTO NACIONAL'!U60,"")</f>
        <v/>
      </c>
      <c r="K67" s="20" t="str">
        <f>IF('PRODUCTO NACIONAL'!V60&lt;&gt;"",'PRODUCTO NACIONAL'!V60,"")</f>
        <v/>
      </c>
      <c r="L67" s="20">
        <f>IF('PRODUCTO NACIONAL'!W60&lt;&gt;"",'PRODUCTO NACIONAL'!W60,"")</f>
        <v>12</v>
      </c>
    </row>
    <row r="68" spans="1:12" x14ac:dyDescent="0.3">
      <c r="A68" s="227" t="str">
        <f>IF('PRODUCTO NACIONAL'!A16&lt;&gt;"",'PRODUCTO NACIONAL'!A16,"")</f>
        <v>M13</v>
      </c>
      <c r="B68" s="227"/>
      <c r="C68" s="228" t="str">
        <f>IF('PRODUCTO NACIONAL'!C16&lt;&gt;"",'PRODUCTO NACIONAL'!C16,"")</f>
        <v>SESGO</v>
      </c>
      <c r="D68" s="228">
        <f>IF('PRODUCTO NACIONAL'!D16&lt;&gt;"",'PRODUCTO NACIONAL'!D16,"")</f>
        <v>1.2</v>
      </c>
      <c r="E68" s="228" t="str">
        <f>IF('PRODUCTO NACIONAL'!H16&lt;&gt;"",'PRODUCTO NACIONAL'!H16,"")</f>
        <v/>
      </c>
      <c r="F68" s="229" t="str">
        <f>IF('PRODUCTO NACIONAL'!F16&lt;&gt;"",'PRODUCTO NACIONAL'!F16,"")</f>
        <v>SESGO ANCHO CUELLO|SISA EN TELA ERNEST 1.7 ABIERTA</v>
      </c>
      <c r="G68" s="228" t="str">
        <f>IF('PRODUCTO NACIONAL'!E16&lt;&gt;"",'PRODUCTO NACIONAL'!E16,"")</f>
        <v>TUBULAR</v>
      </c>
      <c r="H68" s="228" t="str">
        <f>IF('PRODUCTO NACIONAL'!G16&lt;&gt;"",'PRODUCTO NACIONAL'!G16,"")</f>
        <v>METRO</v>
      </c>
      <c r="I68" s="228">
        <f>IF('PRODUCTO NACIONAL'!T16&lt;&gt;"",'PRODUCTO NACIONAL'!T16,"")</f>
        <v>5</v>
      </c>
      <c r="J68" s="230">
        <f>IF('PRODUCTO NACIONAL'!U16&lt;&gt;"",'PRODUCTO NACIONAL'!U16,"")</f>
        <v>4.8</v>
      </c>
      <c r="K68" s="231">
        <f>IF('PRODUCTO NACIONAL'!V16&lt;&gt;"",'PRODUCTO NACIONAL'!V16,"")</f>
        <v>4.8999999999999995</v>
      </c>
      <c r="L68" s="231">
        <f>IF('PRODUCTO NACIONAL'!W16&lt;&gt;"",'PRODUCTO NACIONAL'!W16,"")</f>
        <v>4.9999999999999991</v>
      </c>
    </row>
    <row r="69" spans="1:12" x14ac:dyDescent="0.3">
      <c r="A69" s="27"/>
      <c r="B69" s="27"/>
      <c r="C69" s="3"/>
      <c r="D69" s="3"/>
      <c r="E69" s="3"/>
      <c r="F69" s="48"/>
      <c r="G69" s="3"/>
      <c r="H69" s="3"/>
      <c r="I69" s="3"/>
      <c r="J69" s="238" t="s">
        <v>255</v>
      </c>
      <c r="K69" s="239" t="s">
        <v>254</v>
      </c>
      <c r="L69" s="239" t="s">
        <v>253</v>
      </c>
    </row>
    <row r="70" spans="1:12" x14ac:dyDescent="0.3">
      <c r="A70" s="203" t="str">
        <f>IF('PRODUCTO NACIONAL'!A14&lt;&gt;"",'PRODUCTO NACIONAL'!A14,"")</f>
        <v>M11</v>
      </c>
      <c r="B70" s="203"/>
      <c r="C70" s="204" t="str">
        <f>IF('PRODUCTO NACIONAL'!C14&lt;&gt;"",'PRODUCTO NACIONAL'!C14,"")</f>
        <v>IMPRESIÓN</v>
      </c>
      <c r="D70" s="204">
        <f>IF('PRODUCTO NACIONAL'!D14&lt;&gt;"",'PRODUCTO NACIONAL'!D14,"")</f>
        <v>1.8</v>
      </c>
      <c r="E70" s="204" t="str">
        <f>IF('PRODUCTO NACIONAL'!H14&lt;&gt;"",'PRODUCTO NACIONAL'!H14,"")</f>
        <v/>
      </c>
      <c r="F70" s="205" t="str">
        <f>IF('PRODUCTO NACIONAL'!F14&lt;&gt;"",'PRODUCTO NACIONAL'!F14,"")</f>
        <v>IMPRESIÓN SIN DISEÑO, ANCHO 1.8X90gsm</v>
      </c>
      <c r="G70" s="204" t="str">
        <f>IF('PRODUCTO NACIONAL'!E14&lt;&gt;"",'PRODUCTO NACIONAL'!E14,"")</f>
        <v>ROLLO</v>
      </c>
      <c r="H70" s="204" t="str">
        <f>IF('PRODUCTO NACIONAL'!G14&lt;&gt;"",'PRODUCTO NACIONAL'!G14,"")</f>
        <v>METRO</v>
      </c>
      <c r="I70" s="204" t="str">
        <f>IF('PRODUCTO NACIONAL'!T14&lt;&gt;"",'PRODUCTO NACIONAL'!T14,"")</f>
        <v/>
      </c>
      <c r="J70" s="206">
        <f>IF('PRODUCTO NACIONAL'!U14&lt;&gt;"",'PRODUCTO NACIONAL'!U14,"")</f>
        <v>3.25</v>
      </c>
      <c r="K70" s="207">
        <f>IF('PRODUCTO NACIONAL'!V14&lt;&gt;"",'PRODUCTO NACIONAL'!V14,"")</f>
        <v>3.4</v>
      </c>
      <c r="L70" s="207">
        <f>IF('PRODUCTO NACIONAL'!W14&lt;&gt;"",'PRODUCTO NACIONAL'!W14,"")</f>
        <v>3.5</v>
      </c>
    </row>
    <row r="71" spans="1:12" x14ac:dyDescent="0.3">
      <c r="A71" s="203" t="str">
        <f>IF('PRODUCTO NACIONAL'!A29&lt;&gt;"",'PRODUCTO NACIONAL'!A29,"")</f>
        <v>M26</v>
      </c>
      <c r="B71" s="203"/>
      <c r="C71" s="204" t="str">
        <f>IF('PRODUCTO NACIONAL'!C29&lt;&gt;"",'PRODUCTO NACIONAL'!C29,"")</f>
        <v>IMPRESIÓN</v>
      </c>
      <c r="D71" s="204">
        <f>IF('PRODUCTO NACIONAL'!D29&lt;&gt;"",'PRODUCTO NACIONAL'!D29,"")</f>
        <v>1.1200000000000001</v>
      </c>
      <c r="E71" s="204" t="str">
        <f>IF('PRODUCTO NACIONAL'!H29&lt;&gt;"",'PRODUCTO NACIONAL'!H29,"")</f>
        <v/>
      </c>
      <c r="F71" s="205" t="str">
        <f>IF('PRODUCTO NACIONAL'!F29&lt;&gt;"",'PRODUCTO NACIONAL'!F29,"")</f>
        <v>IMPRESIÓN SIN DISEÑO, ANCHO 1.12mX90gsm</v>
      </c>
      <c r="G71" s="204" t="str">
        <f>IF('PRODUCTO NACIONAL'!E29&lt;&gt;"",'PRODUCTO NACIONAL'!E29,"")</f>
        <v/>
      </c>
      <c r="H71" s="204" t="str">
        <f>IF('PRODUCTO NACIONAL'!G29&lt;&gt;"",'PRODUCTO NACIONAL'!G29,"")</f>
        <v>METRO</v>
      </c>
      <c r="I71" s="204" t="str">
        <f>IF('PRODUCTO NACIONAL'!T29&lt;&gt;"",'PRODUCTO NACIONAL'!T29,"")</f>
        <v/>
      </c>
      <c r="J71" s="206">
        <f>IF('PRODUCTO NACIONAL'!U29&lt;&gt;"",'PRODUCTO NACIONAL'!U29,"")</f>
        <v>2.5</v>
      </c>
      <c r="K71" s="207">
        <f>IF('PRODUCTO NACIONAL'!V29&lt;&gt;"",'PRODUCTO NACIONAL'!V29,"")</f>
        <v>2.65</v>
      </c>
      <c r="L71" s="207">
        <f>IF('PRODUCTO NACIONAL'!W29&lt;&gt;"",'PRODUCTO NACIONAL'!W29,"")</f>
        <v>2.75</v>
      </c>
    </row>
    <row r="72" spans="1:12" x14ac:dyDescent="0.3">
      <c r="A72" s="203" t="str">
        <f>IF('PRODUCTO NACIONAL'!A35&lt;&gt;"",'PRODUCTO NACIONAL'!A35,"")</f>
        <v>M32</v>
      </c>
      <c r="B72" s="203"/>
      <c r="C72" s="204" t="str">
        <f>IF('PRODUCTO NACIONAL'!C35&lt;&gt;"",'PRODUCTO NACIONAL'!C35,"")</f>
        <v>IMPRESIÓN</v>
      </c>
      <c r="D72" s="204">
        <f>IF('PRODUCTO NACIONAL'!D35&lt;&gt;"",'PRODUCTO NACIONAL'!D35,"")</f>
        <v>1.62</v>
      </c>
      <c r="E72" s="204" t="str">
        <f>IF('PRODUCTO NACIONAL'!H35&lt;&gt;"",'PRODUCTO NACIONAL'!H35,"")</f>
        <v/>
      </c>
      <c r="F72" s="205" t="str">
        <f>IF('PRODUCTO NACIONAL'!F35&lt;&gt;"",'PRODUCTO NACIONAL'!F35,"")</f>
        <v>IMPRESIÓN SIN DISEÑO, ANCHO 1.62mX70gsm</v>
      </c>
      <c r="G72" s="204" t="str">
        <f>IF('PRODUCTO NACIONAL'!E35&lt;&gt;"",'PRODUCTO NACIONAL'!E35,"")</f>
        <v/>
      </c>
      <c r="H72" s="204" t="str">
        <f>IF('PRODUCTO NACIONAL'!G35&lt;&gt;"",'PRODUCTO NACIONAL'!G35,"")</f>
        <v>METRO</v>
      </c>
      <c r="I72" s="204" t="str">
        <f>IF('PRODUCTO NACIONAL'!T35&lt;&gt;"",'PRODUCTO NACIONAL'!T35,"")</f>
        <v/>
      </c>
      <c r="J72" s="206">
        <f>IF('PRODUCTO NACIONAL'!U35&lt;&gt;"",'PRODUCTO NACIONAL'!U35,"")</f>
        <v>3.1</v>
      </c>
      <c r="K72" s="207">
        <f>IF('PRODUCTO NACIONAL'!V35&lt;&gt;"",'PRODUCTO NACIONAL'!V35,"")</f>
        <v>3.25</v>
      </c>
      <c r="L72" s="207">
        <f>IF('PRODUCTO NACIONAL'!W35&lt;&gt;"",'PRODUCTO NACIONAL'!W35,"")</f>
        <v>3.35</v>
      </c>
    </row>
    <row r="73" spans="1:12" x14ac:dyDescent="0.3">
      <c r="A73" s="203" t="str">
        <f>IF('PRODUCTO NACIONAL'!A36&lt;&gt;"",'PRODUCTO NACIONAL'!A36,"")</f>
        <v>M33</v>
      </c>
      <c r="B73" s="203"/>
      <c r="C73" s="204" t="str">
        <f>IF('PRODUCTO NACIONAL'!C36&lt;&gt;"",'PRODUCTO NACIONAL'!C36,"")</f>
        <v>IMPRESIÓN</v>
      </c>
      <c r="D73" s="204">
        <f>IF('PRODUCTO NACIONAL'!D36&lt;&gt;"",'PRODUCTO NACIONAL'!D36,"")</f>
        <v>1.62</v>
      </c>
      <c r="E73" s="204" t="str">
        <f>IF('PRODUCTO NACIONAL'!H36&lt;&gt;"",'PRODUCTO NACIONAL'!H36,"")</f>
        <v/>
      </c>
      <c r="F73" s="205" t="str">
        <f>IF('PRODUCTO NACIONAL'!F36&lt;&gt;"",'PRODUCTO NACIONAL'!F36,"")</f>
        <v>IMPRESIÓN SIN DISEÑO ANCHO 1.62m x 90gsm</v>
      </c>
      <c r="G73" s="204" t="str">
        <f>IF('PRODUCTO NACIONAL'!E36&lt;&gt;"",'PRODUCTO NACIONAL'!E36,"")</f>
        <v/>
      </c>
      <c r="H73" s="204" t="str">
        <f>IF('PRODUCTO NACIONAL'!G36&lt;&gt;"",'PRODUCTO NACIONAL'!G36,"")</f>
        <v>METRO</v>
      </c>
      <c r="I73" s="204" t="str">
        <f>IF('PRODUCTO NACIONAL'!T36&lt;&gt;"",'PRODUCTO NACIONAL'!T36,"")</f>
        <v/>
      </c>
      <c r="J73" s="206">
        <f>IF('PRODUCTO NACIONAL'!U36&lt;&gt;"",'PRODUCTO NACIONAL'!U36,"")</f>
        <v>3.25</v>
      </c>
      <c r="K73" s="207">
        <f>IF('PRODUCTO NACIONAL'!V36&lt;&gt;"",'PRODUCTO NACIONAL'!V36,"")</f>
        <v>3.4</v>
      </c>
      <c r="L73" s="207">
        <f>IF('PRODUCTO NACIONAL'!W36&lt;&gt;"",'PRODUCTO NACIONAL'!W36,"")</f>
        <v>3.5</v>
      </c>
    </row>
  </sheetData>
  <sortState xmlns:xlrd2="http://schemas.microsoft.com/office/spreadsheetml/2017/richdata2" ref="A3:L29">
    <sortCondition ref="F3:F29" customList="Algodon,Prada"/>
  </sortState>
  <pageMargins left="0.70866141732283472" right="0.70866141732283472" top="0.74803149606299213" bottom="0.74803149606299213" header="0.31496062992125984" footer="0.31496062992125984"/>
  <pageSetup paperSize="9" scale="74" fitToHeight="0" orientation="landscape" horizontalDpi="360" verticalDpi="360" r:id="rId1"/>
  <headerFooter>
    <oddFooter>&amp;R&amp;F &amp;P de &amp;N</oddFooter>
  </headerFooter>
  <rowBreaks count="1" manualBreakCount="1">
    <brk id="36"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D7FF-AFF8-4FEC-A82F-CDA5A4C016E0}">
  <sheetPr>
    <pageSetUpPr fitToPage="1"/>
  </sheetPr>
  <dimension ref="A1:N39"/>
  <sheetViews>
    <sheetView zoomScaleNormal="100" zoomScaleSheetLayoutView="115" workbookViewId="0">
      <selection activeCell="N23" sqref="N23"/>
    </sheetView>
  </sheetViews>
  <sheetFormatPr baseColWidth="10" defaultColWidth="11.44140625" defaultRowHeight="14.4" x14ac:dyDescent="0.3"/>
  <cols>
    <col min="1" max="1" width="4.88671875" style="2" customWidth="1"/>
    <col min="2" max="2" width="15.33203125" style="2" customWidth="1"/>
    <col min="3" max="3" width="11" style="26" bestFit="1" customWidth="1"/>
    <col min="4" max="4" width="9.6640625" style="26" bestFit="1" customWidth="1"/>
    <col min="5" max="5" width="6.44140625" style="2" bestFit="1" customWidth="1"/>
    <col min="6" max="6" width="53.6640625" style="50" customWidth="1"/>
    <col min="7" max="7" width="13.44140625" style="2" bestFit="1" customWidth="1"/>
    <col min="8" max="9" width="11.44140625" style="2"/>
    <col min="10" max="10" width="13.5546875" style="26" customWidth="1"/>
    <col min="11" max="11" width="13" style="21" bestFit="1" customWidth="1"/>
    <col min="12" max="12" width="13.33203125" style="21" bestFit="1" customWidth="1"/>
    <col min="13" max="14" width="11.44140625" style="242"/>
    <col min="15" max="16384" width="11.44140625" style="243"/>
  </cols>
  <sheetData>
    <row r="1" spans="1:14" ht="29.25" customHeight="1" x14ac:dyDescent="0.3">
      <c r="A1" s="232" t="s">
        <v>203</v>
      </c>
      <c r="B1" s="232"/>
      <c r="C1" s="169"/>
      <c r="D1" s="169"/>
      <c r="E1" s="3"/>
      <c r="F1" s="48"/>
      <c r="G1" s="3"/>
      <c r="H1" s="3"/>
      <c r="I1" s="3"/>
      <c r="J1" s="169"/>
      <c r="K1" s="20"/>
      <c r="L1" s="20"/>
    </row>
    <row r="2" spans="1:14" s="245" customFormat="1" ht="45" customHeight="1" x14ac:dyDescent="0.3">
      <c r="A2" s="188" t="str">
        <f>'PRODUCTO NACIONAL'!A3</f>
        <v>ID</v>
      </c>
      <c r="B2" s="188" t="s">
        <v>259</v>
      </c>
      <c r="C2" s="233" t="str">
        <f>+'PRODUCTO NACIONAL'!C3</f>
        <v>TIPO</v>
      </c>
      <c r="D2" s="233" t="str">
        <f>+'PRODUCTO NACIONAL'!D3</f>
        <v>ANCHO</v>
      </c>
      <c r="E2" s="234" t="str">
        <f>+'PRODUCTO NACIONAL'!H3</f>
        <v>RINDE</v>
      </c>
      <c r="F2" s="235" t="str">
        <f>'PRODUCTO NACIONAL'!F3</f>
        <v>DESCRIPCION</v>
      </c>
      <c r="G2" s="234" t="str">
        <f>+'PRODUCTO NACIONAL'!E3</f>
        <v>TUB./ABIERTA</v>
      </c>
      <c r="H2" s="234" t="str">
        <f>'PRODUCTO NACIONAL'!G3</f>
        <v>UNIDAD</v>
      </c>
      <c r="I2" s="234" t="str">
        <f>'PRODUCTO NACIONAL'!T3</f>
        <v>PVP/metro</v>
      </c>
      <c r="J2" s="236" t="str">
        <f>'PRODUCTO NACIONAL'!U3</f>
        <v>PVP KILO|PROMO</v>
      </c>
      <c r="K2" s="237" t="str">
        <f>'PRODUCTO NACIONAL'!V3</f>
        <v>PVP|DOCENA |X4</v>
      </c>
      <c r="L2" s="237" t="str">
        <f>'PRODUCTO NACIONAL'!W3</f>
        <v>PVP|UNIDAD</v>
      </c>
      <c r="M2" s="237" t="s">
        <v>285</v>
      </c>
      <c r="N2" s="237" t="s">
        <v>284</v>
      </c>
    </row>
    <row r="3" spans="1:14" s="242" customFormat="1" x14ac:dyDescent="0.3">
      <c r="A3" s="246"/>
      <c r="B3" s="246"/>
      <c r="C3" s="247"/>
      <c r="D3" s="247"/>
      <c r="E3" s="247"/>
      <c r="F3" s="248"/>
      <c r="G3" s="247"/>
      <c r="H3" s="247"/>
      <c r="I3" s="247"/>
      <c r="J3" s="240" t="s">
        <v>257</v>
      </c>
      <c r="K3" s="241" t="s">
        <v>256</v>
      </c>
      <c r="L3" s="241" t="s">
        <v>80</v>
      </c>
      <c r="M3" s="251" t="s">
        <v>286</v>
      </c>
      <c r="N3" s="251" t="s">
        <v>287</v>
      </c>
    </row>
    <row r="4" spans="1:14" s="242" customFormat="1" x14ac:dyDescent="0.3">
      <c r="A4" s="174" t="str">
        <f>IF('PRODUCTO NACIONAL'!A17&lt;&gt;"",'PRODUCTO NACIONAL'!A17,"")</f>
        <v>M14</v>
      </c>
      <c r="B4" s="174" t="s">
        <v>273</v>
      </c>
      <c r="C4" s="159" t="str">
        <f>IF('PRODUCTO NACIONAL'!C17&lt;&gt;"",'PRODUCTO NACIONAL'!C17,"")</f>
        <v>TELA</v>
      </c>
      <c r="D4" s="159">
        <f>IF('PRODUCTO NACIONAL'!D17&lt;&gt;"",'PRODUCTO NACIONAL'!D17,"")</f>
        <v>1.7</v>
      </c>
      <c r="E4" s="159">
        <f>IF('PRODUCTO NACIONAL'!H17&lt;&gt;"",'PRODUCTO NACIONAL'!H17,"")</f>
        <v>4.2</v>
      </c>
      <c r="F4" s="160" t="str">
        <f>IF('PRODUCTO NACIONAL'!F17&lt;&gt;"",'PRODUCTO NACIONAL'!F17,"")</f>
        <v>D2002 Rollo Ernest 1.70m x 140gr</v>
      </c>
      <c r="G4" s="159" t="str">
        <f>IF('PRODUCTO NACIONAL'!E17&lt;&gt;"",'PRODUCTO NACIONAL'!E17,"")</f>
        <v>ABIERTA</v>
      </c>
      <c r="H4" s="159" t="str">
        <f>IF('PRODUCTO NACIONAL'!G17&lt;&gt;"",'PRODUCTO NACIONAL'!G17,"")</f>
        <v>ROLLO</v>
      </c>
      <c r="I4" s="159" t="str">
        <f>IF('PRODUCTO NACIONAL'!T17&lt;&gt;"",'PRODUCTO NACIONAL'!T17,"")</f>
        <v/>
      </c>
      <c r="J4" s="161">
        <f>IF('PRODUCTO NACIONAL'!U17&lt;&gt;"",'PRODUCTO NACIONAL'!U17,"")</f>
        <v>6</v>
      </c>
      <c r="K4" s="162">
        <f>IF('PRODUCTO NACIONAL'!V17&lt;&gt;"",'PRODUCTO NACIONAL'!V17,"")</f>
        <v>6.5</v>
      </c>
      <c r="L4" s="162">
        <f>IF('PRODUCTO NACIONAL'!W17&lt;&gt;"",'PRODUCTO NACIONAL'!W17,"")</f>
        <v>6.75</v>
      </c>
      <c r="M4" s="162">
        <v>8</v>
      </c>
      <c r="N4" s="162">
        <v>8</v>
      </c>
    </row>
    <row r="5" spans="1:14" s="242" customFormat="1" x14ac:dyDescent="0.3">
      <c r="A5" s="174" t="str">
        <f>IF('PRODUCTO NACIONAL'!A20&lt;&gt;"",'PRODUCTO NACIONAL'!A20,"")</f>
        <v>M17</v>
      </c>
      <c r="B5" s="174" t="s">
        <v>277</v>
      </c>
      <c r="C5" s="159" t="str">
        <f>IF('PRODUCTO NACIONAL'!C20&lt;&gt;"",'PRODUCTO NACIONAL'!C20,"")</f>
        <v>TELA</v>
      </c>
      <c r="D5" s="159">
        <f>IF('PRODUCTO NACIONAL'!D20&lt;&gt;"",'PRODUCTO NACIONAL'!D20,"")</f>
        <v>1.8</v>
      </c>
      <c r="E5" s="159">
        <f>IF('PRODUCTO NACIONAL'!H20&lt;&gt;"",'PRODUCTO NACIONAL'!H20,"")</f>
        <v>2.2999999999999998</v>
      </c>
      <c r="F5" s="160" t="str">
        <f>IF('PRODUCTO NACIONAL'!F20&lt;&gt;"",'PRODUCTO NACIONAL'!F20,"")</f>
        <v>D2008 Rollo Jersy Spandex 1.80m x 275gr</v>
      </c>
      <c r="G5" s="159" t="str">
        <f>IF('PRODUCTO NACIONAL'!E20&lt;&gt;"",'PRODUCTO NACIONAL'!E20,"")</f>
        <v>ABIERTA</v>
      </c>
      <c r="H5" s="159" t="str">
        <f>IF('PRODUCTO NACIONAL'!G20&lt;&gt;"",'PRODUCTO NACIONAL'!G20,"")</f>
        <v>ROLLO</v>
      </c>
      <c r="I5" s="159" t="str">
        <f>IF('PRODUCTO NACIONAL'!T20&lt;&gt;"",'PRODUCTO NACIONAL'!T20,"")</f>
        <v/>
      </c>
      <c r="J5" s="161">
        <f>IF('PRODUCTO NACIONAL'!U20&lt;&gt;"",'PRODUCTO NACIONAL'!U20,"")</f>
        <v>8</v>
      </c>
      <c r="K5" s="162">
        <f>IF('PRODUCTO NACIONAL'!V20&lt;&gt;"",'PRODUCTO NACIONAL'!V20,"")</f>
        <v>8.5</v>
      </c>
      <c r="L5" s="162">
        <f>IF('PRODUCTO NACIONAL'!W20&lt;&gt;"",'PRODUCTO NACIONAL'!W20,"")</f>
        <v>8.75</v>
      </c>
      <c r="M5" s="162">
        <v>9</v>
      </c>
      <c r="N5" s="162">
        <v>9</v>
      </c>
    </row>
    <row r="6" spans="1:14" s="242" customFormat="1" x14ac:dyDescent="0.3">
      <c r="A6" s="174" t="str">
        <f>IF('PRODUCTO NACIONAL'!A18&lt;&gt;"",'PRODUCTO NACIONAL'!A18,"")</f>
        <v>M15</v>
      </c>
      <c r="B6" s="174" t="s">
        <v>278</v>
      </c>
      <c r="C6" s="159" t="str">
        <f>IF('PRODUCTO NACIONAL'!C18&lt;&gt;"",'PRODUCTO NACIONAL'!C18,"")</f>
        <v>TELA</v>
      </c>
      <c r="D6" s="159">
        <f>IF('PRODUCTO NACIONAL'!D18&lt;&gt;"",'PRODUCTO NACIONAL'!D18,"")</f>
        <v>1.7</v>
      </c>
      <c r="E6" s="159">
        <f>IF('PRODUCTO NACIONAL'!H18&lt;&gt;"",'PRODUCTO NACIONAL'!H18,"")</f>
        <v>3.67</v>
      </c>
      <c r="F6" s="160" t="str">
        <f>IF('PRODUCTO NACIONAL'!F18&lt;&gt;"",'PRODUCTO NACIONAL'!F18,"")</f>
        <v>D2006 Rollo Panal 1.70m x 160gr</v>
      </c>
      <c r="G6" s="159" t="str">
        <f>IF('PRODUCTO NACIONAL'!E18&lt;&gt;"",'PRODUCTO NACIONAL'!E18,"")</f>
        <v>ABIERTA</v>
      </c>
      <c r="H6" s="159" t="str">
        <f>IF('PRODUCTO NACIONAL'!G18&lt;&gt;"",'PRODUCTO NACIONAL'!G18,"")</f>
        <v>ROLLO</v>
      </c>
      <c r="I6" s="159" t="str">
        <f>IF('PRODUCTO NACIONAL'!T18&lt;&gt;"",'PRODUCTO NACIONAL'!T18,"")</f>
        <v/>
      </c>
      <c r="J6" s="161">
        <f>IF('PRODUCTO NACIONAL'!U18&lt;&gt;"",'PRODUCTO NACIONAL'!U18,"")</f>
        <v>6</v>
      </c>
      <c r="K6" s="162">
        <f>IF('PRODUCTO NACIONAL'!V18&lt;&gt;"",'PRODUCTO NACIONAL'!V18,"")</f>
        <v>6.5</v>
      </c>
      <c r="L6" s="162">
        <f>IF('PRODUCTO NACIONAL'!W18&lt;&gt;"",'PRODUCTO NACIONAL'!W18,"")</f>
        <v>6.75</v>
      </c>
      <c r="M6" s="162">
        <v>8</v>
      </c>
      <c r="N6" s="162">
        <v>8</v>
      </c>
    </row>
    <row r="7" spans="1:14" s="242" customFormat="1" x14ac:dyDescent="0.3">
      <c r="A7" s="174" t="str">
        <f>IF('PRODUCTO NACIONAL'!A19&lt;&gt;"",'PRODUCTO NACIONAL'!A19,"")</f>
        <v>M16</v>
      </c>
      <c r="B7" s="174" t="s">
        <v>279</v>
      </c>
      <c r="C7" s="159" t="str">
        <f>IF('PRODUCTO NACIONAL'!C19&lt;&gt;"",'PRODUCTO NACIONAL'!C19,"")</f>
        <v>TELA</v>
      </c>
      <c r="D7" s="159">
        <f>IF('PRODUCTO NACIONAL'!D19&lt;&gt;"",'PRODUCTO NACIONAL'!D19,"")</f>
        <v>1.7</v>
      </c>
      <c r="E7" s="159">
        <f>IF('PRODUCTO NACIONAL'!H19&lt;&gt;"",'PRODUCTO NACIONAL'!H19,"")</f>
        <v>3.92</v>
      </c>
      <c r="F7" s="160" t="str">
        <f>IF('PRODUCTO NACIONAL'!F19&lt;&gt;"",'PRODUCTO NACIONAL'!F19,"")</f>
        <v>D2003 Rollo Pike Deportivo 1.70m x 160gr</v>
      </c>
      <c r="G7" s="159" t="str">
        <f>IF('PRODUCTO NACIONAL'!E19&lt;&gt;"",'PRODUCTO NACIONAL'!E19,"")</f>
        <v>ABIERTA</v>
      </c>
      <c r="H7" s="159" t="str">
        <f>IF('PRODUCTO NACIONAL'!G19&lt;&gt;"",'PRODUCTO NACIONAL'!G19,"")</f>
        <v>ROLLO</v>
      </c>
      <c r="I7" s="159" t="str">
        <f>IF('PRODUCTO NACIONAL'!T19&lt;&gt;"",'PRODUCTO NACIONAL'!T19,"")</f>
        <v/>
      </c>
      <c r="J7" s="161">
        <f>IF('PRODUCTO NACIONAL'!U19&lt;&gt;"",'PRODUCTO NACIONAL'!U19,"")</f>
        <v>6</v>
      </c>
      <c r="K7" s="162">
        <f>IF('PRODUCTO NACIONAL'!V19&lt;&gt;"",'PRODUCTO NACIONAL'!V19,"")</f>
        <v>6.5</v>
      </c>
      <c r="L7" s="162">
        <f>IF('PRODUCTO NACIONAL'!W19&lt;&gt;"",'PRODUCTO NACIONAL'!W19,"")</f>
        <v>6.75</v>
      </c>
    </row>
    <row r="8" spans="1:14" s="242" customFormat="1" x14ac:dyDescent="0.3">
      <c r="A8" s="175" t="str">
        <f>IF('PRODUCTO NACIONAL'!A7&lt;&gt;"",'PRODUCTO NACIONAL'!A7,"")</f>
        <v>M4</v>
      </c>
      <c r="B8" s="175"/>
      <c r="C8" s="165" t="str">
        <f>IF('PRODUCTO NACIONAL'!C7&lt;&gt;"",'PRODUCTO NACIONAL'!C7,"")</f>
        <v>PAPEL</v>
      </c>
      <c r="D8" s="165" t="str">
        <f>IF('PRODUCTO NACIONAL'!D7&lt;&gt;"",'PRODUCTO NACIONAL'!D7,"")</f>
        <v>1.62X200</v>
      </c>
      <c r="E8" s="165" t="str">
        <f>IF('PRODUCTO NACIONAL'!H7&lt;&gt;"",'PRODUCTO NACIONAL'!H7,"")</f>
        <v/>
      </c>
      <c r="F8" s="166" t="str">
        <f>IF('PRODUCTO NACIONAL'!F7&lt;&gt;"",'PRODUCTO NACIONAL'!F7,"")</f>
        <v>Papel de Sublimación 1.62mx200mx70g</v>
      </c>
      <c r="G8" s="165" t="str">
        <f>IF('PRODUCTO NACIONAL'!E7&lt;&gt;"",'PRODUCTO NACIONAL'!E7,"")</f>
        <v>ROLLO</v>
      </c>
      <c r="H8" s="165" t="str">
        <f>IF('PRODUCTO NACIONAL'!G7&lt;&gt;"",'PRODUCTO NACIONAL'!G7,"")</f>
        <v>ROLLO</v>
      </c>
      <c r="I8" s="165" t="str">
        <f>IF('PRODUCTO NACIONAL'!T7&lt;&gt;"",'PRODUCTO NACIONAL'!T7,"")</f>
        <v/>
      </c>
      <c r="J8" s="167">
        <f>IF('PRODUCTO NACIONAL'!U7&lt;&gt;"",'PRODUCTO NACIONAL'!U7,"")</f>
        <v>64</v>
      </c>
      <c r="K8" s="168">
        <f>IF('PRODUCTO NACIONAL'!V7&lt;&gt;"",'PRODUCTO NACIONAL'!V7,"")</f>
        <v>65</v>
      </c>
      <c r="L8" s="168">
        <f>IF('PRODUCTO NACIONAL'!W7&lt;&gt;"",'PRODUCTO NACIONAL'!W7,"")</f>
        <v>67</v>
      </c>
    </row>
    <row r="9" spans="1:14" s="242" customFormat="1" x14ac:dyDescent="0.3">
      <c r="A9" s="175" t="str">
        <f>IF('PRODUCTO NACIONAL'!A8&lt;&gt;"",'PRODUCTO NACIONAL'!A8,"")</f>
        <v>M5</v>
      </c>
      <c r="B9" s="175"/>
      <c r="C9" s="165" t="str">
        <f>IF('PRODUCTO NACIONAL'!C8&lt;&gt;"",'PRODUCTO NACIONAL'!C8,"")</f>
        <v>PAPEL</v>
      </c>
      <c r="D9" s="165" t="str">
        <f>IF('PRODUCTO NACIONAL'!D8&lt;&gt;"",'PRODUCTO NACIONAL'!D8,"")</f>
        <v>1.62X100</v>
      </c>
      <c r="E9" s="165" t="str">
        <f>IF('PRODUCTO NACIONAL'!H8&lt;&gt;"",'PRODUCTO NACIONAL'!H8,"")</f>
        <v/>
      </c>
      <c r="F9" s="166" t="str">
        <f>IF('PRODUCTO NACIONAL'!F8&lt;&gt;"",'PRODUCTO NACIONAL'!F8,"")</f>
        <v>Papel de Sublimación 1.62mx100mx90g</v>
      </c>
      <c r="G9" s="165" t="str">
        <f>IF('PRODUCTO NACIONAL'!E8&lt;&gt;"",'PRODUCTO NACIONAL'!E8,"")</f>
        <v>ROLLO</v>
      </c>
      <c r="H9" s="165" t="str">
        <f>IF('PRODUCTO NACIONAL'!G8&lt;&gt;"",'PRODUCTO NACIONAL'!G8,"")</f>
        <v>ROLLO</v>
      </c>
      <c r="I9" s="165" t="str">
        <f>IF('PRODUCTO NACIONAL'!T8&lt;&gt;"",'PRODUCTO NACIONAL'!T8,"")</f>
        <v/>
      </c>
      <c r="J9" s="167">
        <f>IF('PRODUCTO NACIONAL'!U8&lt;&gt;"",'PRODUCTO NACIONAL'!U8,"")</f>
        <v>48</v>
      </c>
      <c r="K9" s="168">
        <f>IF('PRODUCTO NACIONAL'!V8&lt;&gt;"",'PRODUCTO NACIONAL'!V8,"")</f>
        <v>49</v>
      </c>
      <c r="L9" s="168">
        <f>IF('PRODUCTO NACIONAL'!W8&lt;&gt;"",'PRODUCTO NACIONAL'!W8,"")</f>
        <v>50</v>
      </c>
    </row>
    <row r="10" spans="1:14" s="242" customFormat="1" x14ac:dyDescent="0.3">
      <c r="A10" s="175" t="str">
        <f>IF('PRODUCTO NACIONAL'!A9&lt;&gt;"",'PRODUCTO NACIONAL'!A9,"")</f>
        <v>M6</v>
      </c>
      <c r="B10" s="175"/>
      <c r="C10" s="165" t="str">
        <f>IF('PRODUCTO NACIONAL'!C9&lt;&gt;"",'PRODUCTO NACIONAL'!C9,"")</f>
        <v>PAPEL</v>
      </c>
      <c r="D10" s="165" t="str">
        <f>IF('PRODUCTO NACIONAL'!D9&lt;&gt;"",'PRODUCTO NACIONAL'!D9,"")</f>
        <v>1.12X100</v>
      </c>
      <c r="E10" s="165" t="str">
        <f>IF('PRODUCTO NACIONAL'!H9&lt;&gt;"",'PRODUCTO NACIONAL'!H9,"")</f>
        <v/>
      </c>
      <c r="F10" s="166" t="str">
        <f>IF('PRODUCTO NACIONAL'!F9&lt;&gt;"",'PRODUCTO NACIONAL'!F9,"")</f>
        <v>Papel de Sublimación 1.12mx100mx90g</v>
      </c>
      <c r="G10" s="165" t="str">
        <f>IF('PRODUCTO NACIONAL'!E9&lt;&gt;"",'PRODUCTO NACIONAL'!E9,"")</f>
        <v>ROLLO</v>
      </c>
      <c r="H10" s="165" t="str">
        <f>IF('PRODUCTO NACIONAL'!G9&lt;&gt;"",'PRODUCTO NACIONAL'!G9,"")</f>
        <v>ROLLO</v>
      </c>
      <c r="I10" s="165" t="str">
        <f>IF('PRODUCTO NACIONAL'!T9&lt;&gt;"",'PRODUCTO NACIONAL'!T9,"")</f>
        <v/>
      </c>
      <c r="J10" s="167">
        <f>IF('PRODUCTO NACIONAL'!U9&lt;&gt;"",'PRODUCTO NACIONAL'!U9,"")</f>
        <v>30</v>
      </c>
      <c r="K10" s="168">
        <f>IF('PRODUCTO NACIONAL'!V9&lt;&gt;"",'PRODUCTO NACIONAL'!V9,"")</f>
        <v>31</v>
      </c>
      <c r="L10" s="168">
        <f>IF('PRODUCTO NACIONAL'!W9&lt;&gt;"",'PRODUCTO NACIONAL'!W9,"")</f>
        <v>33</v>
      </c>
    </row>
    <row r="11" spans="1:14" s="242" customFormat="1" x14ac:dyDescent="0.3">
      <c r="A11" s="175" t="str">
        <f>IF('PRODUCTO NACIONAL'!A13&lt;&gt;"",'PRODUCTO NACIONAL'!A13,"")</f>
        <v>M10</v>
      </c>
      <c r="B11" s="175"/>
      <c r="C11" s="165" t="str">
        <f>IF('PRODUCTO NACIONAL'!C13&lt;&gt;"",'PRODUCTO NACIONAL'!C13,"")</f>
        <v>PAPEL</v>
      </c>
      <c r="D11" s="165" t="str">
        <f>IF('PRODUCTO NACIONAL'!D13&lt;&gt;"",'PRODUCTO NACIONAL'!D13,"")</f>
        <v>1.8X200</v>
      </c>
      <c r="E11" s="165" t="str">
        <f>IF('PRODUCTO NACIONAL'!H13&lt;&gt;"",'PRODUCTO NACIONAL'!H13,"")</f>
        <v/>
      </c>
      <c r="F11" s="166" t="str">
        <f>IF('PRODUCTO NACIONAL'!F13&lt;&gt;"",'PRODUCTO NACIONAL'!F13,"")</f>
        <v>Papel de Sublimación 1.80mx200mx70g</v>
      </c>
      <c r="G11" s="165" t="str">
        <f>IF('PRODUCTO NACIONAL'!E13&lt;&gt;"",'PRODUCTO NACIONAL'!E13,"")</f>
        <v/>
      </c>
      <c r="H11" s="165" t="str">
        <f>IF('PRODUCTO NACIONAL'!G13&lt;&gt;"",'PRODUCTO NACIONAL'!G13,"")</f>
        <v>ROLLO</v>
      </c>
      <c r="I11" s="165" t="str">
        <f>IF('PRODUCTO NACIONAL'!T13&lt;&gt;"",'PRODUCTO NACIONAL'!T13,"")</f>
        <v/>
      </c>
      <c r="J11" s="167">
        <f>IF('PRODUCTO NACIONAL'!U13&lt;&gt;"",'PRODUCTO NACIONAL'!U13,"")</f>
        <v>80</v>
      </c>
      <c r="K11" s="168">
        <f>IF('PRODUCTO NACIONAL'!V13&lt;&gt;"",'PRODUCTO NACIONAL'!V13,"")</f>
        <v>81</v>
      </c>
      <c r="L11" s="168">
        <f>IF('PRODUCTO NACIONAL'!W13&lt;&gt;"",'PRODUCTO NACIONAL'!W13,"")</f>
        <v>83</v>
      </c>
    </row>
    <row r="12" spans="1:14" s="242" customFormat="1" x14ac:dyDescent="0.3">
      <c r="A12" s="175" t="str">
        <f>IF('PRODUCTO NACIONAL'!A71&lt;&gt;"",'PRODUCTO NACIONAL'!A71,"")</f>
        <v>M68</v>
      </c>
      <c r="B12" s="175"/>
      <c r="C12" s="165" t="str">
        <f>IF('PRODUCTO NACIONAL'!C71&lt;&gt;"",'PRODUCTO NACIONAL'!C71,"")</f>
        <v>PAPEL</v>
      </c>
      <c r="D12" s="165" t="str">
        <f>IF('PRODUCTO NACIONAL'!D71&lt;&gt;"",'PRODUCTO NACIONAL'!D71,"")</f>
        <v>1.62X1000</v>
      </c>
      <c r="E12" s="165" t="str">
        <f>IF('PRODUCTO NACIONAL'!H71&lt;&gt;"",'PRODUCTO NACIONAL'!H71,"")</f>
        <v/>
      </c>
      <c r="F12" s="166" t="str">
        <f>IF('PRODUCTO NACIONAL'!F71&lt;&gt;"",'PRODUCTO NACIONAL'!F71,"")</f>
        <v>Papel Crakf 1.62m x 1000m x 30g.</v>
      </c>
      <c r="G12" s="165" t="str">
        <f>IF('PRODUCTO NACIONAL'!E71&lt;&gt;"",'PRODUCTO NACIONAL'!E71,"")</f>
        <v/>
      </c>
      <c r="H12" s="165" t="str">
        <f>IF('PRODUCTO NACIONAL'!G71&lt;&gt;"",'PRODUCTO NACIONAL'!G71,"")</f>
        <v>ROLLO</v>
      </c>
      <c r="I12" s="165" t="str">
        <f>IF('PRODUCTO NACIONAL'!T71&lt;&gt;"",'PRODUCTO NACIONAL'!T71,"")</f>
        <v/>
      </c>
      <c r="J12" s="167">
        <f>IF('PRODUCTO NACIONAL'!U71&lt;&gt;"",'PRODUCTO NACIONAL'!U71,"")</f>
        <v>120</v>
      </c>
      <c r="K12" s="168">
        <f>IF('PRODUCTO NACIONAL'!V71&lt;&gt;"",'PRODUCTO NACIONAL'!V71,"")</f>
        <v>121</v>
      </c>
      <c r="L12" s="168">
        <f>IF('PRODUCTO NACIONAL'!W71&lt;&gt;"",'PRODUCTO NACIONAL'!W71,"")</f>
        <v>123</v>
      </c>
    </row>
    <row r="13" spans="1:14" s="242" customFormat="1" x14ac:dyDescent="0.3">
      <c r="A13" s="175" t="str">
        <f>IF('PRODUCTO NACIONAL'!A75&lt;&gt;"",'PRODUCTO NACIONAL'!A75,"")</f>
        <v>M72</v>
      </c>
      <c r="B13" s="175"/>
      <c r="C13" s="165" t="str">
        <f>IF('PRODUCTO NACIONAL'!C75&lt;&gt;"",'PRODUCTO NACIONAL'!C75,"")</f>
        <v>PAPEL</v>
      </c>
      <c r="D13" s="165" t="str">
        <f>IF('PRODUCTO NACIONAL'!D75&lt;&gt;"",'PRODUCTO NACIONAL'!D75,"")</f>
        <v>A4</v>
      </c>
      <c r="E13" s="165" t="str">
        <f>IF('PRODUCTO NACIONAL'!H75&lt;&gt;"",'PRODUCTO NACIONAL'!H75,"")</f>
        <v/>
      </c>
      <c r="F13" s="166" t="str">
        <f>IF('PRODUCTO NACIONAL'!F75&lt;&gt;"",'PRODUCTO NACIONAL'!F75,"")</f>
        <v>RESMA PAPEL DE SUBLIMACIÓN A4 75GR</v>
      </c>
      <c r="G13" s="165" t="str">
        <f>IF('PRODUCTO NACIONAL'!E75&lt;&gt;"",'PRODUCTO NACIONAL'!E75,"")</f>
        <v>HOJA</v>
      </c>
      <c r="H13" s="165" t="str">
        <f>IF('PRODUCTO NACIONAL'!G75&lt;&gt;"",'PRODUCTO NACIONAL'!G75,"")</f>
        <v>UNIDAD</v>
      </c>
      <c r="I13" s="165" t="str">
        <f>IF('PRODUCTO NACIONAL'!T75&lt;&gt;"",'PRODUCTO NACIONAL'!T75,"")</f>
        <v/>
      </c>
      <c r="J13" s="167" t="str">
        <f>IF('PRODUCTO NACIONAL'!U75&lt;&gt;"",'PRODUCTO NACIONAL'!U75,"")</f>
        <v/>
      </c>
      <c r="K13" s="168" t="str">
        <f>IF('PRODUCTO NACIONAL'!V75&lt;&gt;"",'PRODUCTO NACIONAL'!V75,"")</f>
        <v/>
      </c>
      <c r="L13" s="168">
        <f>IF('PRODUCTO NACIONAL'!W75&lt;&gt;"",'PRODUCTO NACIONAL'!W75,"")</f>
        <v>7.5</v>
      </c>
    </row>
    <row r="14" spans="1:14" s="242" customFormat="1" x14ac:dyDescent="0.3">
      <c r="A14" s="246"/>
      <c r="B14" s="246"/>
      <c r="C14" s="247"/>
      <c r="D14" s="247"/>
      <c r="E14" s="247"/>
      <c r="F14" s="248"/>
      <c r="G14" s="247"/>
      <c r="H14" s="247"/>
      <c r="I14" s="247"/>
      <c r="J14" s="240" t="s">
        <v>257</v>
      </c>
      <c r="K14" s="241" t="s">
        <v>258</v>
      </c>
      <c r="L14" s="241" t="s">
        <v>134</v>
      </c>
    </row>
    <row r="15" spans="1:14" s="242" customFormat="1" x14ac:dyDescent="0.3">
      <c r="A15" s="41" t="str">
        <f>IF('PRODUCTO NACIONAL'!A6&lt;&gt;"",'PRODUCTO NACIONAL'!A6,"")</f>
        <v>M3</v>
      </c>
      <c r="B15" s="41"/>
      <c r="C15" s="30" t="str">
        <f>IF('PRODUCTO NACIONAL'!C6&lt;&gt;"",'PRODUCTO NACIONAL'!C6,"")</f>
        <v>TINTA</v>
      </c>
      <c r="D15" s="30" t="str">
        <f>IF('PRODUCTO NACIONAL'!D6&lt;&gt;"",'PRODUCTO NACIONAL'!D6,"")</f>
        <v/>
      </c>
      <c r="E15" s="30" t="str">
        <f>IF('PRODUCTO NACIONAL'!H6&lt;&gt;"",'PRODUCTO NACIONAL'!H6,"")</f>
        <v/>
      </c>
      <c r="F15" s="49" t="str">
        <f>IF('PRODUCTO NACIONAL'!F6&lt;&gt;"",'PRODUCTO NACIONAL'!F6,"")</f>
        <v>Tinta Jaz Negra</v>
      </c>
      <c r="G15" s="30" t="str">
        <f>IF('PRODUCTO NACIONAL'!E6&lt;&gt;"",'PRODUCTO NACIONAL'!E6,"")</f>
        <v/>
      </c>
      <c r="H15" s="30" t="str">
        <f>IF('PRODUCTO NACIONAL'!G6&lt;&gt;"",'PRODUCTO NACIONAL'!G6,"")</f>
        <v>LITRO</v>
      </c>
      <c r="I15" s="30" t="str">
        <f>IF('PRODUCTO NACIONAL'!T6&lt;&gt;"",'PRODUCTO NACIONAL'!T6,"")</f>
        <v/>
      </c>
      <c r="J15" s="163">
        <f>IF('PRODUCTO NACIONAL'!U6&lt;&gt;"",'PRODUCTO NACIONAL'!U6,"")</f>
        <v>27</v>
      </c>
      <c r="K15" s="164">
        <f>IF('PRODUCTO NACIONAL'!V6&lt;&gt;"",'PRODUCTO NACIONAL'!V6,"")</f>
        <v>28</v>
      </c>
      <c r="L15" s="164">
        <f>IF('PRODUCTO NACIONAL'!W6&lt;&gt;"",'PRODUCTO NACIONAL'!W6,"")</f>
        <v>30</v>
      </c>
    </row>
    <row r="16" spans="1:14" s="242" customFormat="1" x14ac:dyDescent="0.3">
      <c r="A16" s="41" t="str">
        <f>IF('PRODUCTO NACIONAL'!A72&lt;&gt;"",'PRODUCTO NACIONAL'!A72,"")</f>
        <v>M69</v>
      </c>
      <c r="B16" s="41"/>
      <c r="C16" s="30" t="str">
        <f>IF('PRODUCTO NACIONAL'!C72&lt;&gt;"",'PRODUCTO NACIONAL'!C72,"")</f>
        <v>TINTA</v>
      </c>
      <c r="D16" s="30" t="str">
        <f>IF('PRODUCTO NACIONAL'!D72&lt;&gt;"",'PRODUCTO NACIONAL'!D72,"")</f>
        <v/>
      </c>
      <c r="E16" s="30" t="str">
        <f>IF('PRODUCTO NACIONAL'!H72&lt;&gt;"",'PRODUCTO NACIONAL'!H72,"")</f>
        <v/>
      </c>
      <c r="F16" s="49" t="str">
        <f>IF('PRODUCTO NACIONAL'!F72&lt;&gt;"",'PRODUCTO NACIONAL'!F72,"")</f>
        <v>Tinta Jaz Azul</v>
      </c>
      <c r="G16" s="30" t="str">
        <f>IF('PRODUCTO NACIONAL'!E72&lt;&gt;"",'PRODUCTO NACIONAL'!E72,"")</f>
        <v/>
      </c>
      <c r="H16" s="30" t="str">
        <f>IF('PRODUCTO NACIONAL'!G72&lt;&gt;"",'PRODUCTO NACIONAL'!G72,"")</f>
        <v>LITRO</v>
      </c>
      <c r="I16" s="30" t="str">
        <f>IF('PRODUCTO NACIONAL'!T72&lt;&gt;"",'PRODUCTO NACIONAL'!T72,"")</f>
        <v/>
      </c>
      <c r="J16" s="163">
        <f>IF('PRODUCTO NACIONAL'!U72&lt;&gt;"",'PRODUCTO NACIONAL'!U72,"")</f>
        <v>27</v>
      </c>
      <c r="K16" s="164">
        <f>IF('PRODUCTO NACIONAL'!V72&lt;&gt;"",'PRODUCTO NACIONAL'!V72,"")</f>
        <v>28</v>
      </c>
      <c r="L16" s="164">
        <f>IF('PRODUCTO NACIONAL'!W72&lt;&gt;"",'PRODUCTO NACIONAL'!W72,"")</f>
        <v>30</v>
      </c>
    </row>
    <row r="17" spans="1:14" s="242" customFormat="1" x14ac:dyDescent="0.3">
      <c r="A17" s="41" t="str">
        <f>IF('PRODUCTO NACIONAL'!A73&lt;&gt;"",'PRODUCTO NACIONAL'!A73,"")</f>
        <v>M70</v>
      </c>
      <c r="B17" s="41"/>
      <c r="C17" s="30" t="str">
        <f>IF('PRODUCTO NACIONAL'!C73&lt;&gt;"",'PRODUCTO NACIONAL'!C73,"")</f>
        <v>TINTA</v>
      </c>
      <c r="D17" s="30" t="str">
        <f>IF('PRODUCTO NACIONAL'!D73&lt;&gt;"",'PRODUCTO NACIONAL'!D73,"")</f>
        <v/>
      </c>
      <c r="E17" s="30" t="str">
        <f>IF('PRODUCTO NACIONAL'!H73&lt;&gt;"",'PRODUCTO NACIONAL'!H73,"")</f>
        <v/>
      </c>
      <c r="F17" s="49" t="str">
        <f>IF('PRODUCTO NACIONAL'!F73&lt;&gt;"",'PRODUCTO NACIONAL'!F73,"")</f>
        <v>Tinta Jaz Amarilla</v>
      </c>
      <c r="G17" s="30" t="str">
        <f>IF('PRODUCTO NACIONAL'!E73&lt;&gt;"",'PRODUCTO NACIONAL'!E73,"")</f>
        <v/>
      </c>
      <c r="H17" s="30" t="str">
        <f>IF('PRODUCTO NACIONAL'!G73&lt;&gt;"",'PRODUCTO NACIONAL'!G73,"")</f>
        <v>LITRO</v>
      </c>
      <c r="I17" s="30" t="str">
        <f>IF('PRODUCTO NACIONAL'!T73&lt;&gt;"",'PRODUCTO NACIONAL'!T73,"")</f>
        <v/>
      </c>
      <c r="J17" s="163">
        <f>IF('PRODUCTO NACIONAL'!U73&lt;&gt;"",'PRODUCTO NACIONAL'!U73,"")</f>
        <v>27</v>
      </c>
      <c r="K17" s="164">
        <f>IF('PRODUCTO NACIONAL'!V73&lt;&gt;"",'PRODUCTO NACIONAL'!V73,"")</f>
        <v>28</v>
      </c>
      <c r="L17" s="164">
        <f>IF('PRODUCTO NACIONAL'!W73&lt;&gt;"",'PRODUCTO NACIONAL'!W73,"")</f>
        <v>30</v>
      </c>
    </row>
    <row r="18" spans="1:14" s="242" customFormat="1" x14ac:dyDescent="0.3">
      <c r="A18" s="41" t="str">
        <f>IF('PRODUCTO NACIONAL'!A74&lt;&gt;"",'PRODUCTO NACIONAL'!A74,"")</f>
        <v>M71</v>
      </c>
      <c r="B18" s="41"/>
      <c r="C18" s="30" t="str">
        <f>IF('PRODUCTO NACIONAL'!C74&lt;&gt;"",'PRODUCTO NACIONAL'!C74,"")</f>
        <v>TINTA</v>
      </c>
      <c r="D18" s="30" t="str">
        <f>IF('PRODUCTO NACIONAL'!D74&lt;&gt;"",'PRODUCTO NACIONAL'!D74,"")</f>
        <v/>
      </c>
      <c r="E18" s="30" t="str">
        <f>IF('PRODUCTO NACIONAL'!H74&lt;&gt;"",'PRODUCTO NACIONAL'!H74,"")</f>
        <v/>
      </c>
      <c r="F18" s="49" t="str">
        <f>IF('PRODUCTO NACIONAL'!F74&lt;&gt;"",'PRODUCTO NACIONAL'!F74,"")</f>
        <v>Tinta Jaz Roja</v>
      </c>
      <c r="G18" s="30" t="str">
        <f>IF('PRODUCTO NACIONAL'!E74&lt;&gt;"",'PRODUCTO NACIONAL'!E74,"")</f>
        <v/>
      </c>
      <c r="H18" s="30" t="str">
        <f>IF('PRODUCTO NACIONAL'!G74&lt;&gt;"",'PRODUCTO NACIONAL'!G74,"")</f>
        <v>LITRO</v>
      </c>
      <c r="I18" s="30" t="str">
        <f>IF('PRODUCTO NACIONAL'!T74&lt;&gt;"",'PRODUCTO NACIONAL'!T74,"")</f>
        <v/>
      </c>
      <c r="J18" s="163">
        <f>IF('PRODUCTO NACIONAL'!U74&lt;&gt;"",'PRODUCTO NACIONAL'!U74,"")</f>
        <v>27</v>
      </c>
      <c r="K18" s="164">
        <f>IF('PRODUCTO NACIONAL'!V74&lt;&gt;"",'PRODUCTO NACIONAL'!V74,"")</f>
        <v>28</v>
      </c>
      <c r="L18" s="164">
        <f>IF('PRODUCTO NACIONAL'!W74&lt;&gt;"",'PRODUCTO NACIONAL'!W74,"")</f>
        <v>30</v>
      </c>
    </row>
    <row r="19" spans="1:14" s="242" customFormat="1" x14ac:dyDescent="0.3">
      <c r="A19" s="246"/>
      <c r="B19" s="246"/>
      <c r="C19" s="247"/>
      <c r="D19" s="247"/>
      <c r="E19" s="247"/>
      <c r="F19" s="248"/>
      <c r="G19" s="247"/>
      <c r="H19" s="247"/>
      <c r="I19" s="247"/>
      <c r="J19" s="249"/>
      <c r="K19" s="250"/>
      <c r="L19" s="250"/>
    </row>
    <row r="20" spans="1:14" s="242" customFormat="1" x14ac:dyDescent="0.3">
      <c r="A20" s="188" t="str">
        <f>IF('PRODUCTO NACIONAL'!A76&lt;&gt;"",'PRODUCTO NACIONAL'!A76,"")</f>
        <v>M73</v>
      </c>
      <c r="B20" s="188"/>
      <c r="C20" s="189" t="str">
        <f>IF('PRODUCTO NACIONAL'!C76&lt;&gt;"",'PRODUCTO NACIONAL'!C76,"")</f>
        <v>CINTA</v>
      </c>
      <c r="D20" s="189" t="str">
        <f>IF('PRODUCTO NACIONAL'!D76&lt;&gt;"",'PRODUCTO NACIONAL'!D76,"")</f>
        <v>3cm</v>
      </c>
      <c r="E20" s="189" t="str">
        <f>IF('PRODUCTO NACIONAL'!H76&lt;&gt;"",'PRODUCTO NACIONAL'!H76,"")</f>
        <v/>
      </c>
      <c r="F20" s="190" t="str">
        <f>IF('PRODUCTO NACIONAL'!F76&lt;&gt;"",'PRODUCTO NACIONAL'!F76,"")</f>
        <v>CINTA REFLECTIVA DE 3cm de anchox1m</v>
      </c>
      <c r="G20" s="189" t="str">
        <f>IF('PRODUCTO NACIONAL'!E76&lt;&gt;"",'PRODUCTO NACIONAL'!E76,"")</f>
        <v>CINTA</v>
      </c>
      <c r="H20" s="189" t="str">
        <f>IF('PRODUCTO NACIONAL'!G76&lt;&gt;"",'PRODUCTO NACIONAL'!G76,"")</f>
        <v>UNIDAD</v>
      </c>
      <c r="I20" s="189" t="str">
        <f>IF('PRODUCTO NACIONAL'!T76&lt;&gt;"",'PRODUCTO NACIONAL'!T76,"")</f>
        <v/>
      </c>
      <c r="J20" s="192" t="str">
        <f>IF('PRODUCTO NACIONAL'!U76&lt;&gt;"",'PRODUCTO NACIONAL'!U76,"")</f>
        <v/>
      </c>
      <c r="K20" s="191" t="str">
        <f>IF('PRODUCTO NACIONAL'!V76&lt;&gt;"",'PRODUCTO NACIONAL'!V76,"")</f>
        <v/>
      </c>
      <c r="L20" s="191" t="str">
        <f>IF('PRODUCTO NACIONAL'!W76&lt;&gt;"",'PRODUCTO NACIONAL'!W76,"")</f>
        <v/>
      </c>
    </row>
    <row r="21" spans="1:14" s="242" customFormat="1" x14ac:dyDescent="0.3">
      <c r="A21" s="188" t="str">
        <f>IF('PRODUCTO NACIONAL'!A79&lt;&gt;"",'PRODUCTO NACIONAL'!A79,"")</f>
        <v>M79</v>
      </c>
      <c r="B21" s="188"/>
      <c r="C21" s="189" t="str">
        <f>IF('PRODUCTO NACIONAL'!C79&lt;&gt;"",'PRODUCTO NACIONAL'!C79,"")</f>
        <v>CINTA</v>
      </c>
      <c r="D21" s="189" t="str">
        <f>IF('PRODUCTO NACIONAL'!D79&lt;&gt;"",'PRODUCTO NACIONAL'!D79,"")</f>
        <v>1cm</v>
      </c>
      <c r="E21" s="189" t="str">
        <f>IF('PRODUCTO NACIONAL'!H79&lt;&gt;"",'PRODUCTO NACIONAL'!H79,"")</f>
        <v/>
      </c>
      <c r="F21" s="190" t="str">
        <f>IF('PRODUCTO NACIONAL'!F79&lt;&gt;"",'PRODUCTO NACIONAL'!F79,"")</f>
        <v>CINTA TERMICA</v>
      </c>
      <c r="G21" s="189" t="str">
        <f>IF('PRODUCTO NACIONAL'!E79&lt;&gt;"",'PRODUCTO NACIONAL'!E79,"")</f>
        <v/>
      </c>
      <c r="H21" s="189" t="str">
        <f>IF('PRODUCTO NACIONAL'!G79&lt;&gt;"",'PRODUCTO NACIONAL'!G79,"")</f>
        <v>UNIDAD</v>
      </c>
      <c r="I21" s="189" t="str">
        <f>IF('PRODUCTO NACIONAL'!T79&lt;&gt;"",'PRODUCTO NACIONAL'!T79,"")</f>
        <v/>
      </c>
      <c r="J21" s="192">
        <f>IF('PRODUCTO NACIONAL'!U79&lt;&gt;"",'PRODUCTO NACIONAL'!U79,"")</f>
        <v>2.5</v>
      </c>
      <c r="K21" s="191">
        <f>IF('PRODUCTO NACIONAL'!V79&lt;&gt;"",'PRODUCTO NACIONAL'!V79,"")</f>
        <v>2.75</v>
      </c>
      <c r="L21" s="191">
        <f>IF('PRODUCTO NACIONAL'!W79&lt;&gt;"",'PRODUCTO NACIONAL'!W79,"")</f>
        <v>3</v>
      </c>
    </row>
    <row r="22" spans="1:14" s="242" customFormat="1" x14ac:dyDescent="0.3">
      <c r="A22" s="27"/>
      <c r="B22" s="27"/>
      <c r="C22" s="3"/>
      <c r="D22" s="3"/>
      <c r="E22" s="3"/>
      <c r="F22" s="48"/>
      <c r="G22" s="3"/>
      <c r="H22" s="3"/>
      <c r="I22" s="238" t="s">
        <v>294</v>
      </c>
      <c r="J22" s="238" t="s">
        <v>290</v>
      </c>
      <c r="K22" s="239" t="s">
        <v>254</v>
      </c>
      <c r="L22" s="239" t="s">
        <v>295</v>
      </c>
    </row>
    <row r="23" spans="1:14" s="242" customFormat="1" x14ac:dyDescent="0.3">
      <c r="A23" s="203" t="str">
        <f>IF('PRODUCTO NACIONAL'!A14&lt;&gt;"",'PRODUCTO NACIONAL'!A14,"")</f>
        <v>M11</v>
      </c>
      <c r="B23" s="203"/>
      <c r="C23" s="204" t="str">
        <f>IF('PRODUCTO NACIONAL'!C14&lt;&gt;"",'PRODUCTO NACIONAL'!C14,"")</f>
        <v>IMPRESIÓN</v>
      </c>
      <c r="D23" s="204">
        <f>IF('PRODUCTO NACIONAL'!D14&lt;&gt;"",'PRODUCTO NACIONAL'!D14,"")</f>
        <v>1.8</v>
      </c>
      <c r="E23" s="204" t="str">
        <f>IF('PRODUCTO NACIONAL'!H14&lt;&gt;"",'PRODUCTO NACIONAL'!H14,"")</f>
        <v/>
      </c>
      <c r="F23" s="205" t="str">
        <f>IF('PRODUCTO NACIONAL'!F14&lt;&gt;"",'PRODUCTO NACIONAL'!F14,"")</f>
        <v>IMPRESIÓN SIN DISEÑO, ANCHO 1.8X90gsm</v>
      </c>
      <c r="G23" s="204" t="str">
        <f>IF('PRODUCTO NACIONAL'!E14&lt;&gt;"",'PRODUCTO NACIONAL'!E14,"")</f>
        <v>ROLLO</v>
      </c>
      <c r="H23" s="204" t="str">
        <f>IF('PRODUCTO NACIONAL'!G14&lt;&gt;"",'PRODUCTO NACIONAL'!G14,"")</f>
        <v>METRO</v>
      </c>
      <c r="I23" s="204">
        <v>3.15</v>
      </c>
      <c r="J23" s="206">
        <f>IF('PRODUCTO NACIONAL'!U14&lt;&gt;"",'PRODUCTO NACIONAL'!U14,"")</f>
        <v>3.25</v>
      </c>
      <c r="K23" s="207">
        <f>IF('PRODUCTO NACIONAL'!V14&lt;&gt;"",'PRODUCTO NACIONAL'!V14,"")</f>
        <v>3.4</v>
      </c>
      <c r="L23" s="207">
        <f>IF('PRODUCTO NACIONAL'!W14&lt;&gt;"",'PRODUCTO NACIONAL'!W14,"")</f>
        <v>3.5</v>
      </c>
    </row>
    <row r="24" spans="1:14" s="242" customFormat="1" x14ac:dyDescent="0.3">
      <c r="A24" s="203" t="str">
        <f>IF('PRODUCTO NACIONAL'!A29&lt;&gt;"",'PRODUCTO NACIONAL'!A29,"")</f>
        <v>M26</v>
      </c>
      <c r="B24" s="203"/>
      <c r="C24" s="204" t="str">
        <f>IF('PRODUCTO NACIONAL'!C29&lt;&gt;"",'PRODUCTO NACIONAL'!C29,"")</f>
        <v>IMPRESIÓN</v>
      </c>
      <c r="D24" s="204">
        <f>IF('PRODUCTO NACIONAL'!D29&lt;&gt;"",'PRODUCTO NACIONAL'!D29,"")</f>
        <v>1.1200000000000001</v>
      </c>
      <c r="E24" s="204" t="str">
        <f>IF('PRODUCTO NACIONAL'!H29&lt;&gt;"",'PRODUCTO NACIONAL'!H29,"")</f>
        <v/>
      </c>
      <c r="F24" s="205" t="str">
        <f>IF('PRODUCTO NACIONAL'!F29&lt;&gt;"",'PRODUCTO NACIONAL'!F29,"")</f>
        <v>IMPRESIÓN SIN DISEÑO, ANCHO 1.12mX90gsm</v>
      </c>
      <c r="G24" s="204" t="str">
        <f>IF('PRODUCTO NACIONAL'!E29&lt;&gt;"",'PRODUCTO NACIONAL'!E29,"")</f>
        <v/>
      </c>
      <c r="H24" s="204" t="str">
        <f>IF('PRODUCTO NACIONAL'!G29&lt;&gt;"",'PRODUCTO NACIONAL'!G29,"")</f>
        <v>METRO</v>
      </c>
      <c r="I24" s="204">
        <v>2.4</v>
      </c>
      <c r="J24" s="206">
        <f>IF('PRODUCTO NACIONAL'!U29&lt;&gt;"",'PRODUCTO NACIONAL'!U29,"")</f>
        <v>2.5</v>
      </c>
      <c r="K24" s="207">
        <f>IF('PRODUCTO NACIONAL'!V29&lt;&gt;"",'PRODUCTO NACIONAL'!V29,"")</f>
        <v>2.65</v>
      </c>
      <c r="L24" s="207">
        <f>IF('PRODUCTO NACIONAL'!W29&lt;&gt;"",'PRODUCTO NACIONAL'!W29,"")</f>
        <v>2.75</v>
      </c>
    </row>
    <row r="25" spans="1:14" s="242" customFormat="1" x14ac:dyDescent="0.3">
      <c r="A25" s="203" t="str">
        <f>IF('PRODUCTO NACIONAL'!A35&lt;&gt;"",'PRODUCTO NACIONAL'!A35,"")</f>
        <v>M32</v>
      </c>
      <c r="B25" s="203"/>
      <c r="C25" s="204" t="str">
        <f>IF('PRODUCTO NACIONAL'!C35&lt;&gt;"",'PRODUCTO NACIONAL'!C35,"")</f>
        <v>IMPRESIÓN</v>
      </c>
      <c r="D25" s="204">
        <f>IF('PRODUCTO NACIONAL'!D35&lt;&gt;"",'PRODUCTO NACIONAL'!D35,"")</f>
        <v>1.62</v>
      </c>
      <c r="E25" s="204" t="str">
        <f>IF('PRODUCTO NACIONAL'!H35&lt;&gt;"",'PRODUCTO NACIONAL'!H35,"")</f>
        <v/>
      </c>
      <c r="F25" s="205" t="str">
        <f>IF('PRODUCTO NACIONAL'!F35&lt;&gt;"",'PRODUCTO NACIONAL'!F35,"")</f>
        <v>IMPRESIÓN SIN DISEÑO, ANCHO 1.62mX70gsm</v>
      </c>
      <c r="G25" s="204" t="str">
        <f>IF('PRODUCTO NACIONAL'!E35&lt;&gt;"",'PRODUCTO NACIONAL'!E35,"")</f>
        <v/>
      </c>
      <c r="H25" s="204" t="str">
        <f>IF('PRODUCTO NACIONAL'!G35&lt;&gt;"",'PRODUCTO NACIONAL'!G35,"")</f>
        <v>METRO</v>
      </c>
      <c r="I25" s="204">
        <v>3</v>
      </c>
      <c r="J25" s="206">
        <f>IF('PRODUCTO NACIONAL'!U35&lt;&gt;"",'PRODUCTO NACIONAL'!U35,"")</f>
        <v>3.1</v>
      </c>
      <c r="K25" s="207">
        <f>IF('PRODUCTO NACIONAL'!V35&lt;&gt;"",'PRODUCTO NACIONAL'!V35,"")</f>
        <v>3.25</v>
      </c>
      <c r="L25" s="207">
        <f>IF('PRODUCTO NACIONAL'!W35&lt;&gt;"",'PRODUCTO NACIONAL'!W35,"")</f>
        <v>3.35</v>
      </c>
    </row>
    <row r="26" spans="1:14" s="242" customFormat="1" x14ac:dyDescent="0.3">
      <c r="A26" s="203" t="str">
        <f>IF('PRODUCTO NACIONAL'!A36&lt;&gt;"",'PRODUCTO NACIONAL'!A36,"")</f>
        <v>M33</v>
      </c>
      <c r="B26" s="203"/>
      <c r="C26" s="204" t="str">
        <f>IF('PRODUCTO NACIONAL'!C36&lt;&gt;"",'PRODUCTO NACIONAL'!C36,"")</f>
        <v>IMPRESIÓN</v>
      </c>
      <c r="D26" s="204">
        <f>IF('PRODUCTO NACIONAL'!D36&lt;&gt;"",'PRODUCTO NACIONAL'!D36,"")</f>
        <v>1.62</v>
      </c>
      <c r="E26" s="204" t="str">
        <f>IF('PRODUCTO NACIONAL'!H36&lt;&gt;"",'PRODUCTO NACIONAL'!H36,"")</f>
        <v/>
      </c>
      <c r="F26" s="205" t="str">
        <f>IF('PRODUCTO NACIONAL'!F36&lt;&gt;"",'PRODUCTO NACIONAL'!F36,"")</f>
        <v>IMPRESIÓN SIN DISEÑO ANCHO 1.62m x 90gsm</v>
      </c>
      <c r="G26" s="204" t="str">
        <f>IF('PRODUCTO NACIONAL'!E36&lt;&gt;"",'PRODUCTO NACIONAL'!E36,"")</f>
        <v/>
      </c>
      <c r="H26" s="204" t="str">
        <f>IF('PRODUCTO NACIONAL'!G36&lt;&gt;"",'PRODUCTO NACIONAL'!G36,"")</f>
        <v>METRO</v>
      </c>
      <c r="I26" s="204">
        <v>3.15</v>
      </c>
      <c r="J26" s="206">
        <f>IF('PRODUCTO NACIONAL'!U36&lt;&gt;"",'PRODUCTO NACIONAL'!U36,"")</f>
        <v>3.25</v>
      </c>
      <c r="K26" s="207">
        <f>IF('PRODUCTO NACIONAL'!V36&lt;&gt;"",'PRODUCTO NACIONAL'!V36,"")</f>
        <v>3.4</v>
      </c>
      <c r="L26" s="207">
        <f>IF('PRODUCTO NACIONAL'!W36&lt;&gt;"",'PRODUCTO NACIONAL'!W36,"")</f>
        <v>3.5</v>
      </c>
    </row>
    <row r="27" spans="1:14" s="242" customFormat="1" x14ac:dyDescent="0.3">
      <c r="A27" s="2" t="str">
        <f>IF('PRODUCTO NACIONAL'!A141&lt;&gt;"",'PRODUCTO NACIONAL'!A141,"")</f>
        <v/>
      </c>
      <c r="B27" s="2"/>
      <c r="C27" s="26"/>
      <c r="D27" s="26"/>
      <c r="E27" s="2"/>
      <c r="F27" s="50"/>
      <c r="G27" s="2"/>
      <c r="H27" s="2"/>
      <c r="I27" s="238" t="s">
        <v>291</v>
      </c>
      <c r="J27" s="238" t="s">
        <v>290</v>
      </c>
      <c r="K27" s="239" t="s">
        <v>254</v>
      </c>
      <c r="L27" s="239" t="s">
        <v>295</v>
      </c>
    </row>
    <row r="28" spans="1:14" s="256" customFormat="1" x14ac:dyDescent="0.3">
      <c r="A28" s="252"/>
      <c r="B28" s="252"/>
      <c r="C28" s="253" t="s">
        <v>289</v>
      </c>
      <c r="D28" s="252">
        <v>1.7</v>
      </c>
      <c r="E28" s="252"/>
      <c r="F28" s="254" t="s">
        <v>288</v>
      </c>
      <c r="G28" s="252" t="s">
        <v>80</v>
      </c>
      <c r="H28" s="252" t="s">
        <v>133</v>
      </c>
      <c r="I28" s="252">
        <v>0.7</v>
      </c>
      <c r="J28" s="255">
        <v>0.8</v>
      </c>
      <c r="K28" s="255">
        <v>0.9</v>
      </c>
      <c r="L28" s="255">
        <v>1</v>
      </c>
      <c r="M28" s="252"/>
      <c r="N28" s="252"/>
    </row>
    <row r="31" spans="1:14" x14ac:dyDescent="0.3">
      <c r="A31" s="257"/>
      <c r="B31" s="257"/>
      <c r="C31" s="258"/>
      <c r="D31" s="258"/>
      <c r="E31" s="258"/>
      <c r="F31" s="259"/>
      <c r="G31" s="258"/>
      <c r="H31" s="258"/>
      <c r="I31" s="261" t="s">
        <v>291</v>
      </c>
      <c r="J31" s="262" t="s">
        <v>290</v>
      </c>
      <c r="K31" s="262" t="s">
        <v>254</v>
      </c>
      <c r="L31" s="262" t="s">
        <v>295</v>
      </c>
    </row>
    <row r="32" spans="1:14" x14ac:dyDescent="0.3">
      <c r="A32" s="257"/>
      <c r="B32" s="257"/>
      <c r="C32" s="247"/>
      <c r="D32" s="247"/>
      <c r="E32" s="247"/>
      <c r="F32" s="248" t="str">
        <f>+B4</f>
        <v>ERNEST</v>
      </c>
      <c r="G32" s="247"/>
      <c r="H32" s="247"/>
      <c r="I32" s="263">
        <f>+J4/E4</f>
        <v>1.4285714285714286</v>
      </c>
      <c r="J32" s="264">
        <f>+K4/E4</f>
        <v>1.5476190476190474</v>
      </c>
      <c r="K32" s="264">
        <f>+L4/E4</f>
        <v>1.607142857142857</v>
      </c>
      <c r="L32" s="264">
        <f>+N4/E4</f>
        <v>1.9047619047619047</v>
      </c>
    </row>
    <row r="33" spans="1:14" x14ac:dyDescent="0.3">
      <c r="A33" s="257"/>
      <c r="B33" s="257"/>
      <c r="C33" s="247"/>
      <c r="D33" s="247"/>
      <c r="E33" s="247"/>
      <c r="F33" s="248" t="s">
        <v>277</v>
      </c>
      <c r="G33" s="247"/>
      <c r="H33" s="247"/>
      <c r="I33" s="263">
        <f t="shared" ref="I33:I35" si="0">+J5/E5</f>
        <v>3.4782608695652177</v>
      </c>
      <c r="J33" s="264">
        <f t="shared" ref="J33:J35" si="1">+K5/E5</f>
        <v>3.6956521739130439</v>
      </c>
      <c r="K33" s="264">
        <f t="shared" ref="K33:K35" si="2">+L5/E5</f>
        <v>3.804347826086957</v>
      </c>
      <c r="L33" s="264">
        <f t="shared" ref="L33:L35" si="3">+N5/E5</f>
        <v>3.9130434782608701</v>
      </c>
    </row>
    <row r="34" spans="1:14" x14ac:dyDescent="0.3">
      <c r="A34" s="257"/>
      <c r="B34" s="257"/>
      <c r="C34" s="247"/>
      <c r="D34" s="247"/>
      <c r="E34" s="247"/>
      <c r="F34" s="248" t="s">
        <v>278</v>
      </c>
      <c r="G34" s="247"/>
      <c r="H34" s="247"/>
      <c r="I34" s="263">
        <f t="shared" si="0"/>
        <v>1.6348773841961852</v>
      </c>
      <c r="J34" s="264">
        <f t="shared" si="1"/>
        <v>1.771117166212534</v>
      </c>
      <c r="K34" s="264">
        <f t="shared" si="2"/>
        <v>1.8392370572207084</v>
      </c>
      <c r="L34" s="264">
        <f t="shared" si="3"/>
        <v>2.1798365122615806</v>
      </c>
    </row>
    <row r="35" spans="1:14" x14ac:dyDescent="0.3">
      <c r="A35" s="257"/>
      <c r="B35" s="257"/>
      <c r="C35" s="247"/>
      <c r="D35" s="247"/>
      <c r="E35" s="247"/>
      <c r="F35" s="248" t="str">
        <f>+PVP!B17</f>
        <v>GALEON</v>
      </c>
      <c r="G35" s="247"/>
      <c r="H35" s="247"/>
      <c r="I35" s="263">
        <f t="shared" si="0"/>
        <v>1.5306122448979591</v>
      </c>
      <c r="J35" s="264">
        <f t="shared" si="1"/>
        <v>1.6581632653061225</v>
      </c>
      <c r="K35" s="264">
        <f t="shared" si="2"/>
        <v>1.721938775510204</v>
      </c>
      <c r="L35" s="264">
        <f t="shared" si="3"/>
        <v>0</v>
      </c>
      <c r="M35" s="269" t="s">
        <v>303</v>
      </c>
      <c r="N35" s="269" t="s">
        <v>304</v>
      </c>
    </row>
    <row r="36" spans="1:14" ht="28.8" x14ac:dyDescent="0.3">
      <c r="A36" s="2" t="str">
        <f>IF('PRODUCTO NACIONAL'!A141&lt;&gt;"",'PRODUCTO NACIONAL'!A141,"")</f>
        <v/>
      </c>
      <c r="C36" s="265" t="s">
        <v>293</v>
      </c>
      <c r="D36" s="169"/>
      <c r="E36" s="3"/>
      <c r="F36" s="48" t="s">
        <v>292</v>
      </c>
      <c r="G36" s="3"/>
      <c r="H36" s="3" t="s">
        <v>133</v>
      </c>
      <c r="I36" s="169">
        <f>+I23+I28+I32</f>
        <v>5.2785714285714285</v>
      </c>
      <c r="J36" s="169">
        <f>+J23+J28+J32</f>
        <v>5.5976190476190473</v>
      </c>
      <c r="K36" s="20">
        <f>+K23+K28+K32</f>
        <v>5.9071428571428566</v>
      </c>
      <c r="L36" s="20">
        <f>+L23+L28+L32</f>
        <v>6.4047619047619051</v>
      </c>
      <c r="M36" s="260">
        <v>6.6</v>
      </c>
      <c r="N36" s="268">
        <f>+M36-I36</f>
        <v>1.3214285714285712</v>
      </c>
    </row>
    <row r="37" spans="1:14" ht="28.8" x14ac:dyDescent="0.3">
      <c r="A37" s="2" t="str">
        <f>IF('PRODUCTO NACIONAL'!A142&lt;&gt;"",'PRODUCTO NACIONAL'!A142,"")</f>
        <v/>
      </c>
      <c r="C37" s="265" t="s">
        <v>298</v>
      </c>
      <c r="D37" s="169"/>
      <c r="E37" s="3"/>
      <c r="F37" s="48" t="s">
        <v>299</v>
      </c>
      <c r="G37" s="3"/>
      <c r="H37" s="3" t="s">
        <v>133</v>
      </c>
      <c r="I37" s="20">
        <f>+I23+I28+I33</f>
        <v>7.3282608695652174</v>
      </c>
      <c r="J37" s="20">
        <f>+J23+J28+J33</f>
        <v>7.7456521739130437</v>
      </c>
      <c r="K37" s="20">
        <f>+K23+K28+K33</f>
        <v>8.1043478260869577</v>
      </c>
      <c r="L37" s="20">
        <f>+L23+L28+L33</f>
        <v>8.413043478260871</v>
      </c>
      <c r="M37" s="260">
        <v>8.5</v>
      </c>
      <c r="N37" s="268">
        <f t="shared" ref="N37:N39" si="4">+M37-I37</f>
        <v>1.1717391304347826</v>
      </c>
    </row>
    <row r="38" spans="1:14" ht="28.8" x14ac:dyDescent="0.3">
      <c r="A38" s="2" t="str">
        <f>IF('PRODUCTO NACIONAL'!A143&lt;&gt;"",'PRODUCTO NACIONAL'!A143,"")</f>
        <v/>
      </c>
      <c r="C38" s="265" t="s">
        <v>296</v>
      </c>
      <c r="D38" s="169"/>
      <c r="E38" s="3"/>
      <c r="F38" s="48" t="s">
        <v>297</v>
      </c>
      <c r="G38" s="3"/>
      <c r="H38" s="3" t="s">
        <v>133</v>
      </c>
      <c r="I38" s="20">
        <f>+I23+I28+I34</f>
        <v>5.4848773841961851</v>
      </c>
      <c r="J38" s="20">
        <f>+J23+J28+J34</f>
        <v>5.8211171662125336</v>
      </c>
      <c r="K38" s="20">
        <f>+K23+K28+K34</f>
        <v>6.1392370572207078</v>
      </c>
      <c r="L38" s="20">
        <f>+L23+L28+L34</f>
        <v>6.6798365122615806</v>
      </c>
      <c r="M38" s="260">
        <v>6.7</v>
      </c>
      <c r="N38" s="268">
        <f t="shared" si="4"/>
        <v>1.2151226158038151</v>
      </c>
    </row>
    <row r="39" spans="1:14" ht="28.8" x14ac:dyDescent="0.3">
      <c r="C39" s="265" t="s">
        <v>300</v>
      </c>
      <c r="D39" s="169"/>
      <c r="E39" s="3"/>
      <c r="F39" s="48" t="s">
        <v>301</v>
      </c>
      <c r="G39" s="3"/>
      <c r="H39" s="3" t="s">
        <v>133</v>
      </c>
      <c r="I39" s="20">
        <f>+I23+I28+I35</f>
        <v>5.380612244897959</v>
      </c>
      <c r="J39" s="20">
        <f>+J23+J28+J35</f>
        <v>5.7081632653061227</v>
      </c>
      <c r="K39" s="20">
        <f>+K23+K28+K35</f>
        <v>6.0219387755102041</v>
      </c>
      <c r="L39" s="20">
        <f>+L23+L28+L35</f>
        <v>4.5</v>
      </c>
      <c r="M39" s="260">
        <v>6.1</v>
      </c>
      <c r="N39" s="268">
        <f t="shared" si="4"/>
        <v>0.71938775510204067</v>
      </c>
    </row>
  </sheetData>
  <pageMargins left="0.70866141732283472" right="0.70866141732283472" top="0.74803149606299213" bottom="0.74803149606299213" header="0.31496062992125984" footer="0.31496062992125984"/>
  <pageSetup paperSize="9" scale="65" orientation="landscape" horizontalDpi="360" verticalDpi="360" r:id="rId1"/>
  <headerFooter>
    <oddFooter>&amp;R&amp;F &amp;P de &amp;N</oddFooter>
  </headerFooter>
  <rowBreaks count="1" manualBreakCount="1">
    <brk id="13" max="1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PRODUCTO NACIONAL</vt:lpstr>
      <vt:lpstr>PVP</vt:lpstr>
      <vt:lpstr>SUMINISTROS YUNPAR</vt:lpstr>
      <vt:lpstr>PVP!Área_de_impresión</vt:lpstr>
      <vt:lpstr>'SUMINISTROS YUNPAR'!Área_de_impresión</vt:lpstr>
      <vt:lpstr>PVP!Títulos_a_imprimir</vt:lpstr>
      <vt:lpstr>'SUMINISTROS YUNPAR'!Títulos_a_imprimir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Yunga</dc:creator>
  <cp:lastModifiedBy>ING. JAVIER YUNGA MARQUEZ</cp:lastModifiedBy>
  <cp:lastPrinted>2026-01-20T16:07:30Z</cp:lastPrinted>
  <dcterms:created xsi:type="dcterms:W3CDTF">2025-01-15T15:42:44Z</dcterms:created>
  <dcterms:modified xsi:type="dcterms:W3CDTF">2026-02-07T21:01:13Z</dcterms:modified>
</cp:coreProperties>
</file>