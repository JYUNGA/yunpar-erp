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6\CUENTAS SEMANALES 2026\"/>
    </mc:Choice>
  </mc:AlternateContent>
  <xr:revisionPtr revIDLastSave="0" documentId="13_ncr:1_{58A9A591-A6B7-4875-A533-4F1C85025EED}" xr6:coauthVersionLast="47" xr6:coauthVersionMax="47" xr10:uidLastSave="{00000000-0000-0000-0000-000000000000}"/>
  <bookViews>
    <workbookView xWindow="-108" yWindow="-108" windowWidth="23256" windowHeight="13896" xr2:uid="{9F929707-7FBB-4A3D-A0F3-B46ED24CFB59}"/>
  </bookViews>
  <sheets>
    <sheet name="96" sheetId="86" r:id="rId1"/>
    <sheet name="97" sheetId="87" r:id="rId2"/>
    <sheet name="98" sheetId="88" r:id="rId3"/>
    <sheet name="99" sheetId="89" r:id="rId4"/>
    <sheet name="MENSUAL" sheetId="2" r:id="rId5"/>
    <sheet name="TELAS" sheetId="90" r:id="rId6"/>
    <sheet name="DIS. PRENDAS" sheetId="10" r:id="rId7"/>
    <sheet name="DESPERDICIO" sheetId="21" r:id="rId8"/>
    <sheet name="IMPRE. m" sheetId="11" r:id="rId9"/>
  </sheets>
  <externalReferences>
    <externalReference r:id="rId10"/>
    <externalReference r:id="rId11"/>
    <externalReference r:id="rId12"/>
    <externalReference r:id="rId13"/>
  </externalReferences>
  <definedNames>
    <definedName name="_xlnm.Print_Area" localSheetId="0">'96'!$A$2:$N$71</definedName>
    <definedName name="_xlnm.Print_Area" localSheetId="1">'97'!$A$2:$N$71</definedName>
    <definedName name="_xlnm.Print_Area" localSheetId="2">'98'!$A$2:$N$71</definedName>
    <definedName name="_xlnm.Print_Area" localSheetId="3">'99'!$A$2:$N$71</definedName>
    <definedName name="_xlnm.Print_Titles" localSheetId="0">'96'!$69:$70</definedName>
    <definedName name="_xlnm.Print_Titles" localSheetId="1">'97'!$69:$70</definedName>
    <definedName name="_xlnm.Print_Titles" localSheetId="2">'98'!$69:$70</definedName>
    <definedName name="_xlnm.Print_Titles" localSheetId="3">'99'!$69:$70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90" l="1"/>
  <c r="C6" i="90"/>
  <c r="D5" i="90"/>
  <c r="C5" i="90"/>
  <c r="D4" i="90"/>
  <c r="C4" i="90"/>
  <c r="D3" i="90"/>
  <c r="C3" i="90"/>
  <c r="C6" i="2"/>
  <c r="D6" i="2"/>
  <c r="F6" i="2"/>
  <c r="E71" i="87"/>
  <c r="C71" i="89"/>
  <c r="O71" i="89"/>
  <c r="N71" i="89"/>
  <c r="M71" i="89"/>
  <c r="L71" i="89"/>
  <c r="C16" i="89" s="1"/>
  <c r="K71" i="89"/>
  <c r="C15" i="89" s="1"/>
  <c r="J71" i="89"/>
  <c r="C14" i="89" s="1"/>
  <c r="E14" i="89" s="1"/>
  <c r="I71" i="89"/>
  <c r="C13" i="89" s="1"/>
  <c r="E13" i="89" s="1"/>
  <c r="H71" i="89"/>
  <c r="C12" i="89" s="1"/>
  <c r="E12" i="89" s="1"/>
  <c r="G71" i="89"/>
  <c r="C11" i="89" s="1"/>
  <c r="E11" i="89" s="1"/>
  <c r="F71" i="89"/>
  <c r="C10" i="89" s="1"/>
  <c r="E71" i="89"/>
  <c r="E4" i="89" s="1"/>
  <c r="C71" i="88"/>
  <c r="O71" i="88"/>
  <c r="N71" i="88"/>
  <c r="M71" i="88"/>
  <c r="L71" i="88"/>
  <c r="K71" i="88"/>
  <c r="J71" i="88"/>
  <c r="C14" i="88" s="1"/>
  <c r="E14" i="88" s="1"/>
  <c r="I71" i="88"/>
  <c r="C13" i="88" s="1"/>
  <c r="E13" i="88" s="1"/>
  <c r="H71" i="88"/>
  <c r="C12" i="88" s="1"/>
  <c r="E12" i="88" s="1"/>
  <c r="G71" i="88"/>
  <c r="C11" i="88" s="1"/>
  <c r="E11" i="88" s="1"/>
  <c r="F71" i="88"/>
  <c r="C10" i="88" s="1"/>
  <c r="E71" i="88"/>
  <c r="E65" i="89"/>
  <c r="E64" i="89"/>
  <c r="E63" i="89"/>
  <c r="C62" i="89"/>
  <c r="E62" i="89" s="1"/>
  <c r="E61" i="89"/>
  <c r="E60" i="89"/>
  <c r="C59" i="89"/>
  <c r="E59" i="89" s="1"/>
  <c r="C58" i="89"/>
  <c r="E58" i="89" s="1"/>
  <c r="C57" i="89"/>
  <c r="E57" i="89" s="1"/>
  <c r="C56" i="89"/>
  <c r="E56" i="89" s="1"/>
  <c r="C55" i="89"/>
  <c r="E55" i="89" s="1"/>
  <c r="C54" i="89"/>
  <c r="E54" i="89" s="1"/>
  <c r="E53" i="89"/>
  <c r="E52" i="89"/>
  <c r="E51" i="89"/>
  <c r="D38" i="89"/>
  <c r="C38" i="89"/>
  <c r="B38" i="89"/>
  <c r="D37" i="89"/>
  <c r="C37" i="89"/>
  <c r="B37" i="89"/>
  <c r="C36" i="89"/>
  <c r="E36" i="89" s="1"/>
  <c r="B36" i="89"/>
  <c r="D35" i="89"/>
  <c r="C35" i="89"/>
  <c r="B35" i="89"/>
  <c r="D34" i="89"/>
  <c r="C34" i="89"/>
  <c r="E34" i="89" s="1"/>
  <c r="B34" i="89"/>
  <c r="D33" i="89"/>
  <c r="C33" i="89"/>
  <c r="B33" i="89"/>
  <c r="D32" i="89"/>
  <c r="C32" i="89"/>
  <c r="B32" i="89"/>
  <c r="D31" i="89"/>
  <c r="C31" i="89"/>
  <c r="B31" i="89"/>
  <c r="D30" i="89"/>
  <c r="C30" i="89"/>
  <c r="B30" i="89"/>
  <c r="D29" i="89"/>
  <c r="C29" i="89"/>
  <c r="E29" i="89" s="1"/>
  <c r="B29" i="89"/>
  <c r="A28" i="89"/>
  <c r="C28" i="89" s="1"/>
  <c r="A27" i="89"/>
  <c r="D27" i="89" s="1"/>
  <c r="A26" i="89"/>
  <c r="D26" i="89" s="1"/>
  <c r="A25" i="89"/>
  <c r="C25" i="89" s="1"/>
  <c r="A24" i="89"/>
  <c r="D24" i="89" s="1"/>
  <c r="A23" i="89"/>
  <c r="D23" i="89" s="1"/>
  <c r="A22" i="89"/>
  <c r="D22" i="89" s="1"/>
  <c r="A21" i="89"/>
  <c r="B21" i="89" s="1"/>
  <c r="D20" i="89"/>
  <c r="C20" i="89"/>
  <c r="B20" i="89"/>
  <c r="A19" i="89"/>
  <c r="D19" i="89" s="1"/>
  <c r="C18" i="89"/>
  <c r="B18" i="89"/>
  <c r="A18" i="89"/>
  <c r="D18" i="89" s="1"/>
  <c r="C17" i="89"/>
  <c r="E17" i="89" s="1"/>
  <c r="B17" i="89"/>
  <c r="B16" i="89"/>
  <c r="A16" i="89"/>
  <c r="D16" i="89" s="1"/>
  <c r="B15" i="89"/>
  <c r="A15" i="89"/>
  <c r="D15" i="89" s="1"/>
  <c r="B14" i="89"/>
  <c r="B13" i="89"/>
  <c r="B12" i="89"/>
  <c r="B11" i="89"/>
  <c r="D10" i="89"/>
  <c r="B10" i="89"/>
  <c r="A10" i="89"/>
  <c r="A9" i="89"/>
  <c r="C9" i="89" s="1"/>
  <c r="F6" i="90" s="1"/>
  <c r="A8" i="89"/>
  <c r="C8" i="89" s="1"/>
  <c r="D5" i="2"/>
  <c r="D4" i="2"/>
  <c r="C5" i="2"/>
  <c r="C4" i="2"/>
  <c r="E4" i="88"/>
  <c r="F5" i="2" s="1"/>
  <c r="C38" i="88"/>
  <c r="C37" i="88"/>
  <c r="C36" i="88"/>
  <c r="E36" i="88" s="1"/>
  <c r="C35" i="88"/>
  <c r="C34" i="88"/>
  <c r="C33" i="88"/>
  <c r="C32" i="88"/>
  <c r="C31" i="88"/>
  <c r="C30" i="88"/>
  <c r="C29" i="88"/>
  <c r="C20" i="88"/>
  <c r="C18" i="88"/>
  <c r="C17" i="88"/>
  <c r="E17" i="88" s="1"/>
  <c r="C16" i="88"/>
  <c r="C15" i="88"/>
  <c r="E65" i="88"/>
  <c r="E64" i="88"/>
  <c r="E63" i="88"/>
  <c r="C62" i="88"/>
  <c r="E62" i="88" s="1"/>
  <c r="E61" i="88"/>
  <c r="E60" i="88"/>
  <c r="C59" i="88"/>
  <c r="E59" i="88" s="1"/>
  <c r="C58" i="88"/>
  <c r="E58" i="88" s="1"/>
  <c r="C57" i="88"/>
  <c r="E57" i="88" s="1"/>
  <c r="C56" i="88"/>
  <c r="E56" i="88" s="1"/>
  <c r="C55" i="88"/>
  <c r="E55" i="88" s="1"/>
  <c r="C54" i="88"/>
  <c r="E54" i="88" s="1"/>
  <c r="E53" i="88"/>
  <c r="E52" i="88"/>
  <c r="E51" i="88"/>
  <c r="D38" i="88"/>
  <c r="B38" i="88"/>
  <c r="D37" i="88"/>
  <c r="B37" i="88"/>
  <c r="B36" i="88"/>
  <c r="D35" i="88"/>
  <c r="B35" i="88"/>
  <c r="D34" i="88"/>
  <c r="B34" i="88"/>
  <c r="D33" i="88"/>
  <c r="B33" i="88"/>
  <c r="D32" i="88"/>
  <c r="B32" i="88"/>
  <c r="D31" i="88"/>
  <c r="B31" i="88"/>
  <c r="D30" i="88"/>
  <c r="B30" i="88"/>
  <c r="D29" i="88"/>
  <c r="B29" i="88"/>
  <c r="A28" i="88"/>
  <c r="D28" i="88" s="1"/>
  <c r="A27" i="88"/>
  <c r="C27" i="88" s="1"/>
  <c r="A26" i="88"/>
  <c r="C26" i="88" s="1"/>
  <c r="A25" i="88"/>
  <c r="B25" i="88" s="1"/>
  <c r="A24" i="88"/>
  <c r="D24" i="88" s="1"/>
  <c r="A23" i="88"/>
  <c r="D23" i="88" s="1"/>
  <c r="A22" i="88"/>
  <c r="D22" i="88" s="1"/>
  <c r="A21" i="88"/>
  <c r="D21" i="88" s="1"/>
  <c r="D20" i="88"/>
  <c r="B20" i="88"/>
  <c r="A19" i="88"/>
  <c r="D19" i="88" s="1"/>
  <c r="B18" i="88"/>
  <c r="A18" i="88"/>
  <c r="D18" i="88" s="1"/>
  <c r="B17" i="88"/>
  <c r="B16" i="88"/>
  <c r="A16" i="88"/>
  <c r="D16" i="88" s="1"/>
  <c r="B15" i="88"/>
  <c r="A15" i="88"/>
  <c r="D15" i="88" s="1"/>
  <c r="B14" i="88"/>
  <c r="B13" i="88"/>
  <c r="B12" i="88"/>
  <c r="B11" i="88"/>
  <c r="D10" i="88"/>
  <c r="B10" i="88"/>
  <c r="A10" i="88"/>
  <c r="A9" i="88"/>
  <c r="D9" i="88" s="1"/>
  <c r="A8" i="88"/>
  <c r="B8" i="88" s="1"/>
  <c r="O84" i="87"/>
  <c r="O71" i="87"/>
  <c r="E106" i="87"/>
  <c r="E37" i="89" l="1"/>
  <c r="E35" i="89"/>
  <c r="C27" i="89"/>
  <c r="E27" i="89" s="1"/>
  <c r="E20" i="89"/>
  <c r="E10" i="89"/>
  <c r="E32" i="89"/>
  <c r="E33" i="89"/>
  <c r="C24" i="89"/>
  <c r="E24" i="89" s="1"/>
  <c r="C19" i="89"/>
  <c r="E19" i="89" s="1"/>
  <c r="D8" i="89"/>
  <c r="E8" i="89" s="1"/>
  <c r="E30" i="89"/>
  <c r="E38" i="89"/>
  <c r="B8" i="89"/>
  <c r="E31" i="89"/>
  <c r="E15" i="89"/>
  <c r="E66" i="89"/>
  <c r="E43" i="89" s="1"/>
  <c r="E16" i="89"/>
  <c r="E18" i="89"/>
  <c r="B25" i="89"/>
  <c r="D25" i="89"/>
  <c r="E25" i="89" s="1"/>
  <c r="D9" i="89"/>
  <c r="E9" i="89" s="1"/>
  <c r="C21" i="89"/>
  <c r="B26" i="89"/>
  <c r="B22" i="89"/>
  <c r="C22" i="89"/>
  <c r="E22" i="89" s="1"/>
  <c r="B27" i="89"/>
  <c r="D21" i="89"/>
  <c r="C26" i="89"/>
  <c r="E26" i="89" s="1"/>
  <c r="D28" i="89"/>
  <c r="E28" i="89" s="1"/>
  <c r="B19" i="89"/>
  <c r="B24" i="89"/>
  <c r="B9" i="89"/>
  <c r="B23" i="89"/>
  <c r="C23" i="89"/>
  <c r="E23" i="89" s="1"/>
  <c r="B28" i="89"/>
  <c r="C9" i="88"/>
  <c r="E9" i="88" s="1"/>
  <c r="C19" i="88"/>
  <c r="E19" i="88" s="1"/>
  <c r="C28" i="88"/>
  <c r="C22" i="88"/>
  <c r="E22" i="88" s="1"/>
  <c r="C24" i="88"/>
  <c r="E24" i="88" s="1"/>
  <c r="E29" i="88"/>
  <c r="C21" i="88"/>
  <c r="E21" i="88" s="1"/>
  <c r="C23" i="88"/>
  <c r="C25" i="88"/>
  <c r="C8" i="88"/>
  <c r="E34" i="88"/>
  <c r="E16" i="88"/>
  <c r="E10" i="88"/>
  <c r="E35" i="88"/>
  <c r="E33" i="88"/>
  <c r="E20" i="88"/>
  <c r="E37" i="88"/>
  <c r="E38" i="88"/>
  <c r="E31" i="88"/>
  <c r="E15" i="88"/>
  <c r="D25" i="88"/>
  <c r="E30" i="88"/>
  <c r="D8" i="88"/>
  <c r="E32" i="88"/>
  <c r="E66" i="88"/>
  <c r="E43" i="88" s="1"/>
  <c r="E18" i="88"/>
  <c r="B9" i="88"/>
  <c r="B21" i="88"/>
  <c r="D26" i="88"/>
  <c r="E26" i="88" s="1"/>
  <c r="B22" i="88"/>
  <c r="D27" i="88"/>
  <c r="E27" i="88" s="1"/>
  <c r="B23" i="88"/>
  <c r="E23" i="88"/>
  <c r="B28" i="88"/>
  <c r="E28" i="88"/>
  <c r="B19" i="88"/>
  <c r="B24" i="88"/>
  <c r="B26" i="88"/>
  <c r="B27" i="88"/>
  <c r="H71" i="87"/>
  <c r="C71" i="87"/>
  <c r="N71" i="87"/>
  <c r="M71" i="87"/>
  <c r="L71" i="87"/>
  <c r="K71" i="87"/>
  <c r="J71" i="87"/>
  <c r="I71" i="87"/>
  <c r="G71" i="87"/>
  <c r="F71" i="87"/>
  <c r="E98" i="87"/>
  <c r="F5" i="90" l="1"/>
  <c r="E21" i="89"/>
  <c r="F5" i="89" s="1"/>
  <c r="G6" i="2" s="1"/>
  <c r="E8" i="88"/>
  <c r="E25" i="88"/>
  <c r="C38" i="87"/>
  <c r="C37" i="87"/>
  <c r="C36" i="87"/>
  <c r="C35" i="87"/>
  <c r="C34" i="87"/>
  <c r="C33" i="87"/>
  <c r="C32" i="87"/>
  <c r="C31" i="87"/>
  <c r="C30" i="87"/>
  <c r="C29" i="87"/>
  <c r="C20" i="87"/>
  <c r="E6" i="89" l="1"/>
  <c r="H6" i="2" s="1"/>
  <c r="F5" i="88"/>
  <c r="D3" i="2"/>
  <c r="C3" i="2"/>
  <c r="C18" i="87"/>
  <c r="C17" i="87"/>
  <c r="E17" i="87" s="1"/>
  <c r="C16" i="87"/>
  <c r="C15" i="87"/>
  <c r="C14" i="87"/>
  <c r="E14" i="87" s="1"/>
  <c r="C13" i="87"/>
  <c r="E13" i="87" s="1"/>
  <c r="C12" i="87"/>
  <c r="E12" i="87" s="1"/>
  <c r="C11" i="87"/>
  <c r="E11" i="87" s="1"/>
  <c r="C10" i="87"/>
  <c r="E4" i="87"/>
  <c r="F4" i="2" s="1"/>
  <c r="E65" i="87"/>
  <c r="E64" i="87"/>
  <c r="E63" i="87"/>
  <c r="C62" i="87"/>
  <c r="E62" i="87" s="1"/>
  <c r="E61" i="87"/>
  <c r="E60" i="87"/>
  <c r="C59" i="87"/>
  <c r="E59" i="87" s="1"/>
  <c r="C58" i="87"/>
  <c r="E58" i="87" s="1"/>
  <c r="C57" i="87"/>
  <c r="E57" i="87" s="1"/>
  <c r="C56" i="87"/>
  <c r="E56" i="87" s="1"/>
  <c r="C55" i="87"/>
  <c r="E55" i="87" s="1"/>
  <c r="C54" i="87"/>
  <c r="E54" i="87" s="1"/>
  <c r="E53" i="87"/>
  <c r="E52" i="87"/>
  <c r="E51" i="87"/>
  <c r="D38" i="87"/>
  <c r="E38" i="87" s="1"/>
  <c r="B38" i="87"/>
  <c r="D37" i="87"/>
  <c r="B37" i="87"/>
  <c r="E36" i="87"/>
  <c r="B36" i="87"/>
  <c r="D35" i="87"/>
  <c r="B35" i="87"/>
  <c r="D34" i="87"/>
  <c r="B34" i="87"/>
  <c r="D33" i="87"/>
  <c r="B33" i="87"/>
  <c r="D32" i="87"/>
  <c r="B32" i="87"/>
  <c r="D31" i="87"/>
  <c r="B31" i="87"/>
  <c r="D30" i="87"/>
  <c r="B30" i="87"/>
  <c r="D29" i="87"/>
  <c r="B29" i="87"/>
  <c r="A28" i="87"/>
  <c r="A27" i="87"/>
  <c r="A26" i="87"/>
  <c r="C26" i="87" s="1"/>
  <c r="A25" i="87"/>
  <c r="C25" i="87" s="1"/>
  <c r="A24" i="87"/>
  <c r="C24" i="87" s="1"/>
  <c r="A23" i="87"/>
  <c r="C23" i="87" s="1"/>
  <c r="A22" i="87"/>
  <c r="A21" i="87"/>
  <c r="D20" i="87"/>
  <c r="B20" i="87"/>
  <c r="A19" i="87"/>
  <c r="C19" i="87" s="1"/>
  <c r="B18" i="87"/>
  <c r="A18" i="87"/>
  <c r="D18" i="87" s="1"/>
  <c r="B17" i="87"/>
  <c r="B16" i="87"/>
  <c r="A16" i="87"/>
  <c r="D16" i="87" s="1"/>
  <c r="B15" i="87"/>
  <c r="A15" i="87"/>
  <c r="D15" i="87" s="1"/>
  <c r="B14" i="87"/>
  <c r="B13" i="87"/>
  <c r="B12" i="87"/>
  <c r="B11" i="87"/>
  <c r="D10" i="87"/>
  <c r="B10" i="87"/>
  <c r="A10" i="87"/>
  <c r="A9" i="87"/>
  <c r="A8" i="87"/>
  <c r="C38" i="86"/>
  <c r="C37" i="86"/>
  <c r="C36" i="86"/>
  <c r="C35" i="86"/>
  <c r="C34" i="86"/>
  <c r="C33" i="86"/>
  <c r="C32" i="86"/>
  <c r="C31" i="86"/>
  <c r="C30" i="86"/>
  <c r="C29" i="86"/>
  <c r="C20" i="86"/>
  <c r="D38" i="86"/>
  <c r="B38" i="86"/>
  <c r="D37" i="86"/>
  <c r="B37" i="86"/>
  <c r="B36" i="86"/>
  <c r="D35" i="86"/>
  <c r="B35" i="86"/>
  <c r="D34" i="86"/>
  <c r="B34" i="86"/>
  <c r="D33" i="86"/>
  <c r="B33" i="86"/>
  <c r="D32" i="86"/>
  <c r="B32" i="86"/>
  <c r="D31" i="86"/>
  <c r="B31" i="86"/>
  <c r="D30" i="86"/>
  <c r="B30" i="86"/>
  <c r="D29" i="86"/>
  <c r="B29" i="86"/>
  <c r="A28" i="86"/>
  <c r="B28" i="86" s="1"/>
  <c r="A27" i="86"/>
  <c r="B27" i="86" s="1"/>
  <c r="A26" i="86"/>
  <c r="D26" i="86" s="1"/>
  <c r="A25" i="86"/>
  <c r="D25" i="86" s="1"/>
  <c r="A24" i="86"/>
  <c r="D24" i="86" s="1"/>
  <c r="A23" i="86"/>
  <c r="B23" i="86" s="1"/>
  <c r="A22" i="86"/>
  <c r="D22" i="86" s="1"/>
  <c r="A21" i="86"/>
  <c r="C21" i="86" s="1"/>
  <c r="D20" i="86"/>
  <c r="B20" i="86"/>
  <c r="A19" i="86"/>
  <c r="C19" i="86" s="1"/>
  <c r="B18" i="86"/>
  <c r="A18" i="86"/>
  <c r="D18" i="86" s="1"/>
  <c r="B16" i="86"/>
  <c r="A16" i="86"/>
  <c r="D16" i="86" s="1"/>
  <c r="B15" i="86"/>
  <c r="A15" i="86"/>
  <c r="D15" i="86" s="1"/>
  <c r="D10" i="86"/>
  <c r="B10" i="86"/>
  <c r="A10" i="86"/>
  <c r="A9" i="86"/>
  <c r="C9" i="86" s="1"/>
  <c r="A8" i="86"/>
  <c r="D8" i="86" s="1"/>
  <c r="H6" i="89" l="1"/>
  <c r="E6" i="88"/>
  <c r="G5" i="2"/>
  <c r="D8" i="87"/>
  <c r="C8" i="87"/>
  <c r="D9" i="87"/>
  <c r="C9" i="87"/>
  <c r="F4" i="90" s="1"/>
  <c r="D21" i="87"/>
  <c r="C21" i="87"/>
  <c r="B22" i="87"/>
  <c r="C22" i="87"/>
  <c r="D27" i="87"/>
  <c r="C27" i="87"/>
  <c r="B28" i="87"/>
  <c r="C28" i="87"/>
  <c r="E66" i="87"/>
  <c r="E43" i="87" s="1"/>
  <c r="E32" i="87"/>
  <c r="D24" i="87"/>
  <c r="E24" i="87" s="1"/>
  <c r="E30" i="87"/>
  <c r="E20" i="87"/>
  <c r="E33" i="87"/>
  <c r="E10" i="87"/>
  <c r="E34" i="87"/>
  <c r="E35" i="87"/>
  <c r="E37" i="87"/>
  <c r="E29" i="87"/>
  <c r="E31" i="87"/>
  <c r="E18" i="87"/>
  <c r="D19" i="87"/>
  <c r="E19" i="87" s="1"/>
  <c r="E15" i="87"/>
  <c r="E16" i="87"/>
  <c r="B8" i="87"/>
  <c r="D25" i="87"/>
  <c r="E25" i="87" s="1"/>
  <c r="B25" i="87"/>
  <c r="B9" i="87"/>
  <c r="B21" i="87"/>
  <c r="D26" i="87"/>
  <c r="E26" i="87" s="1"/>
  <c r="B27" i="87"/>
  <c r="D22" i="87"/>
  <c r="D23" i="87"/>
  <c r="E23" i="87" s="1"/>
  <c r="D28" i="87"/>
  <c r="B26" i="87"/>
  <c r="B23" i="87"/>
  <c r="B19" i="87"/>
  <c r="B24" i="87"/>
  <c r="C8" i="86"/>
  <c r="F3" i="90" s="1"/>
  <c r="C22" i="86"/>
  <c r="C23" i="86"/>
  <c r="C24" i="86"/>
  <c r="C25" i="86"/>
  <c r="C26" i="86"/>
  <c r="C27" i="86"/>
  <c r="C28" i="86"/>
  <c r="D23" i="86"/>
  <c r="B19" i="86"/>
  <c r="D27" i="86"/>
  <c r="D19" i="86"/>
  <c r="D28" i="86"/>
  <c r="B8" i="86"/>
  <c r="D21" i="86"/>
  <c r="B22" i="86"/>
  <c r="B9" i="86"/>
  <c r="D9" i="86"/>
  <c r="B21" i="86"/>
  <c r="B24" i="86"/>
  <c r="B25" i="86"/>
  <c r="B26" i="86"/>
  <c r="H3" i="90" l="1"/>
  <c r="G3" i="90"/>
  <c r="H6" i="88"/>
  <c r="H5" i="2"/>
  <c r="E9" i="87"/>
  <c r="E21" i="87"/>
  <c r="E8" i="87"/>
  <c r="E27" i="87"/>
  <c r="E22" i="87"/>
  <c r="E28" i="87"/>
  <c r="F5" i="87" l="1"/>
  <c r="N71" i="86"/>
  <c r="C18" i="86" s="1"/>
  <c r="M71" i="86"/>
  <c r="C17" i="86" s="1"/>
  <c r="E17" i="86" s="1"/>
  <c r="L71" i="86"/>
  <c r="C16" i="86" s="1"/>
  <c r="E16" i="86" s="1"/>
  <c r="K71" i="86"/>
  <c r="C15" i="86" s="1"/>
  <c r="J71" i="86"/>
  <c r="C14" i="86" s="1"/>
  <c r="E14" i="86" s="1"/>
  <c r="I71" i="86"/>
  <c r="C13" i="86" s="1"/>
  <c r="E13" i="86" s="1"/>
  <c r="H71" i="86"/>
  <c r="C12" i="86" s="1"/>
  <c r="E12" i="86" s="1"/>
  <c r="G71" i="86"/>
  <c r="C11" i="86" s="1"/>
  <c r="E11" i="86" s="1"/>
  <c r="F71" i="86"/>
  <c r="C10" i="86" s="1"/>
  <c r="E71" i="86"/>
  <c r="E4" i="86" s="1"/>
  <c r="C71" i="86"/>
  <c r="E65" i="86"/>
  <c r="E64" i="86"/>
  <c r="E63" i="86"/>
  <c r="C62" i="86"/>
  <c r="E62" i="86" s="1"/>
  <c r="E61" i="86"/>
  <c r="E60" i="86"/>
  <c r="C59" i="86"/>
  <c r="E59" i="86" s="1"/>
  <c r="C58" i="86"/>
  <c r="E58" i="86" s="1"/>
  <c r="C57" i="86"/>
  <c r="E57" i="86" s="1"/>
  <c r="C56" i="86"/>
  <c r="E56" i="86" s="1"/>
  <c r="C55" i="86"/>
  <c r="E55" i="86" s="1"/>
  <c r="C54" i="86"/>
  <c r="E54" i="86" s="1"/>
  <c r="E53" i="86"/>
  <c r="E52" i="86"/>
  <c r="E51" i="86"/>
  <c r="E37" i="86"/>
  <c r="E36" i="86"/>
  <c r="E30" i="86"/>
  <c r="B17" i="86"/>
  <c r="B14" i="86"/>
  <c r="B13" i="86"/>
  <c r="B12" i="86"/>
  <c r="B11" i="86"/>
  <c r="E6" i="87" l="1"/>
  <c r="G4" i="2"/>
  <c r="F3" i="2"/>
  <c r="E66" i="86"/>
  <c r="E43" i="86" s="1"/>
  <c r="E28" i="86"/>
  <c r="E33" i="86"/>
  <c r="E32" i="86"/>
  <c r="E31" i="86"/>
  <c r="E29" i="86"/>
  <c r="E38" i="86"/>
  <c r="E22" i="86"/>
  <c r="E35" i="86"/>
  <c r="E20" i="86"/>
  <c r="E34" i="86"/>
  <c r="E10" i="86"/>
  <c r="E15" i="86"/>
  <c r="E18" i="86"/>
  <c r="H6" i="87" l="1"/>
  <c r="H4" i="2"/>
  <c r="E9" i="86"/>
  <c r="E23" i="86"/>
  <c r="E27" i="86"/>
  <c r="E26" i="86"/>
  <c r="E8" i="86"/>
  <c r="E21" i="86"/>
  <c r="E25" i="86"/>
  <c r="E24" i="86"/>
  <c r="E19" i="86"/>
  <c r="F5" i="86" l="1"/>
  <c r="G3" i="2" s="1"/>
  <c r="L12" i="10"/>
  <c r="L24" i="10"/>
  <c r="L23" i="10"/>
  <c r="L11" i="10"/>
  <c r="O15" i="10"/>
  <c r="O10" i="10"/>
  <c r="O11" i="10"/>
  <c r="E6" i="86" l="1"/>
  <c r="H3" i="2" l="1"/>
  <c r="I3" i="2" s="1"/>
  <c r="H6" i="86"/>
  <c r="F1" i="2" l="1"/>
  <c r="I1" i="10" l="1"/>
  <c r="R14" i="10" l="1"/>
  <c r="R7" i="10"/>
  <c r="R3" i="10"/>
  <c r="R4" i="10" s="1"/>
  <c r="R6" i="10" s="1"/>
  <c r="R10" i="10" s="1"/>
  <c r="R11" i="10" s="1"/>
  <c r="I18" i="10" s="1"/>
  <c r="AK5" i="21"/>
  <c r="AH2" i="21"/>
  <c r="AF5" i="21"/>
  <c r="AC2" i="21"/>
  <c r="AA5" i="21"/>
  <c r="X2" i="21"/>
  <c r="V5" i="21"/>
  <c r="S2" i="21"/>
  <c r="I1" i="21"/>
  <c r="N1" i="21" s="1"/>
  <c r="S1" i="21" s="1"/>
  <c r="X1" i="21" s="1"/>
  <c r="AC1" i="21" s="1"/>
  <c r="AH1" i="21" s="1"/>
  <c r="Q5" i="21"/>
  <c r="N2" i="21"/>
  <c r="L5" i="21"/>
  <c r="I2" i="21"/>
  <c r="D2" i="21"/>
  <c r="G5" i="21"/>
  <c r="I5" i="10"/>
  <c r="I9" i="10" s="1"/>
  <c r="L17" i="10"/>
  <c r="O14" i="10"/>
  <c r="L14" i="10"/>
  <c r="L20" i="10" s="1"/>
  <c r="O7" i="10"/>
  <c r="O3" i="10"/>
  <c r="O4" i="10" s="1"/>
  <c r="O6" i="10" s="1"/>
  <c r="L7" i="10"/>
  <c r="L3" i="10"/>
  <c r="L4" i="10" s="1"/>
  <c r="L6" i="10" s="1"/>
  <c r="E8" i="11"/>
  <c r="C9" i="11"/>
  <c r="E7" i="11"/>
  <c r="E6" i="11"/>
  <c r="E5" i="11"/>
  <c r="E4" i="11"/>
  <c r="E3" i="11"/>
  <c r="C12" i="11"/>
  <c r="C11" i="11"/>
  <c r="C10" i="11"/>
  <c r="C8" i="11"/>
  <c r="C7" i="11"/>
  <c r="C6" i="11"/>
  <c r="C5" i="11"/>
  <c r="C4" i="11"/>
  <c r="C3" i="11"/>
  <c r="L3" i="11"/>
  <c r="L6" i="11" s="1"/>
  <c r="H6" i="11"/>
  <c r="H3" i="11"/>
  <c r="I17" i="10" l="1"/>
  <c r="I19" i="10" s="1"/>
  <c r="L10" i="10"/>
  <c r="R12" i="10"/>
  <c r="R15" i="10"/>
  <c r="R16" i="10"/>
  <c r="AK7" i="21"/>
  <c r="AK8" i="21" s="1"/>
  <c r="B9" i="21" s="1"/>
  <c r="G7" i="21"/>
  <c r="G8" i="21" s="1"/>
  <c r="B3" i="21" s="1"/>
  <c r="AF7" i="21"/>
  <c r="AF8" i="21" s="1"/>
  <c r="B8" i="21" s="1"/>
  <c r="AA7" i="21"/>
  <c r="AA8" i="21" s="1"/>
  <c r="B7" i="21" s="1"/>
  <c r="V7" i="21"/>
  <c r="V8" i="21" s="1"/>
  <c r="B6" i="21" s="1"/>
  <c r="Q7" i="21"/>
  <c r="Q8" i="21" s="1"/>
  <c r="B5" i="21" s="1"/>
  <c r="L7" i="21"/>
  <c r="L8" i="21" s="1"/>
  <c r="B4" i="21" s="1"/>
  <c r="I13" i="10"/>
  <c r="I14" i="10"/>
  <c r="F12" i="11"/>
  <c r="E12" i="11"/>
  <c r="F11" i="11"/>
  <c r="E11" i="11"/>
  <c r="F10" i="11"/>
  <c r="E10" i="11"/>
  <c r="F9" i="11"/>
  <c r="E9" i="11"/>
  <c r="F8" i="11"/>
  <c r="F7" i="11"/>
  <c r="F6" i="11"/>
  <c r="F5" i="11"/>
  <c r="F4" i="11"/>
  <c r="F3" i="11"/>
  <c r="F3" i="10"/>
  <c r="I2" i="10" l="1"/>
  <c r="I3" i="10" s="1"/>
  <c r="I10" i="10"/>
  <c r="I11" i="10" s="1"/>
  <c r="L15" i="10"/>
  <c r="I6" i="10"/>
  <c r="I7" i="10" s="1"/>
  <c r="L16" i="10"/>
  <c r="B1" i="21"/>
  <c r="O12" i="10"/>
  <c r="I15" i="10"/>
  <c r="O16" i="10"/>
  <c r="J5" i="11"/>
  <c r="J6" i="11"/>
  <c r="H7" i="11"/>
  <c r="I21" i="10" l="1"/>
  <c r="J7" i="11"/>
  <c r="J8" i="11" s="1"/>
  <c r="G1" i="2" l="1"/>
  <c r="J1" i="2" s="1"/>
  <c r="J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 YUNGA</author>
    <author>Usuario</author>
    <author>PattyJ</author>
  </authors>
  <commentList>
    <comment ref="H6" authorId="0" shapeId="0" xr:uid="{2681726C-D885-4E88-AB59-29C3891640CA}">
      <text>
        <r>
          <rPr>
            <sz val="9"/>
            <color indexed="81"/>
            <rFont val="Tahoma"/>
            <family val="2"/>
          </rPr>
          <t>DIVISIÓN DE LA DIFERENCIA PARA EL TOTAL DE VENTAS.</t>
        </r>
      </text>
    </comment>
    <comment ref="A8" authorId="1" shapeId="0" xr:uid="{D9C19728-D5AD-42BF-9AEB-40F0B50B25F9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8" authorId="1" shapeId="0" xr:uid="{D4FA31B2-4EC9-4BFA-9890-A4AF1812B12D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8" authorId="1" shapeId="0" xr:uid="{EC71BB68-D1A7-41DC-9647-A9561CF25398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9" authorId="1" shapeId="0" xr:uid="{0E2E247F-34EE-427F-8759-84EED2F7D36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9" authorId="1" shapeId="0" xr:uid="{CEE21956-D5B7-4CC6-BCD5-188C94DD96A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9" authorId="1" shapeId="0" xr:uid="{95C7AB81-BC79-4A4E-B634-61C33D910F9E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0" authorId="1" shapeId="0" xr:uid="{90CC955C-C45B-4B33-8F60-A2A66BDF925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0" authorId="1" shapeId="0" xr:uid="{E2357284-A001-4F08-9A53-564AF14B98F1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0" authorId="1" shapeId="0" xr:uid="{C92D57D9-8AF9-4F46-B97E-78FFF133BA7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1" authorId="1" shapeId="0" xr:uid="{AC2B72A0-8D3D-4FF2-AEA1-1BEECCC42BE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2" authorId="1" shapeId="0" xr:uid="{1E00B1BC-D915-4E82-A342-C06F42CB817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3" authorId="1" shapeId="0" xr:uid="{E4ADDB5B-3294-4AA2-AF33-F5FED908E7D1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4" authorId="1" shapeId="0" xr:uid="{A98BE724-A0D4-47B5-9021-289134268C8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5" authorId="1" shapeId="0" xr:uid="{7E16E136-AA77-490D-8317-8B64DEC25E2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5" authorId="1" shapeId="0" xr:uid="{DC0C1994-1589-4320-B12A-328E58C8250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5" authorId="1" shapeId="0" xr:uid="{EDD44460-9B16-4DF8-9165-632A37953081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6" authorId="1" shapeId="0" xr:uid="{8A2A76DC-6DD7-4AAD-A160-519AF1104170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6" authorId="1" shapeId="0" xr:uid="{3FE4939B-1F9A-48CF-9421-232761B36DF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6" authorId="1" shapeId="0" xr:uid="{E57527D3-D29E-4727-B1C7-01432B703BD4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7" authorId="1" shapeId="0" xr:uid="{8450F1A3-C083-4347-A771-2F9FC7BA172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8" authorId="1" shapeId="0" xr:uid="{F23F831E-8764-4974-B3A2-72BAF07BCB2E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8" authorId="1" shapeId="0" xr:uid="{6BA62F93-4D94-42A3-A746-DCC9A117B88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8" authorId="1" shapeId="0" xr:uid="{BE18D504-32AB-4A74-AF32-A49BE12CC29B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9" authorId="1" shapeId="0" xr:uid="{CB896AA4-3F73-45FA-B517-718B5CBF2AD1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9" authorId="1" shapeId="0" xr:uid="{A4D5FA01-3559-4914-83DC-5EE9459A239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9" authorId="1" shapeId="0" xr:uid="{DEBADB9E-7E95-49AD-87D5-89BB9125FA1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0" authorId="1" shapeId="0" xr:uid="{D027822A-6CA4-4E8B-B6A3-7EA0F72773C4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0" authorId="1" shapeId="0" xr:uid="{2BC58BB9-9543-4D49-856E-0B4F321FF61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1" authorId="1" shapeId="0" xr:uid="{0B92C478-8D4C-4513-90F6-9145DA06356D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1" authorId="1" shapeId="0" xr:uid="{03465A0A-A4CC-4751-8B70-36F1CE33B4B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1" authorId="1" shapeId="0" xr:uid="{4ADFB751-9A63-453E-BE3F-E9BA51588B9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2" authorId="1" shapeId="0" xr:uid="{7997289E-572F-49F5-8A49-834D99BE490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2" authorId="1" shapeId="0" xr:uid="{AAC936CD-EF0D-410F-BC7C-FA5F45050FE7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2" authorId="1" shapeId="0" xr:uid="{8FAE53AD-B5BF-4FC5-888D-E34BF80B77F5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3" authorId="1" shapeId="0" xr:uid="{1CFE8AB5-5D9F-47F4-B1EB-B87AEF733715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3" authorId="1" shapeId="0" xr:uid="{129C03BF-C291-4508-AFDE-D9C3D082EE55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3" authorId="1" shapeId="0" xr:uid="{8465DBC8-67B4-4227-8526-5CFE05B9C6C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4" authorId="1" shapeId="0" xr:uid="{218EB79E-6B46-4E61-8005-CE001F6B6D95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4" authorId="1" shapeId="0" xr:uid="{77F28A30-3463-4056-8F09-A85567ED868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4" authorId="1" shapeId="0" xr:uid="{B766155A-79A3-414F-8809-93FD47A504D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5" authorId="1" shapeId="0" xr:uid="{B92A5310-0646-4637-996A-B3521C7D98AF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5" authorId="1" shapeId="0" xr:uid="{4F5B9F11-F1E0-4F99-B01E-F409EAF5EE49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5" authorId="1" shapeId="0" xr:uid="{CBD8BFFD-F8F9-40E3-88D6-719BFB43E3E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6" authorId="1" shapeId="0" xr:uid="{12C3F660-4CDA-4062-AB1D-8066E7A277A9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6" authorId="1" shapeId="0" xr:uid="{FD611107-9073-4857-B68E-2DAAF02CBC15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6" authorId="1" shapeId="0" xr:uid="{46859F41-CE86-4344-B4AF-3541E450F48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7" authorId="1" shapeId="0" xr:uid="{3DB1349F-9B0C-497F-887C-00672671DAC9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7" authorId="1" shapeId="0" xr:uid="{93D1A8C1-50C0-4E6A-953D-DF4A83170B7E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7" authorId="1" shapeId="0" xr:uid="{B49708C6-367A-4C70-BC95-A0EBAE64DC9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8" authorId="1" shapeId="0" xr:uid="{CC3C4298-A445-4595-8321-7223B685BCB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8" authorId="1" shapeId="0" xr:uid="{CDEFF0CF-80FA-47F1-92CC-385E7FADBB3F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9" authorId="1" shapeId="0" xr:uid="{90F69ADA-13F0-4EE1-BFE1-69120CE61D99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9" authorId="1" shapeId="0" xr:uid="{AA350974-1486-4286-AE90-10565BCFBDAB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0" authorId="1" shapeId="0" xr:uid="{55F18F42-6A76-4F07-B4A5-1FF185BB616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0" authorId="1" shapeId="0" xr:uid="{5C7DA5F3-1A28-4393-B72E-5E852DD4FB35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1" authorId="1" shapeId="0" xr:uid="{DB55DA48-B974-4D2F-932E-3CDFDEBC29F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1" authorId="1" shapeId="0" xr:uid="{C13779B1-1F1F-4729-8279-983A43A3813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2" authorId="1" shapeId="0" xr:uid="{9C358EC9-6636-4047-8B37-F4549986173D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2" authorId="1" shapeId="0" xr:uid="{5C0DC58F-6C18-4ACE-B3D5-64D463271B3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3" authorId="1" shapeId="0" xr:uid="{AE9F9182-ABC7-4B31-91F3-BF7B806C40A0}">
      <text>
        <r>
          <rPr>
            <sz val="9"/>
            <color indexed="81"/>
            <rFont val="Tahoma"/>
            <family val="2"/>
          </rPr>
          <t>Esta tela me dio comprando Don Eddy de Super Trendy, no tenemos proveedor.</t>
        </r>
      </text>
    </comment>
    <comment ref="D33" authorId="1" shapeId="0" xr:uid="{F025BCC7-0EBC-4461-8094-9E0EB5B5FD50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4" authorId="1" shapeId="0" xr:uid="{CDBF1D8C-8BBE-40C2-A42B-A25A30E01309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4" authorId="1" shapeId="0" xr:uid="{A65C1088-67C3-432D-B523-59B8B42BE3E7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5" authorId="1" shapeId="0" xr:uid="{0544287A-704C-48C9-B18B-A0C1A249EEE9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5" authorId="1" shapeId="0" xr:uid="{4A5A0B93-07C0-402F-A081-4334E713D83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6" authorId="1" shapeId="0" xr:uid="{91D02EF1-A688-4239-B306-26FF0117FC37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7" authorId="1" shapeId="0" xr:uid="{2593BE6D-02A1-43D9-BC12-55D4A40188C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7" authorId="1" shapeId="0" xr:uid="{3306C3A4-A748-483E-A258-70E113875AB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8" authorId="1" shapeId="0" xr:uid="{F4180871-81D6-420F-A13A-724C50B1D980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8" authorId="1" shapeId="0" xr:uid="{15F5B450-80DE-47DF-B6FB-9D5AAA31E4BB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54" authorId="2" shapeId="0" xr:uid="{F199A6E6-4F9F-46C7-93C3-0C9BD6A8E745}">
      <text>
        <r>
          <rPr>
            <sz val="9"/>
            <color indexed="81"/>
            <rFont val="Tahoma"/>
            <family val="2"/>
          </rPr>
          <t>Trabajo 3 días de la semana de navidad y 2 días de la semana de fin de año mas 50 dolares de aguirnaldo.</t>
        </r>
      </text>
    </comment>
    <comment ref="D56" authorId="2" shapeId="0" xr:uid="{B801DDFF-A256-4AA1-9B11-FFF9C054892C}">
      <text>
        <r>
          <rPr>
            <sz val="9"/>
            <color indexed="81"/>
            <rFont val="Tahoma"/>
            <family val="2"/>
          </rPr>
          <t>Se le pago a razon de 80 dolares por aguirnaldo.</t>
        </r>
      </text>
    </comment>
    <comment ref="D57" authorId="2" shapeId="0" xr:uid="{5D6489E7-25E1-4018-80C5-F0CF6FE2AA03}">
      <text>
        <r>
          <rPr>
            <sz val="9"/>
            <color indexed="81"/>
            <rFont val="Tahoma"/>
            <family val="2"/>
          </rPr>
          <t>Se le pago a razon de 80 dolares por aguirnaldo.</t>
        </r>
      </text>
    </comment>
    <comment ref="D58" authorId="2" shapeId="0" xr:uid="{C725AE1F-985D-44E9-96B4-5C7F0ECDD4A1}">
      <text>
        <r>
          <rPr>
            <sz val="9"/>
            <color indexed="81"/>
            <rFont val="Tahoma"/>
            <family val="2"/>
          </rPr>
          <t>Se le pago a razon de 80 dolares por aguirnaldo.</t>
        </r>
      </text>
    </comment>
    <comment ref="D59" authorId="2" shapeId="0" xr:uid="{DB4FC08B-EEB6-497B-8F40-05FBEF171D5C}">
      <text>
        <r>
          <rPr>
            <sz val="9"/>
            <color indexed="81"/>
            <rFont val="Tahoma"/>
            <family val="2"/>
          </rPr>
          <t>Se le pago a razon de 80 dolares por aguirnaldo.</t>
        </r>
      </text>
    </comment>
    <comment ref="C61" authorId="0" shapeId="0" xr:uid="{BAA3519B-18A3-4333-995D-E16C1427F0A3}">
      <text>
        <r>
          <rPr>
            <sz val="9"/>
            <color indexed="81"/>
            <rFont val="Tahoma"/>
            <family val="2"/>
          </rPr>
          <t>No tuvo el mismo rendimiento que las otras costureras</t>
        </r>
      </text>
    </comment>
    <comment ref="G70" authorId="0" shapeId="0" xr:uid="{B8C4F691-083C-4169-86CB-BE9302B7CCC6}">
      <text>
        <r>
          <rPr>
            <b/>
            <sz val="9"/>
            <color indexed="81"/>
            <rFont val="Tahoma"/>
            <family val="2"/>
          </rPr>
          <t>valor en dolares</t>
        </r>
      </text>
    </comment>
    <comment ref="H70" authorId="0" shapeId="0" xr:uid="{97A392F6-E4ED-400B-8298-5E0CE96965DB}">
      <text>
        <r>
          <rPr>
            <b/>
            <sz val="9"/>
            <color indexed="81"/>
            <rFont val="Tahoma"/>
            <family val="2"/>
          </rPr>
          <t>cantidad en m</t>
        </r>
      </text>
    </comment>
    <comment ref="K70" authorId="0" shapeId="0" xr:uid="{89844089-FCE4-4F1F-B721-7B2227C1D596}">
      <text>
        <r>
          <rPr>
            <b/>
            <sz val="9"/>
            <color indexed="81"/>
            <rFont val="Tahoma"/>
            <family val="2"/>
          </rPr>
          <t>Cantidad de  piezas</t>
        </r>
      </text>
    </comment>
    <comment ref="L70" authorId="0" shapeId="0" xr:uid="{9EAC230D-DD92-417F-80DB-04493243C824}">
      <text>
        <r>
          <rPr>
            <b/>
            <sz val="9"/>
            <color indexed="81"/>
            <rFont val="Tahoma"/>
            <family val="2"/>
          </rPr>
          <t>Cantidad de  piezas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 YUNGA</author>
    <author>Usuario</author>
    <author>PattyJ</author>
  </authors>
  <commentList>
    <comment ref="H6" authorId="0" shapeId="0" xr:uid="{345CF62C-C36C-49EB-869D-EFD43A964AA7}">
      <text>
        <r>
          <rPr>
            <sz val="9"/>
            <color indexed="81"/>
            <rFont val="Tahoma"/>
            <family val="2"/>
          </rPr>
          <t>DIVISIÓN DE LA DIFERENCIA PARA EL TOTAL DE VENTAS.</t>
        </r>
      </text>
    </comment>
    <comment ref="A8" authorId="1" shapeId="0" xr:uid="{D7D2BC23-E03F-40F1-B946-A38CCA85359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8" authorId="1" shapeId="0" xr:uid="{90B39E7F-0BAC-4818-B0F9-FB6929AA9D08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8" authorId="1" shapeId="0" xr:uid="{F989B3ED-0506-43B1-B816-14A54FE807C1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9" authorId="1" shapeId="0" xr:uid="{7C693392-DD93-4B40-BDCE-60505B9F8F2B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9" authorId="1" shapeId="0" xr:uid="{7FF5334E-24B5-42B6-B335-B6495F1739C1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9" authorId="1" shapeId="0" xr:uid="{BFE64E26-0BDB-44CE-B42E-A6D280AC3A28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0" authorId="1" shapeId="0" xr:uid="{EA9DFE48-C21B-4423-A5BE-DAD8E2A6A67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0" authorId="1" shapeId="0" xr:uid="{1DCCB529-7D0C-43CA-A359-CAF4E92679B4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0" authorId="1" shapeId="0" xr:uid="{EB4D6E8D-2216-47DB-A83F-51354FBDA60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1" authorId="1" shapeId="0" xr:uid="{11D7AE8C-4FBD-4519-A7F0-524EAD14CD47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2" authorId="1" shapeId="0" xr:uid="{0742FD01-A5A2-4C73-AA12-B455A77946D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3" authorId="1" shapeId="0" xr:uid="{0EE31D42-DC16-48A0-BD6D-2F7F22D9FAF1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4" authorId="1" shapeId="0" xr:uid="{198C4B05-E355-4BC5-8E32-6B595FFF11A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5" authorId="1" shapeId="0" xr:uid="{4BF19340-114B-4E4F-BE4F-88D856021C50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5" authorId="1" shapeId="0" xr:uid="{D333A4F3-B54A-4916-B3E9-414A2E220CA5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5" authorId="1" shapeId="0" xr:uid="{B76AE7E3-F2C0-4AD3-90F7-2FA833D661E7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6" authorId="1" shapeId="0" xr:uid="{2598FE2A-3FE9-466F-B1FF-77709D23B89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6" authorId="1" shapeId="0" xr:uid="{0B793F84-9497-4843-ABFB-2B139EF9E7E0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6" authorId="1" shapeId="0" xr:uid="{83C66137-DAE3-478A-9CAF-764ABCC3B141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7" authorId="1" shapeId="0" xr:uid="{4CF31578-020C-48D9-B1B4-11977119855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8" authorId="1" shapeId="0" xr:uid="{2C19DDDA-5482-4E38-BE3B-45D6B9116C0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8" authorId="1" shapeId="0" xr:uid="{1DAFA825-D634-453C-9FEE-366B002CB32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8" authorId="1" shapeId="0" xr:uid="{8827DE23-0EEE-4D8A-800D-5990B996507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9" authorId="1" shapeId="0" xr:uid="{2F1F695E-3A90-4134-BB8A-EBB1BE0A70BD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9" authorId="1" shapeId="0" xr:uid="{7C7ABBC5-136E-4C09-997E-8121DCA2907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9" authorId="1" shapeId="0" xr:uid="{F07A69C0-B65D-4946-A196-C2B1D2B889D9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0" authorId="1" shapeId="0" xr:uid="{73F6D9FE-4DC5-49BD-80A3-17E50D7E944E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0" authorId="1" shapeId="0" xr:uid="{1E6EBAB6-650E-41D3-97B1-F8A9880A004B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1" authorId="1" shapeId="0" xr:uid="{89174CE8-8D9C-49DD-B5C0-CA7CA780D52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1" authorId="1" shapeId="0" xr:uid="{2AB8CEE5-9001-4E14-B71B-3EA3012A33D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1" authorId="1" shapeId="0" xr:uid="{2D32A5BC-2204-4D5B-971A-A3D82EAF203F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2" authorId="1" shapeId="0" xr:uid="{CDEF4B60-9D52-429C-85C1-BB24EE873B47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2" authorId="1" shapeId="0" xr:uid="{FA8643F6-FC24-4463-8E8E-2A1974F5661E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2" authorId="1" shapeId="0" xr:uid="{EB84B71D-AF60-4334-B6B2-754A4746939E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3" authorId="1" shapeId="0" xr:uid="{5015C637-3B75-4B86-9209-4CB09A543DFB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3" authorId="1" shapeId="0" xr:uid="{06AC7AAB-D674-42D0-868E-CB39F27F901B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C23" authorId="2" shapeId="0" xr:uid="{7CBB4220-7C96-47FC-B937-56DADF671DCC}">
      <text>
        <r>
          <rPr>
            <b/>
            <sz val="9"/>
            <color indexed="81"/>
            <rFont val="Tahoma"/>
            <family val="2"/>
          </rPr>
          <t>Se vendio 1 metro de ribb Sra. Yommi</t>
        </r>
      </text>
    </comment>
    <comment ref="D23" authorId="1" shapeId="0" xr:uid="{6FE41F03-CCF4-47D4-A4CC-FBD9D92C3E5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4" authorId="1" shapeId="0" xr:uid="{29E5EE41-82F9-4F06-A8E7-F1D3FA8100DD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4" authorId="1" shapeId="0" xr:uid="{CE8D8DC0-7AEA-4503-B1EB-6137B004618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4" authorId="1" shapeId="0" xr:uid="{A79C3E76-8B6F-49C1-8195-9AF46462709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5" authorId="1" shapeId="0" xr:uid="{F06DFE9D-1B7B-4657-8A40-FAEC3FE1C4FE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5" authorId="1" shapeId="0" xr:uid="{2D636BFE-F4B0-4704-9ECD-4AB4F35E0127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5" authorId="1" shapeId="0" xr:uid="{2A864F9B-37F9-43AD-A9C0-EDFBD0A0DC3E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6" authorId="1" shapeId="0" xr:uid="{FF8F8C0E-CE12-4E78-BE8F-71FC0C208B0B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6" authorId="1" shapeId="0" xr:uid="{459FA78C-A7A7-43E8-896A-24E8503D3A3D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6" authorId="1" shapeId="0" xr:uid="{5B8F3E64-86D4-4573-A4DC-5B453F63EEC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7" authorId="1" shapeId="0" xr:uid="{56E5D67E-F964-45FC-8644-4A562D7D3C3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7" authorId="1" shapeId="0" xr:uid="{5131EE3F-B7AE-4704-A220-6FAFAF31003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7" authorId="1" shapeId="0" xr:uid="{C541E120-1474-46EC-98CD-5ADB829A248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8" authorId="1" shapeId="0" xr:uid="{A1F051BA-192E-4FB5-BDE1-1D05E77B34C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8" authorId="1" shapeId="0" xr:uid="{46A43368-1BC3-44C9-B856-DFDED96BA7D0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9" authorId="1" shapeId="0" xr:uid="{ED6A54D3-3E23-4E1D-9845-4F6E42D5D041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9" authorId="1" shapeId="0" xr:uid="{AD8DCA69-F8C1-4736-BFA3-856CB19B0C1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0" authorId="1" shapeId="0" xr:uid="{3A7482A1-CB4F-4892-9FA7-3E1B9985B18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0" authorId="1" shapeId="0" xr:uid="{C342A0A4-97A5-4CFF-99E6-C0DBE7C89C0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1" authorId="1" shapeId="0" xr:uid="{FC00EF8A-5E89-4AAA-ABD3-7F3CA26F510F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1" authorId="1" shapeId="0" xr:uid="{BFB07D59-4F9A-4A01-89E9-66328BD460E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2" authorId="1" shapeId="0" xr:uid="{5FE13E7B-A023-4827-9593-84AEA3E75AC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2" authorId="1" shapeId="0" xr:uid="{2A6E78AE-3933-495F-8DDC-1D49345F480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3" authorId="1" shapeId="0" xr:uid="{3A974340-F255-46F5-A6B9-3D664FD9DADA}">
      <text>
        <r>
          <rPr>
            <sz val="9"/>
            <color indexed="81"/>
            <rFont val="Tahoma"/>
            <family val="2"/>
          </rPr>
          <t>Esta tela me dio comprando Don Eddy de Super Trendy, no tenemos proveedor.</t>
        </r>
      </text>
    </comment>
    <comment ref="D33" authorId="1" shapeId="0" xr:uid="{D11A05AF-FE96-4197-BFB7-FBF6DB432B6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4" authorId="1" shapeId="0" xr:uid="{872DA021-21A5-49A9-8235-0EA66515F9E8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4" authorId="1" shapeId="0" xr:uid="{942C6954-40D2-4CEB-9484-F782D0143AB9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5" authorId="1" shapeId="0" xr:uid="{B368103A-B5F2-4633-A53D-35147B4A792D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5" authorId="1" shapeId="0" xr:uid="{37542124-F273-445B-BA4B-38396FC83D2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6" authorId="1" shapeId="0" xr:uid="{45EFE410-18AB-4E64-9D5E-5016970ED13D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7" authorId="1" shapeId="0" xr:uid="{C6838890-CD11-4FAC-9DA5-3CF9D4FBCC78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7" authorId="1" shapeId="0" xr:uid="{77832930-8E01-4C55-9670-8D6CD4BB998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8" authorId="1" shapeId="0" xr:uid="{06187A0D-FD87-489C-99D9-8CF47B6DCBA8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8" authorId="1" shapeId="0" xr:uid="{96C57083-1686-48A2-9AB2-CCA25E09ADB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54" authorId="2" shapeId="0" xr:uid="{F6F30D44-9C0E-4A4A-826F-6BB80BC6850C}">
      <text>
        <r>
          <rPr>
            <sz val="9"/>
            <color indexed="81"/>
            <rFont val="Tahoma"/>
            <family val="2"/>
          </rPr>
          <t>Trabajo 3 días de la semana de navidad y 2 días de la semana de fin de año mas 50 dolares de aguirnaldo.</t>
        </r>
      </text>
    </comment>
    <comment ref="D56" authorId="2" shapeId="0" xr:uid="{3F4D4FA4-B732-4348-B8ED-0D2AF54F0678}">
      <text>
        <r>
          <rPr>
            <sz val="9"/>
            <color indexed="81"/>
            <rFont val="Tahoma"/>
            <family val="2"/>
          </rPr>
          <t>Se le pago a razon de 80 dolares por aguirnaldo.</t>
        </r>
      </text>
    </comment>
    <comment ref="D57" authorId="2" shapeId="0" xr:uid="{D0B32AED-C8EB-4FD9-BEBA-F23CF30D9BF9}">
      <text>
        <r>
          <rPr>
            <sz val="9"/>
            <color indexed="81"/>
            <rFont val="Tahoma"/>
            <family val="2"/>
          </rPr>
          <t>Se le pago a razon de 80 dolares por aguirnaldo.</t>
        </r>
      </text>
    </comment>
    <comment ref="D58" authorId="2" shapeId="0" xr:uid="{66AA0386-3240-4126-8A02-339E15BCC96B}">
      <text>
        <r>
          <rPr>
            <sz val="9"/>
            <color indexed="81"/>
            <rFont val="Tahoma"/>
            <family val="2"/>
          </rPr>
          <t>Se le pago a razon de 80 dolares por aguirnaldo.</t>
        </r>
      </text>
    </comment>
    <comment ref="D59" authorId="2" shapeId="0" xr:uid="{34AC3330-FB16-4024-8FC7-A9A9BEEC5B70}">
      <text>
        <r>
          <rPr>
            <sz val="9"/>
            <color indexed="81"/>
            <rFont val="Tahoma"/>
            <family val="2"/>
          </rPr>
          <t>Se le pago a razon de 80 dolares por aguirnaldo.</t>
        </r>
      </text>
    </comment>
    <comment ref="C61" authorId="0" shapeId="0" xr:uid="{4DC26C58-0DA3-4DF7-BEA7-14CA348F883A}">
      <text>
        <r>
          <rPr>
            <sz val="9"/>
            <color indexed="81"/>
            <rFont val="Tahoma"/>
            <family val="2"/>
          </rPr>
          <t>No tuvo el mismo rendimiento que las otras costureras</t>
        </r>
      </text>
    </comment>
    <comment ref="G70" authorId="0" shapeId="0" xr:uid="{EF74A44F-EFE8-4A50-A556-C1D7EC520D1F}">
      <text>
        <r>
          <rPr>
            <b/>
            <sz val="9"/>
            <color indexed="81"/>
            <rFont val="Tahoma"/>
            <family val="2"/>
          </rPr>
          <t>valor en dolares</t>
        </r>
      </text>
    </comment>
    <comment ref="H70" authorId="0" shapeId="0" xr:uid="{D18D5230-F836-42A1-AB5B-7765C76B5039}">
      <text>
        <r>
          <rPr>
            <b/>
            <sz val="9"/>
            <color indexed="81"/>
            <rFont val="Tahoma"/>
            <family val="2"/>
          </rPr>
          <t>cantidad en m</t>
        </r>
      </text>
    </comment>
    <comment ref="K70" authorId="0" shapeId="0" xr:uid="{927B458D-CD1D-4135-869E-598E7085D3EB}">
      <text>
        <r>
          <rPr>
            <b/>
            <sz val="9"/>
            <color indexed="81"/>
            <rFont val="Tahoma"/>
            <family val="2"/>
          </rPr>
          <t>Cantidad de  piezas</t>
        </r>
      </text>
    </comment>
    <comment ref="L70" authorId="0" shapeId="0" xr:uid="{4E85BC7D-E1D2-4330-9C5A-7976BCC3EE3D}">
      <text>
        <r>
          <rPr>
            <b/>
            <sz val="9"/>
            <color indexed="81"/>
            <rFont val="Tahoma"/>
            <family val="2"/>
          </rPr>
          <t>Cantidad de  piezas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 YUNGA</author>
    <author>Usuario</author>
    <author>PattyJ</author>
  </authors>
  <commentList>
    <comment ref="H6" authorId="0" shapeId="0" xr:uid="{67D39308-848F-4602-A25B-9D8B958600A8}">
      <text>
        <r>
          <rPr>
            <sz val="9"/>
            <color indexed="81"/>
            <rFont val="Tahoma"/>
            <family val="2"/>
          </rPr>
          <t>DIVISIÓN DE LA DIFERENCIA PARA EL TOTAL DE VENTAS.</t>
        </r>
      </text>
    </comment>
    <comment ref="A8" authorId="1" shapeId="0" xr:uid="{57975B10-6C9F-424E-906C-6F8F14EA4F5F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8" authorId="1" shapeId="0" xr:uid="{8A3E3BA5-657A-4F75-ABBC-523378DE997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8" authorId="1" shapeId="0" xr:uid="{FFCB9121-0AE0-4DD4-B854-1BD93166CE38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9" authorId="1" shapeId="0" xr:uid="{D23CB795-DA40-4E52-B18C-76C022C50ED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9" authorId="1" shapeId="0" xr:uid="{955768BF-F3FA-492B-B66B-B71EF60D62B5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9" authorId="1" shapeId="0" xr:uid="{2592A20A-677A-459A-B352-ED453058E0E8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0" authorId="1" shapeId="0" xr:uid="{A0973177-2F67-441A-8D18-7B7989927F64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0" authorId="1" shapeId="0" xr:uid="{ACC89632-7B04-48B2-8EA6-ECB53026BB9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0" authorId="1" shapeId="0" xr:uid="{6DB15B9E-E8D0-4CFC-9227-A1BCA7E54CF8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1" authorId="1" shapeId="0" xr:uid="{77A8108B-8DBB-491C-8EC5-415A155B9D50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2" authorId="1" shapeId="0" xr:uid="{48538EFE-2CC6-467A-94FE-86A44ED99D2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3" authorId="1" shapeId="0" xr:uid="{6D7F045E-5BC8-4660-AE70-66A87F92A5B8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4" authorId="1" shapeId="0" xr:uid="{69B3CF1C-2410-4D35-A9C0-E18A6549067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5" authorId="1" shapeId="0" xr:uid="{BC628541-76D9-4EED-95A8-9F89F4DB976F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5" authorId="1" shapeId="0" xr:uid="{76247CD8-1898-4051-B501-116810A06AA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5" authorId="1" shapeId="0" xr:uid="{09E38551-29D1-47F2-942E-1B265252F6BB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6" authorId="1" shapeId="0" xr:uid="{3BCC5D42-FC65-4CC5-81BA-616BFE745FA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6" authorId="1" shapeId="0" xr:uid="{0F82B6EA-CE48-4ABA-AC3D-1333DDB69AD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6" authorId="1" shapeId="0" xr:uid="{C52C5BB2-65D6-46BD-8B8A-3A50486BFD70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7" authorId="1" shapeId="0" xr:uid="{AA67E13C-5217-45B1-A6F6-98D7468836B0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8" authorId="1" shapeId="0" xr:uid="{2B48CE50-BEE9-4755-9FB3-84E19F726DFF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8" authorId="1" shapeId="0" xr:uid="{3651A771-44E6-4B47-99CE-959DDAAD08D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8" authorId="1" shapeId="0" xr:uid="{E77E46CF-EABC-426A-8A14-8100426D9D6E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9" authorId="1" shapeId="0" xr:uid="{54E871DE-A3B8-4F7F-AEF6-CB0CBC0DF08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9" authorId="1" shapeId="0" xr:uid="{ACCF6989-2909-4751-B11E-2757624E68F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9" authorId="1" shapeId="0" xr:uid="{B94E12D2-096E-481A-B3AA-841F3B661CC1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0" authorId="1" shapeId="0" xr:uid="{13B0A11F-5FFF-420B-9AA9-C1A66520C540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0" authorId="1" shapeId="0" xr:uid="{FBB24D60-9516-4787-B594-19F76B5E1EB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1" authorId="1" shapeId="0" xr:uid="{98EEE026-6CEB-4043-A744-088B9F36464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1" authorId="1" shapeId="0" xr:uid="{3CF7BA50-030A-437C-B8BA-31B7E368017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1" authorId="1" shapeId="0" xr:uid="{EB426582-61DD-4C06-812C-6E4093D1E7A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2" authorId="1" shapeId="0" xr:uid="{1AC491D3-321C-4E61-8A2B-67B4F757F044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2" authorId="1" shapeId="0" xr:uid="{8659F45F-EF4A-4A70-9013-B3CCBB33956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2" authorId="1" shapeId="0" xr:uid="{36AB1B49-B243-415A-A5EA-5B4720A9A0D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3" authorId="1" shapeId="0" xr:uid="{97B9B73D-BA4C-4BFA-BD54-16B800447D18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3" authorId="1" shapeId="0" xr:uid="{F6B1CDF5-D130-422E-B4E5-BA92B1C1AA87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3" authorId="1" shapeId="0" xr:uid="{14AD235A-6290-4996-90C7-371D8E3A86D7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4" authorId="1" shapeId="0" xr:uid="{275B1D37-C717-464C-90B7-3E9A4455E9D9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4" authorId="1" shapeId="0" xr:uid="{6024294F-2A17-4B78-9A84-2D5AA8B22B6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4" authorId="1" shapeId="0" xr:uid="{D703D126-4198-46ED-A17B-5FA9B9CB442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5" authorId="1" shapeId="0" xr:uid="{CEC8C342-F6B0-4A69-A5C2-585591D6A014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5" authorId="1" shapeId="0" xr:uid="{58410824-6B4E-469C-8A02-25FF03BF3124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5" authorId="1" shapeId="0" xr:uid="{9A57ABA4-D2F2-4BF1-B217-C0B0BF92307F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6" authorId="1" shapeId="0" xr:uid="{5F77860D-5B3C-49FF-97F6-F381F507055F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6" authorId="1" shapeId="0" xr:uid="{7762CFDF-B889-406D-AC14-A0F03CF72B9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6" authorId="1" shapeId="0" xr:uid="{EF220AA0-935C-4E16-B03A-4A01BDC396A1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7" authorId="1" shapeId="0" xr:uid="{C020D125-8656-46BB-BD46-791EAED75C10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7" authorId="1" shapeId="0" xr:uid="{220CBD39-D432-449B-BAA5-B1F9E4330297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7" authorId="1" shapeId="0" xr:uid="{A480849D-C0A4-4751-B8D8-2A39F0937A3D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8" authorId="1" shapeId="0" xr:uid="{E4D283C7-A871-4056-B238-9E7A40E8D461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8" authorId="1" shapeId="0" xr:uid="{1F5FCA7E-610B-49DE-A48D-A34FA0FEA131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9" authorId="1" shapeId="0" xr:uid="{2BC1CCB5-BE17-41EF-92B2-3294CA672B9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9" authorId="1" shapeId="0" xr:uid="{85FB7080-0C49-42DA-9E7E-279D677C256D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0" authorId="1" shapeId="0" xr:uid="{E8A75ADF-A047-421E-A6F7-8CE2BBF12AB1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0" authorId="1" shapeId="0" xr:uid="{1BB0D797-D388-4C3E-A62C-9AC02DCCB961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1" authorId="1" shapeId="0" xr:uid="{26DEDF74-539A-4463-836C-360490F0E3CB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1" authorId="1" shapeId="0" xr:uid="{DD707E29-E3D0-450A-8C7E-B13098118A1D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2" authorId="1" shapeId="0" xr:uid="{042BCCB1-FDD2-462E-B7F3-01CC0BFF3D2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2" authorId="1" shapeId="0" xr:uid="{AA9EB2DF-CC49-4E2B-8CE8-62681BCDC8D0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3" authorId="1" shapeId="0" xr:uid="{D307D3DA-AB5E-49F5-AA03-04AD8FA7A045}">
      <text>
        <r>
          <rPr>
            <sz val="9"/>
            <color indexed="81"/>
            <rFont val="Tahoma"/>
            <family val="2"/>
          </rPr>
          <t>Esta tela me dio comprando Don Eddy de Super Trendy, no tenemos proveedor.</t>
        </r>
      </text>
    </comment>
    <comment ref="D33" authorId="1" shapeId="0" xr:uid="{70523534-7D32-4F6E-A6CD-E71D86D65A25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4" authorId="1" shapeId="0" xr:uid="{8E9B7BCA-90B2-4C4D-8592-BF95A5F5090F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4" authorId="1" shapeId="0" xr:uid="{4FB60CED-1CBF-4A14-90C4-E579943C93D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5" authorId="1" shapeId="0" xr:uid="{4B137240-2E58-4601-9317-F741E211C87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5" authorId="1" shapeId="0" xr:uid="{0F608FBD-2E4C-478F-ABEF-56192A9AC00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6" authorId="1" shapeId="0" xr:uid="{EEE4E494-33F3-4A19-BEAB-0739F6CBC7BE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7" authorId="1" shapeId="0" xr:uid="{B477379C-FA6C-4A6F-B94C-55DF7DD545FF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7" authorId="1" shapeId="0" xr:uid="{C10757DB-A1FB-4F7E-90DF-05517C579037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8" authorId="1" shapeId="0" xr:uid="{1ADB70F8-04BC-487A-BD90-3CA292DF6B2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8" authorId="1" shapeId="0" xr:uid="{DEE63A59-CFC3-4290-A7F0-9BF4837682C8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54" authorId="2" shapeId="0" xr:uid="{76F6A1B5-6A03-4FDB-8CF7-CB3E427178CF}">
      <text>
        <r>
          <rPr>
            <sz val="9"/>
            <color indexed="81"/>
            <rFont val="Tahoma"/>
            <family val="2"/>
          </rPr>
          <t>Trabajo 3 días de la semana de navidad y 2 días de la semana de fin de año mas 50 dolares de aguirnaldo.</t>
        </r>
      </text>
    </comment>
    <comment ref="D56" authorId="2" shapeId="0" xr:uid="{A9742051-D0C2-404E-A33F-F625A920980F}">
      <text>
        <r>
          <rPr>
            <sz val="9"/>
            <color indexed="81"/>
            <rFont val="Tahoma"/>
            <family val="2"/>
          </rPr>
          <t>Se le pago a razon de 80 dolares por aguirnaldo.</t>
        </r>
      </text>
    </comment>
    <comment ref="D57" authorId="2" shapeId="0" xr:uid="{AB9920B1-299D-4125-9289-A01AEA345708}">
      <text>
        <r>
          <rPr>
            <sz val="9"/>
            <color indexed="81"/>
            <rFont val="Tahoma"/>
            <family val="2"/>
          </rPr>
          <t>Se le pago a razon de 80 dolares por aguirnaldo.</t>
        </r>
      </text>
    </comment>
    <comment ref="D58" authorId="2" shapeId="0" xr:uid="{383A0F7C-7BE6-4138-8E16-265503FEF31D}">
      <text>
        <r>
          <rPr>
            <sz val="9"/>
            <color indexed="81"/>
            <rFont val="Tahoma"/>
            <family val="2"/>
          </rPr>
          <t>Se le pago a razon de 80 dolares por aguirnaldo.</t>
        </r>
      </text>
    </comment>
    <comment ref="D59" authorId="2" shapeId="0" xr:uid="{32C82B47-CAB4-45CD-8E91-7091289A8C4C}">
      <text>
        <r>
          <rPr>
            <sz val="9"/>
            <color indexed="81"/>
            <rFont val="Tahoma"/>
            <family val="2"/>
          </rPr>
          <t>Se le pago a razon de 80 dolares por aguirnaldo.</t>
        </r>
      </text>
    </comment>
    <comment ref="C61" authorId="0" shapeId="0" xr:uid="{67368CA2-9D05-47DC-AB87-73DD5FF386BC}">
      <text>
        <r>
          <rPr>
            <sz val="9"/>
            <color indexed="81"/>
            <rFont val="Tahoma"/>
            <family val="2"/>
          </rPr>
          <t>No tuvo el mismo rendimiento que las otras costureras</t>
        </r>
      </text>
    </comment>
    <comment ref="G70" authorId="0" shapeId="0" xr:uid="{9ADEB944-872A-4DDF-A117-C83872ADE948}">
      <text>
        <r>
          <rPr>
            <b/>
            <sz val="9"/>
            <color indexed="81"/>
            <rFont val="Tahoma"/>
            <family val="2"/>
          </rPr>
          <t>valor en dolares</t>
        </r>
      </text>
    </comment>
    <comment ref="H70" authorId="0" shapeId="0" xr:uid="{BE42E3C0-3D31-402B-B704-4BA42131FC61}">
      <text>
        <r>
          <rPr>
            <b/>
            <sz val="9"/>
            <color indexed="81"/>
            <rFont val="Tahoma"/>
            <family val="2"/>
          </rPr>
          <t>cantidad en m</t>
        </r>
      </text>
    </comment>
    <comment ref="K70" authorId="0" shapeId="0" xr:uid="{ACF76B85-AC65-40DC-8F78-B16843D4092F}">
      <text>
        <r>
          <rPr>
            <b/>
            <sz val="9"/>
            <color indexed="81"/>
            <rFont val="Tahoma"/>
            <family val="2"/>
          </rPr>
          <t>Cantidad de  piezas</t>
        </r>
      </text>
    </comment>
    <comment ref="L70" authorId="0" shapeId="0" xr:uid="{CCC2D949-631C-40BD-B0AA-7CEA63067341}">
      <text>
        <r>
          <rPr>
            <b/>
            <sz val="9"/>
            <color indexed="81"/>
            <rFont val="Tahoma"/>
            <family val="2"/>
          </rPr>
          <t>Cantidad de  piezas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 YUNGA</author>
    <author>Usuario</author>
    <author>PattyJ</author>
  </authors>
  <commentList>
    <comment ref="H6" authorId="0" shapeId="0" xr:uid="{793D9592-080E-48E7-A9A1-1C2BA2051EC5}">
      <text>
        <r>
          <rPr>
            <sz val="9"/>
            <color indexed="81"/>
            <rFont val="Tahoma"/>
            <family val="2"/>
          </rPr>
          <t>DIVISIÓN DE LA DIFERENCIA PARA EL TOTAL DE VENTAS.</t>
        </r>
      </text>
    </comment>
    <comment ref="A8" authorId="1" shapeId="0" xr:uid="{3B334B2E-ED3E-46EF-976E-CFD10F41522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8" authorId="1" shapeId="0" xr:uid="{B17189EB-6E97-4048-8EA6-5443E4BDCF65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8" authorId="1" shapeId="0" xr:uid="{6FCD29AD-6B51-42C0-8A90-AE4482813A5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9" authorId="1" shapeId="0" xr:uid="{5B0DEA3A-2F4C-4ABE-9C7C-84E63D10A684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9" authorId="1" shapeId="0" xr:uid="{000A62EE-00F1-45BD-8468-7846603F4BE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9" authorId="1" shapeId="0" xr:uid="{A8FED036-A36C-409F-8D0E-6AED4483DE64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0" authorId="1" shapeId="0" xr:uid="{7A71971C-260C-416A-862C-EC7F97302E6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0" authorId="1" shapeId="0" xr:uid="{7687D08E-CF47-44D3-99FC-D3FDF5B03309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0" authorId="1" shapeId="0" xr:uid="{E8921261-4859-4D8E-B4FC-D8DDE40665BB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1" authorId="1" shapeId="0" xr:uid="{3964E3BE-20C1-46CF-A7F4-9DE67B32884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2" authorId="1" shapeId="0" xr:uid="{64BD576C-0A57-42BF-8FF5-8ACD078F3D9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3" authorId="1" shapeId="0" xr:uid="{19DD2CCA-D87F-49F7-8A94-C3AD54813C95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4" authorId="1" shapeId="0" xr:uid="{D5525989-9EED-4C9D-9A1A-F21779633EC4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5" authorId="1" shapeId="0" xr:uid="{469A20D5-DC3D-4DDB-9F8C-C62BBEB9605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5" authorId="1" shapeId="0" xr:uid="{00939C6D-807A-4AAD-940C-67C84DE28D8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5" authorId="1" shapeId="0" xr:uid="{78F87B62-20C8-4383-A46E-C962A5240DCF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6" authorId="1" shapeId="0" xr:uid="{829B235C-68C1-4620-ABE7-410383F2F10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6" authorId="1" shapeId="0" xr:uid="{A62B9E6D-03C8-44F2-B51A-15DFE79ABD04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6" authorId="1" shapeId="0" xr:uid="{CE1F0177-B3C3-445C-B530-13B6B85D9FB0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7" authorId="1" shapeId="0" xr:uid="{A1425C8D-4F01-4D37-9CF6-0DB7A3A6135E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8" authorId="1" shapeId="0" xr:uid="{1F78148D-D967-4FE1-AB9C-892B9BB3EC95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8" authorId="1" shapeId="0" xr:uid="{F7F6C491-DC44-4631-84E7-A06E7B44A83B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8" authorId="1" shapeId="0" xr:uid="{ABBD1809-F34F-4287-9990-31B056050AE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19" authorId="1" shapeId="0" xr:uid="{2AF6F33A-C120-4637-A16E-0B01DE6210FB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19" authorId="1" shapeId="0" xr:uid="{229A5230-4369-4F79-9421-935EDB91408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19" authorId="1" shapeId="0" xr:uid="{3C519CC8-362C-4ACE-982F-BAB4542E884F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0" authorId="1" shapeId="0" xr:uid="{5858A832-EEB5-4FD4-AC9D-CC631A124CA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0" authorId="1" shapeId="0" xr:uid="{B600D733-831F-4969-8131-6023D6447D60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1" authorId="1" shapeId="0" xr:uid="{A4F7F6BB-D510-4744-A530-4DC4962386D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1" authorId="1" shapeId="0" xr:uid="{2B65CBA6-7EE0-4FCB-B5E8-5819D70ACB18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1" authorId="1" shapeId="0" xr:uid="{93D3D0A7-9073-42F0-A5D7-7D8AF643230B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2" authorId="1" shapeId="0" xr:uid="{76C92B08-3A0C-48E0-9961-8393013F086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2" authorId="1" shapeId="0" xr:uid="{1CCBB2FF-2E8B-4B3E-B300-0801DDC58B97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2" authorId="1" shapeId="0" xr:uid="{69AC85E1-7B87-401A-BC5E-CA07BD6B9157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3" authorId="1" shapeId="0" xr:uid="{A848B484-DC53-430F-AB6A-D6BE080B5360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3" authorId="1" shapeId="0" xr:uid="{C556D415-1B77-4B6D-814B-29B86B48761E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3" authorId="1" shapeId="0" xr:uid="{80CA6EB9-D2B6-44CB-935D-3DC79AC9B9E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4" authorId="1" shapeId="0" xr:uid="{69883465-1B4A-4FC2-A0F4-31FFDF61D7DD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4" authorId="1" shapeId="0" xr:uid="{254A2D16-60FE-4967-9E58-44A537D67616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4" authorId="1" shapeId="0" xr:uid="{F91B5B50-1CDD-405E-98CA-EF358C96977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5" authorId="1" shapeId="0" xr:uid="{16811888-6FF2-45E7-91BD-6F1B855FC9C4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5" authorId="1" shapeId="0" xr:uid="{222573C6-7137-41CE-9E29-D5E08B4B79E0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5" authorId="1" shapeId="0" xr:uid="{F705B990-EC5D-46D0-A4CB-FEBECCCCCB6E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6" authorId="1" shapeId="0" xr:uid="{191000E0-E7AB-490C-9C88-7A9D2846616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6" authorId="1" shapeId="0" xr:uid="{AE73259E-4C4A-41F3-A4D4-31034F07FE6D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6" authorId="1" shapeId="0" xr:uid="{90C5FA78-5FD2-4CBC-A9B6-C564C87DB38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A27" authorId="1" shapeId="0" xr:uid="{0CFE7C16-5F59-4FF8-83D7-95F6E0707618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7" authorId="1" shapeId="0" xr:uid="{A73CF695-C8DA-45C0-9F57-CDB3AB399B0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7" authorId="1" shapeId="0" xr:uid="{7DE938FA-3CD7-4E9C-843F-F1E08D061A38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8" authorId="1" shapeId="0" xr:uid="{E95A26FF-1CD5-4B8A-B942-3717925F4905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8" authorId="1" shapeId="0" xr:uid="{393B6E05-B32B-4311-987E-2A3889E0BCC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29" authorId="1" shapeId="0" xr:uid="{91DCB7E1-F880-45A8-994F-393E4C8D390D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29" authorId="1" shapeId="0" xr:uid="{40F8B5F6-C341-42D9-B2FF-B4998539F87F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0" authorId="1" shapeId="0" xr:uid="{0F4C8339-5D9B-44F0-8706-E870E2FB17CB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0" authorId="1" shapeId="0" xr:uid="{89EDFEB6-65F8-4135-98F3-A17F6E40E02E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1" authorId="1" shapeId="0" xr:uid="{4D3942C7-0EAF-4233-B548-959CA22A9E29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1" authorId="1" shapeId="0" xr:uid="{102344F5-6FC3-4C43-A73E-B600389930E1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2" authorId="1" shapeId="0" xr:uid="{E23B78E4-1DBC-4DE0-9B34-DE199FA63807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2" authorId="1" shapeId="0" xr:uid="{14B3EEAF-891B-4199-969E-E7DC343102B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3" authorId="1" shapeId="0" xr:uid="{E724EC0B-86B2-4E29-87A6-7B145A2C1511}">
      <text>
        <r>
          <rPr>
            <sz val="9"/>
            <color indexed="81"/>
            <rFont val="Tahoma"/>
            <family val="2"/>
          </rPr>
          <t>Esta tela me dio comprando Don Eddy de Super Trendy, no tenemos proveedor.</t>
        </r>
      </text>
    </comment>
    <comment ref="D33" authorId="1" shapeId="0" xr:uid="{6E4B9610-0D36-4944-B402-279697641ED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4" authorId="1" shapeId="0" xr:uid="{6B68A1B4-F6FE-4C66-A7C4-27286419BF4F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4" authorId="1" shapeId="0" xr:uid="{17188FD6-FB82-4606-91DB-44FD62508713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5" authorId="1" shapeId="0" xr:uid="{0DFA4292-3F46-4511-926D-AC023F277D4C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5" authorId="1" shapeId="0" xr:uid="{6FEF84C5-D422-4C14-9FC3-AECBBB38B5C8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6" authorId="1" shapeId="0" xr:uid="{9C69E1D1-5269-4258-84F7-3269977BA2D2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7" authorId="1" shapeId="0" xr:uid="{6EB860E0-1372-4938-8F94-D4B1D08CABE7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7" authorId="1" shapeId="0" xr:uid="{DE87D774-0948-4FB1-BF32-48270E6F6667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B38" authorId="1" shapeId="0" xr:uid="{2AF39BC5-9616-4C21-8C33-1551F516AA7B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38" authorId="1" shapeId="0" xr:uid="{A55824FF-9542-414B-B0F0-7F8A6071CEAA}">
      <text>
        <r>
          <rPr>
            <sz val="9"/>
            <color indexed="81"/>
            <rFont val="Tahoma"/>
            <family val="2"/>
          </rPr>
          <t>Este valor viene arrastrado de la hoja de insumos donde ya consta su desgloce del kilo a metros en base a su rendimiento.</t>
        </r>
      </text>
    </comment>
    <comment ref="D54" authorId="2" shapeId="0" xr:uid="{FA090F0F-8B9F-47C6-9A52-6622913599FC}">
      <text>
        <r>
          <rPr>
            <sz val="9"/>
            <color indexed="81"/>
            <rFont val="Tahoma"/>
            <family val="2"/>
          </rPr>
          <t>Trabajo 3 días de la semana de navidad y 2 días de la semana de fin de año mas 50 dolares de aguirnaldo.</t>
        </r>
      </text>
    </comment>
    <comment ref="D56" authorId="2" shapeId="0" xr:uid="{6B983A92-B608-42C5-B5F8-6422ADBB321B}">
      <text>
        <r>
          <rPr>
            <sz val="9"/>
            <color indexed="81"/>
            <rFont val="Tahoma"/>
            <family val="2"/>
          </rPr>
          <t>Se le pago a razon de 80 dolares por aguirnaldo.</t>
        </r>
      </text>
    </comment>
    <comment ref="D57" authorId="2" shapeId="0" xr:uid="{9EF4C770-BCD8-4BDD-B6EB-2738A9F9229F}">
      <text>
        <r>
          <rPr>
            <sz val="9"/>
            <color indexed="81"/>
            <rFont val="Tahoma"/>
            <family val="2"/>
          </rPr>
          <t>Se le pago a razon de 80 dolares por aguirnaldo.</t>
        </r>
      </text>
    </comment>
    <comment ref="D58" authorId="2" shapeId="0" xr:uid="{52BA404C-926F-4CB3-BBB0-747E9B6D2C7F}">
      <text>
        <r>
          <rPr>
            <sz val="9"/>
            <color indexed="81"/>
            <rFont val="Tahoma"/>
            <family val="2"/>
          </rPr>
          <t>Se le pago a razon de 80 dolares por aguirnaldo.</t>
        </r>
      </text>
    </comment>
    <comment ref="D59" authorId="2" shapeId="0" xr:uid="{AB655132-D877-4CDA-B8D7-9444C34F4141}">
      <text>
        <r>
          <rPr>
            <sz val="9"/>
            <color indexed="81"/>
            <rFont val="Tahoma"/>
            <family val="2"/>
          </rPr>
          <t>Se le pago a razon de 80 dolares por aguirnaldo.</t>
        </r>
      </text>
    </comment>
    <comment ref="C61" authorId="0" shapeId="0" xr:uid="{A422D37D-04B3-4BB6-A36D-5A097131E982}">
      <text>
        <r>
          <rPr>
            <sz val="9"/>
            <color indexed="81"/>
            <rFont val="Tahoma"/>
            <family val="2"/>
          </rPr>
          <t>No tuvo el mismo rendimiento que las otras costureras</t>
        </r>
      </text>
    </comment>
    <comment ref="G70" authorId="0" shapeId="0" xr:uid="{E01DDEF5-2397-4782-B927-47404C65D62C}">
      <text>
        <r>
          <rPr>
            <b/>
            <sz val="9"/>
            <color indexed="81"/>
            <rFont val="Tahoma"/>
            <family val="2"/>
          </rPr>
          <t>valor en dolares</t>
        </r>
      </text>
    </comment>
    <comment ref="H70" authorId="0" shapeId="0" xr:uid="{E8C41EB3-0AD5-4E75-8A94-21648A3188EE}">
      <text>
        <r>
          <rPr>
            <b/>
            <sz val="9"/>
            <color indexed="81"/>
            <rFont val="Tahoma"/>
            <family val="2"/>
          </rPr>
          <t>cantidad en m</t>
        </r>
      </text>
    </comment>
    <comment ref="K70" authorId="0" shapeId="0" xr:uid="{600DA528-82AD-4950-926D-916C3589F26D}">
      <text>
        <r>
          <rPr>
            <b/>
            <sz val="9"/>
            <color indexed="81"/>
            <rFont val="Tahoma"/>
            <family val="2"/>
          </rPr>
          <t>Cantidad de  piezas</t>
        </r>
      </text>
    </comment>
    <comment ref="L70" authorId="0" shapeId="0" xr:uid="{412CB751-496A-4372-96A1-52029C88E7FE}">
      <text>
        <r>
          <rPr>
            <b/>
            <sz val="9"/>
            <color indexed="81"/>
            <rFont val="Tahoma"/>
            <family val="2"/>
          </rPr>
          <t>Cantidad de  piezas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JAVIER YUNGA</author>
  </authors>
  <commentList>
    <comment ref="C2" authorId="0" shapeId="0" xr:uid="{39F551EF-0221-45EF-B0EF-CD2C3A17E6B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TODOS LOS DISEÑOS DE CAMISETAS, PANTALONETAS, CALENTADORES, CHOMPAS, CHALECOS SUBLIMADAS.
LAS PRENDAS DE COSTURA COMO LAS CAMISETAS QUE LLEVAN TICKET O BORDADO NO SE INCLUYEN.</t>
        </r>
      </text>
    </comment>
    <comment ref="L8" authorId="1" shapeId="0" xr:uid="{1D7BE13D-6C38-47E0-91C8-1775ECF5CD60}">
      <text>
        <r>
          <rPr>
            <b/>
            <sz val="9"/>
            <color indexed="81"/>
            <rFont val="Tahoma"/>
            <family val="2"/>
          </rPr>
          <t xml:space="preserve">SUELDO BASICO
</t>
        </r>
      </text>
    </comment>
    <comment ref="O8" authorId="1" shapeId="0" xr:uid="{88B2F2A7-2060-4442-97D1-1A7E486D27AC}">
      <text>
        <r>
          <rPr>
            <b/>
            <sz val="9"/>
            <color indexed="81"/>
            <rFont val="Tahoma"/>
            <family val="2"/>
          </rPr>
          <t xml:space="preserve">SUELDO BASICO
</t>
        </r>
      </text>
    </comment>
    <comment ref="R8" authorId="1" shapeId="0" xr:uid="{AF8068F5-7146-4BBB-8823-20A940CB0F2A}">
      <text>
        <r>
          <rPr>
            <b/>
            <sz val="9"/>
            <color indexed="81"/>
            <rFont val="Tahoma"/>
            <family val="2"/>
          </rPr>
          <t xml:space="preserve">SUELDO BASICO
</t>
        </r>
      </text>
    </comment>
  </commentList>
</comments>
</file>

<file path=xl/sharedStrings.xml><?xml version="1.0" encoding="utf-8"?>
<sst xmlns="http://schemas.openxmlformats.org/spreadsheetml/2006/main" count="574" uniqueCount="187">
  <si>
    <t>GASTOS PERSONAL</t>
  </si>
  <si>
    <t>CALANDRA</t>
  </si>
  <si>
    <t>DESCRIPCION</t>
  </si>
  <si>
    <t>VALOR</t>
  </si>
  <si>
    <t>DÍAS</t>
  </si>
  <si>
    <t>PRECIO</t>
  </si>
  <si>
    <t>LUZ</t>
  </si>
  <si>
    <t>DOMESTICA</t>
  </si>
  <si>
    <t>DISEÑADOR Luis</t>
  </si>
  <si>
    <t>COSTURERA Mami</t>
  </si>
  <si>
    <t>EGRESOS</t>
  </si>
  <si>
    <t>TOTAL</t>
  </si>
  <si>
    <t>IMPRESIÓN</t>
  </si>
  <si>
    <t>PRODUCCION</t>
  </si>
  <si>
    <t>POLINES</t>
  </si>
  <si>
    <t># POLINES</t>
  </si>
  <si>
    <t>BORDADO</t>
  </si>
  <si>
    <t>INGRESA</t>
  </si>
  <si>
    <t>DTF</t>
  </si>
  <si>
    <t>CANTIDAD</t>
  </si>
  <si>
    <t>N° ORDEN</t>
  </si>
  <si>
    <t>CAJA</t>
  </si>
  <si>
    <t>EGRESA</t>
  </si>
  <si>
    <t>JUNIO</t>
  </si>
  <si>
    <t>-</t>
  </si>
  <si>
    <t>MAYO</t>
  </si>
  <si>
    <t>DISEÑOS GENERADOS DURANTE CADA MES</t>
  </si>
  <si>
    <t>JULIO</t>
  </si>
  <si>
    <t>CANTIDAD DE IMPRESIÓN POR METROS AL DIA</t>
  </si>
  <si>
    <t>DIA</t>
  </si>
  <si>
    <t>ANCHO 1,62</t>
  </si>
  <si>
    <t>ANCHO 1,80</t>
  </si>
  <si>
    <t>LONGITUD TOTAL</t>
  </si>
  <si>
    <t>LUNES 19/08/2024</t>
  </si>
  <si>
    <t>MARTES 20/08/2024</t>
  </si>
  <si>
    <t>MIERCOLES 21/08/2024</t>
  </si>
  <si>
    <t>JUEVES 22/08/2024</t>
  </si>
  <si>
    <t>VIERNES 23/08/2024</t>
  </si>
  <si>
    <t>AREA</t>
  </si>
  <si>
    <t>AGOSTO</t>
  </si>
  <si>
    <t xml:space="preserve"> </t>
  </si>
  <si>
    <t>GORRAS</t>
  </si>
  <si>
    <t>JARRO</t>
  </si>
  <si>
    <t>LUNES 2/SEPTIEMBRE/2024</t>
  </si>
  <si>
    <t>MIERCOLES 4 SEPTIEMBRE/2024</t>
  </si>
  <si>
    <t>MARTES 3 SEPTIEMBRE/2024</t>
  </si>
  <si>
    <t>JUEVES 5 SEPTIEMBRE/2024</t>
  </si>
  <si>
    <t>lunes, 9 de Septiembre/2024</t>
  </si>
  <si>
    <t>Martes, 10 de Septiembre/2024</t>
  </si>
  <si>
    <t>Miercoles, 11 de Septiembre/2024</t>
  </si>
  <si>
    <t>Jueves, 12 de Septiembre/2024</t>
  </si>
  <si>
    <t>Viernes, 13 de Septiembre/2024</t>
  </si>
  <si>
    <t>Sábado, 14  de Septiembre/2024</t>
  </si>
  <si>
    <t>VIERNES 6 SEPTIEMBRE/2024</t>
  </si>
  <si>
    <t>SEPTIEMBRE</t>
  </si>
  <si>
    <t>PRENDAS</t>
  </si>
  <si>
    <t>SUELDO BASICO</t>
  </si>
  <si>
    <t>SUELDO MENSUAL</t>
  </si>
  <si>
    <t>SUELDO ANUAL</t>
  </si>
  <si>
    <t>SUELDOS TOTALES</t>
  </si>
  <si>
    <t>MENSUALIZADO</t>
  </si>
  <si>
    <t>DIARIO</t>
  </si>
  <si>
    <t>% IESS AFILIADO 9.45</t>
  </si>
  <si>
    <t>% IESS PATRONAL 11.15%</t>
  </si>
  <si>
    <t>NETO MENSUAL</t>
  </si>
  <si>
    <t>DECIMO TERCERO FIN AÑOS</t>
  </si>
  <si>
    <t>DECIMO CUARTO MARZO</t>
  </si>
  <si>
    <t>PROMEDIO PRENDAS</t>
  </si>
  <si>
    <t>COSTO HORARIO IESS</t>
  </si>
  <si>
    <t>COSTO HORARIO EVENTUAL</t>
  </si>
  <si>
    <t>SUELDO DISEÑADOR</t>
  </si>
  <si>
    <t>COSTO PRENDA</t>
  </si>
  <si>
    <t>SUELDO VENDEDORA</t>
  </si>
  <si>
    <t>G. PRODUCCIÓN</t>
  </si>
  <si>
    <t>COSTO FIJO POR PRENDA</t>
  </si>
  <si>
    <t>% IESS AFILIADO 9.45%</t>
  </si>
  <si>
    <t>LONG IMPRESIÓN</t>
  </si>
  <si>
    <t>PESO TELA KG</t>
  </si>
  <si>
    <t>RENDIMIENTO</t>
  </si>
  <si>
    <t>LONG TELA</t>
  </si>
  <si>
    <t>LOG DESPERD</t>
  </si>
  <si>
    <t>% DESPERDICIO</t>
  </si>
  <si>
    <t>DESPERDICIOS</t>
  </si>
  <si>
    <t>C1</t>
  </si>
  <si>
    <t>C2</t>
  </si>
  <si>
    <t>C3</t>
  </si>
  <si>
    <t>C4</t>
  </si>
  <si>
    <t>C5</t>
  </si>
  <si>
    <t>C6</t>
  </si>
  <si>
    <t>C7</t>
  </si>
  <si>
    <t>GERENTE GENERAL</t>
  </si>
  <si>
    <t>OCTUBRE</t>
  </si>
  <si>
    <t>NOVIEMBRE</t>
  </si>
  <si>
    <t>DICIEMBRE</t>
  </si>
  <si>
    <t>CINTA REFLECTIVA</t>
  </si>
  <si>
    <t>CUELLO BORDADOS</t>
  </si>
  <si>
    <t>PUÑO BORDADOS</t>
  </si>
  <si>
    <t>ID</t>
  </si>
  <si>
    <t>ENERO</t>
  </si>
  <si>
    <t>FEBRERO</t>
  </si>
  <si>
    <t>MARZO</t>
  </si>
  <si>
    <t>ABRIL</t>
  </si>
  <si>
    <t>PATTY GERENTE GENERAL</t>
  </si>
  <si>
    <t>ASISTENTE Dunia GERENTE DE PRODUCCIÓN</t>
  </si>
  <si>
    <t>M61</t>
  </si>
  <si>
    <t>M17</t>
  </si>
  <si>
    <t>M35</t>
  </si>
  <si>
    <t>M37</t>
  </si>
  <si>
    <t>M36</t>
  </si>
  <si>
    <t>DIFERENCIA</t>
  </si>
  <si>
    <t>SUELDO G. PRODUCCIÓN</t>
  </si>
  <si>
    <t>SUELDO COSTURERA</t>
  </si>
  <si>
    <t>DIS./VENDEDORA/COSTURERA</t>
  </si>
  <si>
    <t>SUELDO GERENTE GENERAL</t>
  </si>
  <si>
    <t>M78</t>
  </si>
  <si>
    <t>M14</t>
  </si>
  <si>
    <t>M28</t>
  </si>
  <si>
    <t>COSTURA EXTERNA</t>
  </si>
  <si>
    <t>M34</t>
  </si>
  <si>
    <t>falta orden</t>
  </si>
  <si>
    <t>COSTURERO EDGAR</t>
  </si>
  <si>
    <t>M16</t>
  </si>
  <si>
    <t>Costurera Elvia</t>
  </si>
  <si>
    <t>Corta Hilachas-Planchador-Empaqueta. ANGIE</t>
  </si>
  <si>
    <t>M59</t>
  </si>
  <si>
    <t>ENVIOS</t>
  </si>
  <si>
    <t>CORTADOR-SUBLIMADOR EXTERNO Javier Espinoza</t>
  </si>
  <si>
    <t>CONTADORA Janinna Andrade NOVIEMBRE</t>
  </si>
  <si>
    <t>PLAN DE CLARO NOVIEMBRE</t>
  </si>
  <si>
    <t>VALOR X MES</t>
  </si>
  <si>
    <t>Empareja y Empaqueta Carla Dominguez</t>
  </si>
  <si>
    <t>Sacar en Optitex muestras de falda short</t>
  </si>
  <si>
    <t>Generar mockup de niños para la pagina yunpar</t>
  </si>
  <si>
    <t>GASTOS</t>
  </si>
  <si>
    <t>FECHAS</t>
  </si>
  <si>
    <t>INGRESOS</t>
  </si>
  <si>
    <t>SALDO</t>
  </si>
  <si>
    <t xml:space="preserve">MOTORIZADO </t>
  </si>
  <si>
    <t>DTF/TPU</t>
  </si>
  <si>
    <t>MES/2026</t>
  </si>
  <si>
    <t>Lunes 5 ENERO al sábado 10 de ENERO del 2026</t>
  </si>
  <si>
    <t>SEMANA 96 CALANDRA</t>
  </si>
  <si>
    <t>20 DISEÑO ANULADA Javier Monserrate de Atletico Bolivar falta listado</t>
  </si>
  <si>
    <t>SEMANA 97 CALANDRA</t>
  </si>
  <si>
    <t>Lunes 12 ENERO al sábado 17 de ENERO del 2026</t>
  </si>
  <si>
    <t>SIN ORDEN</t>
  </si>
  <si>
    <t>Yommi equipo futbol ORDEN 6244 + $10 DISEÑO + ARMADO</t>
  </si>
  <si>
    <t>sublime store banderas</t>
  </si>
  <si>
    <t>TRAJE JOSE SPIDERMNA</t>
  </si>
  <si>
    <t>FALTA HACER</t>
  </si>
  <si>
    <t>ANULADA</t>
  </si>
  <si>
    <t>Molde Falda Short mitad plizado</t>
  </si>
  <si>
    <t>Diseño Abg. Omar Torres</t>
  </si>
  <si>
    <t>completar las tiras de ribb y colocar etiquetas que combines con polines y colores CMYK</t>
  </si>
  <si>
    <t>Servio Serrano 140 Tiras x 0.6</t>
  </si>
  <si>
    <t>Garcia Moreno 440 tiras para calentadores o 880 unidades cada una ha 0.3 ctvs.</t>
  </si>
  <si>
    <t>MOTORIZADO MOTO FAST POLINES</t>
  </si>
  <si>
    <t>COMPRA</t>
  </si>
  <si>
    <t>LOGIST.</t>
  </si>
  <si>
    <t>REATA Y ELASTICO DE PANTALONETAS GEMSY</t>
  </si>
  <si>
    <t>CINTA DE PAPEL</t>
  </si>
  <si>
    <t>GASTOS VARIOS</t>
  </si>
  <si>
    <t>MOTOSERVICIO</t>
  </si>
  <si>
    <t>GEMSY JUEGO CUCHILLAS BROCHES</t>
  </si>
  <si>
    <t>BIDONES DE AGUA</t>
  </si>
  <si>
    <t>COMERCIAL GALVEZ 1 BULTO DE FUNDAS 1 B. DE PAPEL H.</t>
  </si>
  <si>
    <t>Moto Fast entrea tizas y Polines en la FIC</t>
  </si>
  <si>
    <t>Gemsy 5 tizas de cera</t>
  </si>
  <si>
    <t>Cuellos negros</t>
  </si>
  <si>
    <t>Recarga Celulares</t>
  </si>
  <si>
    <t>Fllete de Tela Carga pesada</t>
  </si>
  <si>
    <t>SEMANA 98 CALANDRA</t>
  </si>
  <si>
    <t>Lunes 19 ENERO al sábado 24 de ENERO del 2026</t>
  </si>
  <si>
    <t>declaracion de anexos de relación de dependencia</t>
  </si>
  <si>
    <t>listo completar las tiras de ribb y colocar etiquetas que combines con polines y colores CMYK</t>
  </si>
  <si>
    <t>Mauricio Guerrero Impresión y 2 Kilos de Tela Pike</t>
  </si>
  <si>
    <t>SIN OT</t>
  </si>
  <si>
    <t>DON EDDY ITC</t>
  </si>
  <si>
    <t>MOTORIZADO DON EDDY</t>
  </si>
  <si>
    <t>HAPEVA DEBE</t>
  </si>
  <si>
    <t>Falta orden</t>
  </si>
  <si>
    <t>PRENDAS SUBLIMADAS</t>
  </si>
  <si>
    <t>MOTO FAST POLINES DE MACHALA</t>
  </si>
  <si>
    <t>MOTORIZADO Y TINTA EPSON</t>
  </si>
  <si>
    <t>SEMANA 99 CALANDRA</t>
  </si>
  <si>
    <t>Lunes 26 ENERO al sábado 31 de ENERO del 2026</t>
  </si>
  <si>
    <t>TELAS E IMPRESIONES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</si>
</sst>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&quot;CÁLCULO - &quot;###"/>
    <numFmt numFmtId="165" formatCode="dd/mm/yyyy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66FF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b/>
      <sz val="24"/>
      <color rgb="FF0070C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DBFC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9B49F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0F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21" fillId="24" borderId="0" applyNumberFormat="0" applyBorder="0" applyAlignment="0" applyProtection="0"/>
  </cellStyleXfs>
  <cellXfs count="182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0" fillId="0" borderId="0" xfId="0" applyNumberFormat="1"/>
    <xf numFmtId="43" fontId="2" fillId="0" borderId="0" xfId="0" applyNumberFormat="1" applyFont="1" applyAlignment="1">
      <alignment horizontal="center" wrapText="1"/>
    </xf>
    <xf numFmtId="41" fontId="0" fillId="0" borderId="0" xfId="0" applyNumberFormat="1"/>
    <xf numFmtId="0" fontId="7" fillId="0" borderId="0" xfId="0" applyFont="1"/>
    <xf numFmtId="0" fontId="3" fillId="0" borderId="0" xfId="0" applyFont="1" applyAlignment="1">
      <alignment vertical="center"/>
    </xf>
    <xf numFmtId="43" fontId="2" fillId="5" borderId="0" xfId="0" applyNumberFormat="1" applyFont="1" applyFill="1" applyAlignment="1">
      <alignment horizontal="center" vertical="center" wrapText="1"/>
    </xf>
    <xf numFmtId="41" fontId="2" fillId="6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43" fontId="5" fillId="0" borderId="0" xfId="0" applyNumberFormat="1" applyFont="1"/>
    <xf numFmtId="0" fontId="7" fillId="0" borderId="0" xfId="0" applyFont="1" applyAlignment="1">
      <alignment wrapText="1"/>
    </xf>
    <xf numFmtId="0" fontId="4" fillId="0" borderId="0" xfId="0" applyFont="1" applyAlignment="1">
      <alignment vertical="center"/>
    </xf>
    <xf numFmtId="41" fontId="6" fillId="0" borderId="0" xfId="0" applyNumberFormat="1" applyFont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44" fontId="0" fillId="0" borderId="0" xfId="0" applyNumberFormat="1"/>
    <xf numFmtId="0" fontId="11" fillId="0" borderId="0" xfId="0" applyFont="1" applyAlignment="1">
      <alignment horizontal="center" vertical="center"/>
    </xf>
    <xf numFmtId="43" fontId="2" fillId="0" borderId="0" xfId="0" applyNumberFormat="1" applyFont="1"/>
    <xf numFmtId="43" fontId="2" fillId="5" borderId="0" xfId="0" applyNumberFormat="1" applyFont="1" applyFill="1"/>
    <xf numFmtId="43" fontId="0" fillId="0" borderId="1" xfId="0" applyNumberFormat="1" applyBorder="1"/>
    <xf numFmtId="43" fontId="4" fillId="0" borderId="0" xfId="0" applyNumberFormat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1" fillId="0" borderId="0" xfId="0" applyNumberFormat="1" applyFont="1"/>
    <xf numFmtId="0" fontId="0" fillId="9" borderId="0" xfId="0" applyFill="1"/>
    <xf numFmtId="43" fontId="12" fillId="10" borderId="0" xfId="0" applyNumberFormat="1" applyFont="1" applyFill="1"/>
    <xf numFmtId="41" fontId="0" fillId="0" borderId="1" xfId="0" applyNumberFormat="1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3" fontId="2" fillId="0" borderId="0" xfId="0" applyNumberFormat="1" applyFont="1" applyAlignment="1">
      <alignment horizontal="center" vertical="center" wrapText="1"/>
    </xf>
    <xf numFmtId="43" fontId="0" fillId="0" borderId="0" xfId="0" applyNumberFormat="1" applyAlignment="1">
      <alignment horizontal="center" vertical="center"/>
    </xf>
    <xf numFmtId="0" fontId="0" fillId="9" borderId="0" xfId="0" applyFill="1" applyAlignment="1">
      <alignment horizontal="center" vertical="center"/>
    </xf>
    <xf numFmtId="43" fontId="17" fillId="9" borderId="0" xfId="0" applyNumberFormat="1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0" fillId="4" borderId="0" xfId="0" applyFill="1"/>
    <xf numFmtId="0" fontId="2" fillId="4" borderId="1" xfId="0" applyFont="1" applyFill="1" applyBorder="1" applyAlignment="1">
      <alignment horizontal="center" vertical="center"/>
    </xf>
    <xf numFmtId="43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center" vertical="center"/>
    </xf>
    <xf numFmtId="43" fontId="0" fillId="8" borderId="0" xfId="0" applyNumberFormat="1" applyFill="1" applyAlignment="1">
      <alignment horizontal="center" vertical="center"/>
    </xf>
    <xf numFmtId="0" fontId="2" fillId="2" borderId="0" xfId="0" applyFont="1" applyFill="1"/>
    <xf numFmtId="44" fontId="0" fillId="0" borderId="0" xfId="2" applyFont="1"/>
    <xf numFmtId="44" fontId="2" fillId="0" borderId="0" xfId="2" applyFont="1"/>
    <xf numFmtId="44" fontId="2" fillId="11" borderId="0" xfId="2" applyFont="1" applyFill="1"/>
    <xf numFmtId="44" fontId="2" fillId="0" borderId="0" xfId="0" applyNumberFormat="1" applyFont="1"/>
    <xf numFmtId="0" fontId="2" fillId="13" borderId="0" xfId="0" applyFont="1" applyFill="1"/>
    <xf numFmtId="44" fontId="2" fillId="13" borderId="0" xfId="2" applyFont="1" applyFill="1"/>
    <xf numFmtId="44" fontId="12" fillId="14" borderId="0" xfId="2" applyFont="1" applyFill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2" fillId="14" borderId="0" xfId="0" applyFont="1" applyFill="1" applyAlignment="1">
      <alignment horizontal="left"/>
    </xf>
    <xf numFmtId="0" fontId="12" fillId="15" borderId="0" xfId="0" applyFont="1" applyFill="1" applyAlignment="1">
      <alignment horizontal="left"/>
    </xf>
    <xf numFmtId="44" fontId="12" fillId="15" borderId="0" xfId="0" applyNumberFormat="1" applyFont="1" applyFill="1" applyAlignment="1">
      <alignment horizontal="left"/>
    </xf>
    <xf numFmtId="0" fontId="0" fillId="16" borderId="0" xfId="0" applyFill="1"/>
    <xf numFmtId="0" fontId="12" fillId="17" borderId="0" xfId="0" applyFont="1" applyFill="1"/>
    <xf numFmtId="10" fontId="12" fillId="17" borderId="0" xfId="1" applyNumberFormat="1" applyFont="1" applyFill="1"/>
    <xf numFmtId="10" fontId="12" fillId="16" borderId="0" xfId="0" applyNumberFormat="1" applyFont="1" applyFill="1"/>
    <xf numFmtId="0" fontId="0" fillId="0" borderId="0" xfId="0" applyAlignment="1">
      <alignment wrapText="1"/>
    </xf>
    <xf numFmtId="0" fontId="2" fillId="3" borderId="0" xfId="0" applyFont="1" applyFill="1"/>
    <xf numFmtId="10" fontId="2" fillId="3" borderId="0" xfId="0" applyNumberFormat="1" applyFont="1" applyFill="1"/>
    <xf numFmtId="10" fontId="2" fillId="3" borderId="0" xfId="1" applyNumberFormat="1" applyFont="1" applyFill="1"/>
    <xf numFmtId="43" fontId="5" fillId="5" borderId="1" xfId="0" applyNumberFormat="1" applyFont="1" applyFill="1" applyBorder="1" applyAlignment="1">
      <alignment horizontal="center" vertical="center" wrapText="1"/>
    </xf>
    <xf numFmtId="43" fontId="0" fillId="19" borderId="0" xfId="0" applyNumberFormat="1" applyFill="1"/>
    <xf numFmtId="0" fontId="2" fillId="19" borderId="0" xfId="0" applyFont="1" applyFill="1"/>
    <xf numFmtId="0" fontId="0" fillId="20" borderId="0" xfId="0" applyFill="1"/>
    <xf numFmtId="4" fontId="2" fillId="0" borderId="0" xfId="0" applyNumberFormat="1" applyFont="1"/>
    <xf numFmtId="4" fontId="0" fillId="8" borderId="0" xfId="0" applyNumberFormat="1" applyFill="1"/>
    <xf numFmtId="43" fontId="5" fillId="8" borderId="1" xfId="0" applyNumberFormat="1" applyFont="1" applyFill="1" applyBorder="1" applyAlignment="1">
      <alignment horizontal="center" vertical="center" wrapText="1"/>
    </xf>
    <xf numFmtId="44" fontId="0" fillId="18" borderId="0" xfId="2" applyFont="1" applyFill="1"/>
    <xf numFmtId="0" fontId="0" fillId="18" borderId="0" xfId="0" applyFill="1"/>
    <xf numFmtId="0" fontId="2" fillId="18" borderId="1" xfId="0" applyFont="1" applyFill="1" applyBorder="1" applyAlignment="1">
      <alignment horizontal="center" vertical="center" wrapText="1"/>
    </xf>
    <xf numFmtId="0" fontId="0" fillId="21" borderId="0" xfId="0" applyFill="1"/>
    <xf numFmtId="0" fontId="2" fillId="21" borderId="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7" fillId="9" borderId="0" xfId="0" applyFont="1" applyFill="1"/>
    <xf numFmtId="0" fontId="2" fillId="9" borderId="0" xfId="0" applyFont="1" applyFill="1" applyAlignment="1">
      <alignment horizontal="center" wrapText="1"/>
    </xf>
    <xf numFmtId="43" fontId="0" fillId="9" borderId="0" xfId="0" applyNumberFormat="1" applyFill="1"/>
    <xf numFmtId="10" fontId="0" fillId="9" borderId="0" xfId="1" applyNumberFormat="1" applyFont="1" applyFill="1"/>
    <xf numFmtId="41" fontId="9" fillId="9" borderId="0" xfId="0" applyNumberFormat="1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43" fontId="20" fillId="12" borderId="0" xfId="0" applyNumberFormat="1" applyFont="1" applyFill="1" applyAlignment="1">
      <alignment horizontal="center" vertical="center"/>
    </xf>
    <xf numFmtId="43" fontId="2" fillId="22" borderId="0" xfId="0" applyNumberFormat="1" applyFont="1" applyFill="1" applyAlignment="1">
      <alignment horizontal="center" vertical="center" wrapText="1"/>
    </xf>
    <xf numFmtId="43" fontId="0" fillId="22" borderId="0" xfId="0" applyNumberFormat="1" applyFill="1"/>
    <xf numFmtId="43" fontId="2" fillId="22" borderId="0" xfId="0" applyNumberFormat="1" applyFont="1" applyFill="1"/>
    <xf numFmtId="10" fontId="12" fillId="10" borderId="0" xfId="1" applyNumberFormat="1" applyFont="1" applyFill="1"/>
    <xf numFmtId="43" fontId="5" fillId="22" borderId="0" xfId="0" applyNumberFormat="1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43" fontId="2" fillId="19" borderId="0" xfId="0" applyNumberFormat="1" applyFont="1" applyFill="1"/>
    <xf numFmtId="43" fontId="0" fillId="23" borderId="1" xfId="0" applyNumberFormat="1" applyFill="1" applyBorder="1"/>
    <xf numFmtId="41" fontId="0" fillId="0" borderId="0" xfId="0" applyNumberFormat="1" applyFill="1"/>
    <xf numFmtId="41" fontId="20" fillId="0" borderId="1" xfId="0" applyNumberFormat="1" applyFont="1" applyBorder="1"/>
    <xf numFmtId="41" fontId="20" fillId="0" borderId="0" xfId="0" applyNumberFormat="1" applyFont="1"/>
    <xf numFmtId="43" fontId="5" fillId="0" borderId="0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0" fillId="22" borderId="0" xfId="0" applyFill="1" applyAlignment="1">
      <alignment horizontal="left"/>
    </xf>
    <xf numFmtId="43" fontId="20" fillId="12" borderId="0" xfId="0" applyNumberFormat="1" applyFont="1" applyFill="1" applyAlignment="1">
      <alignment horizontal="left" vertical="center"/>
    </xf>
    <xf numFmtId="43" fontId="5" fillId="22" borderId="0" xfId="0" applyNumberFormat="1" applyFont="1" applyFill="1" applyAlignment="1">
      <alignment horizontal="left" vertical="center" wrapText="1"/>
    </xf>
    <xf numFmtId="4" fontId="0" fillId="8" borderId="0" xfId="0" applyNumberFormat="1" applyFill="1" applyAlignment="1">
      <alignment horizontal="left"/>
    </xf>
    <xf numFmtId="4" fontId="0" fillId="0" borderId="0" xfId="0" applyNumberFormat="1" applyAlignment="1">
      <alignment horizontal="left"/>
    </xf>
    <xf numFmtId="0" fontId="0" fillId="19" borderId="0" xfId="0" applyFill="1" applyAlignment="1">
      <alignment horizontal="left"/>
    </xf>
    <xf numFmtId="41" fontId="2" fillId="0" borderId="0" xfId="0" applyNumberFormat="1" applyFont="1" applyAlignment="1">
      <alignment horizontal="left" vertical="center"/>
    </xf>
    <xf numFmtId="43" fontId="0" fillId="0" borderId="0" xfId="0" applyNumberFormat="1" applyAlignment="1">
      <alignment horizontal="left"/>
    </xf>
    <xf numFmtId="41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43" fontId="0" fillId="9" borderId="0" xfId="0" applyNumberFormat="1" applyFill="1" applyAlignment="1">
      <alignment horizontal="right"/>
    </xf>
    <xf numFmtId="43" fontId="0" fillId="9" borderId="0" xfId="0" applyNumberFormat="1" applyFill="1" applyAlignment="1">
      <alignment horizontal="left"/>
    </xf>
    <xf numFmtId="43" fontId="0" fillId="0" borderId="0" xfId="0" applyNumberFormat="1" applyFill="1"/>
    <xf numFmtId="41" fontId="0" fillId="9" borderId="0" xfId="0" applyNumberFormat="1" applyFill="1"/>
    <xf numFmtId="43" fontId="5" fillId="5" borderId="0" xfId="0" applyNumberFormat="1" applyFont="1" applyFill="1" applyBorder="1" applyAlignment="1">
      <alignment horizontal="center" vertical="center" wrapText="1"/>
    </xf>
    <xf numFmtId="43" fontId="0" fillId="8" borderId="0" xfId="0" applyNumberFormat="1" applyFill="1"/>
    <xf numFmtId="43" fontId="0" fillId="8" borderId="0" xfId="0" applyNumberFormat="1" applyFill="1" applyAlignment="1">
      <alignment horizontal="left"/>
    </xf>
    <xf numFmtId="41" fontId="0" fillId="8" borderId="0" xfId="0" applyNumberFormat="1" applyFill="1"/>
    <xf numFmtId="0" fontId="2" fillId="0" borderId="1" xfId="0" applyFont="1" applyBorder="1" applyAlignment="1">
      <alignment horizontal="left" vertical="center"/>
    </xf>
    <xf numFmtId="0" fontId="18" fillId="0" borderId="0" xfId="3" applyFont="1" applyFill="1"/>
    <xf numFmtId="41" fontId="0" fillId="0" borderId="0" xfId="0" applyNumberFormat="1" applyFill="1" applyAlignment="1">
      <alignment horizontal="left"/>
    </xf>
    <xf numFmtId="43" fontId="2" fillId="0" borderId="0" xfId="0" applyNumberFormat="1" applyFont="1" applyFill="1"/>
    <xf numFmtId="0" fontId="0" fillId="0" borderId="0" xfId="3" applyFont="1" applyFill="1"/>
    <xf numFmtId="0" fontId="0" fillId="23" borderId="0" xfId="0" applyFill="1"/>
    <xf numFmtId="0" fontId="2" fillId="23" borderId="1" xfId="0" applyFont="1" applyFill="1" applyBorder="1" applyAlignment="1">
      <alignment horizontal="center" vertical="center" wrapText="1"/>
    </xf>
    <xf numFmtId="0" fontId="2" fillId="23" borderId="0" xfId="0" applyFont="1" applyFill="1"/>
    <xf numFmtId="0" fontId="2" fillId="8" borderId="0" xfId="0" applyFont="1" applyFill="1"/>
    <xf numFmtId="41" fontId="5" fillId="9" borderId="0" xfId="0" applyNumberFormat="1" applyFont="1" applyFill="1"/>
    <xf numFmtId="43" fontId="20" fillId="0" borderId="1" xfId="0" applyNumberFormat="1" applyFont="1" applyBorder="1"/>
    <xf numFmtId="0" fontId="2" fillId="8" borderId="0" xfId="0" applyFont="1" applyFill="1" applyAlignment="1">
      <alignment horizontal="center" vertical="center"/>
    </xf>
    <xf numFmtId="44" fontId="0" fillId="8" borderId="0" xfId="0" applyNumberFormat="1" applyFill="1"/>
    <xf numFmtId="44" fontId="0" fillId="8" borderId="0" xfId="0" applyNumberFormat="1" applyFill="1" applyAlignment="1">
      <alignment horizontal="center" vertical="center"/>
    </xf>
    <xf numFmtId="44" fontId="0" fillId="25" borderId="0" xfId="0" applyNumberFormat="1" applyFill="1" applyAlignment="1">
      <alignment horizontal="center" vertical="center"/>
    </xf>
    <xf numFmtId="0" fontId="0" fillId="26" borderId="0" xfId="3" applyFont="1" applyFill="1"/>
    <xf numFmtId="44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1" fillId="27" borderId="0" xfId="0" applyFont="1" applyFill="1"/>
    <xf numFmtId="43" fontId="0" fillId="27" borderId="0" xfId="0" applyNumberFormat="1" applyFill="1"/>
    <xf numFmtId="165" fontId="0" fillId="27" borderId="0" xfId="0" applyNumberFormat="1" applyFill="1"/>
    <xf numFmtId="43" fontId="0" fillId="27" borderId="0" xfId="0" applyNumberFormat="1" applyFill="1" applyAlignment="1">
      <alignment horizontal="center"/>
    </xf>
    <xf numFmtId="44" fontId="0" fillId="27" borderId="0" xfId="0" applyNumberFormat="1" applyFill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2" fillId="8" borderId="0" xfId="0" applyFont="1" applyFill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43" fontId="0" fillId="0" borderId="4" xfId="0" applyNumberFormat="1" applyBorder="1"/>
    <xf numFmtId="41" fontId="0" fillId="0" borderId="4" xfId="0" applyNumberFormat="1" applyBorder="1"/>
    <xf numFmtId="0" fontId="0" fillId="0" borderId="1" xfId="0" applyBorder="1"/>
    <xf numFmtId="0" fontId="0" fillId="0" borderId="1" xfId="3" applyFont="1" applyFill="1" applyBorder="1"/>
    <xf numFmtId="43" fontId="5" fillId="26" borderId="1" xfId="0" applyNumberFormat="1" applyFont="1" applyFill="1" applyBorder="1" applyAlignment="1">
      <alignment horizontal="center" vertical="center" wrapText="1"/>
    </xf>
    <xf numFmtId="43" fontId="20" fillId="0" borderId="4" xfId="0" applyNumberFormat="1" applyFont="1" applyBorder="1"/>
    <xf numFmtId="43" fontId="22" fillId="0" borderId="4" xfId="0" applyNumberFormat="1" applyFont="1" applyBorder="1"/>
    <xf numFmtId="0" fontId="0" fillId="0" borderId="0" xfId="0" applyBorder="1"/>
    <xf numFmtId="0" fontId="0" fillId="0" borderId="0" xfId="3" applyFont="1" applyFill="1" applyBorder="1"/>
    <xf numFmtId="0" fontId="22" fillId="0" borderId="1" xfId="0" applyFont="1" applyBorder="1" applyAlignment="1">
      <alignment horizontal="left"/>
    </xf>
    <xf numFmtId="43" fontId="22" fillId="0" borderId="1" xfId="0" applyNumberFormat="1" applyFont="1" applyBorder="1"/>
    <xf numFmtId="0" fontId="2" fillId="12" borderId="1" xfId="0" applyFont="1" applyFill="1" applyBorder="1" applyAlignment="1">
      <alignment horizontal="center" vertical="center" wrapText="1"/>
    </xf>
    <xf numFmtId="43" fontId="5" fillId="12" borderId="1" xfId="0" applyNumberFormat="1" applyFont="1" applyFill="1" applyBorder="1" applyAlignment="1">
      <alignment horizontal="center" vertical="center" wrapText="1"/>
    </xf>
    <xf numFmtId="0" fontId="5" fillId="12" borderId="0" xfId="0" applyFont="1" applyFill="1"/>
    <xf numFmtId="43" fontId="5" fillId="12" borderId="0" xfId="0" applyNumberFormat="1" applyFont="1" applyFill="1"/>
    <xf numFmtId="0" fontId="2" fillId="8" borderId="0" xfId="0" applyFont="1" applyFill="1" applyAlignment="1">
      <alignment horizontal="center" vertical="center"/>
    </xf>
    <xf numFmtId="0" fontId="22" fillId="0" borderId="4" xfId="0" applyFont="1" applyBorder="1" applyAlignment="1">
      <alignment horizontal="left"/>
    </xf>
    <xf numFmtId="43" fontId="5" fillId="12" borderId="0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41" fontId="5" fillId="0" borderId="1" xfId="0" applyNumberFormat="1" applyFont="1" applyBorder="1"/>
    <xf numFmtId="41" fontId="16" fillId="0" borderId="1" xfId="0" applyNumberFormat="1" applyFont="1" applyBorder="1"/>
    <xf numFmtId="0" fontId="23" fillId="0" borderId="0" xfId="0" applyFont="1"/>
    <xf numFmtId="0" fontId="7" fillId="3" borderId="0" xfId="0" applyFont="1" applyFill="1" applyAlignment="1">
      <alignment horizontal="center"/>
    </xf>
    <xf numFmtId="41" fontId="9" fillId="7" borderId="0" xfId="0" applyNumberFormat="1" applyFont="1" applyFill="1" applyAlignment="1">
      <alignment horizontal="center" vertical="center" wrapText="1"/>
    </xf>
    <xf numFmtId="43" fontId="10" fillId="4" borderId="2" xfId="0" applyNumberFormat="1" applyFont="1" applyFill="1" applyBorder="1" applyAlignment="1">
      <alignment horizontal="center" vertical="center" wrapText="1"/>
    </xf>
    <xf numFmtId="43" fontId="10" fillId="4" borderId="3" xfId="0" applyNumberFormat="1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4">
    <cellStyle name="Moneda" xfId="2" builtinId="4"/>
    <cellStyle name="Neutral" xfId="3" builtinId="28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8F0F1"/>
      <color rgb="FF9BECFF"/>
      <color rgb="FFD6FEDE"/>
      <color rgb="FFD5FFEF"/>
      <color rgb="FFD6EAFE"/>
      <color rgb="FFEBE3FD"/>
      <color rgb="FFC2FEF1"/>
      <color rgb="FFEAEBC7"/>
      <color rgb="FFC2F3FE"/>
      <color rgb="FFFEFD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24</xdr:row>
      <xdr:rowOff>144780</xdr:rowOff>
    </xdr:from>
    <xdr:to>
      <xdr:col>8</xdr:col>
      <xdr:colOff>259080</xdr:colOff>
      <xdr:row>36</xdr:row>
      <xdr:rowOff>60960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F900282-85A4-49E5-A763-A9BD6471D4D5}"/>
            </a:ext>
          </a:extLst>
        </xdr:cNvPr>
        <xdr:cNvSpPr txBox="1"/>
      </xdr:nvSpPr>
      <xdr:spPr>
        <a:xfrm>
          <a:off x="1173480" y="4617720"/>
          <a:ext cx="4686300" cy="2110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100" b="1"/>
            <a:t>MAYO</a:t>
          </a:r>
          <a:br>
            <a:rPr lang="es-EC" sz="1100"/>
          </a:br>
          <a:r>
            <a:rPr lang="es-EC" sz="1100"/>
            <a:t>1 METRO DE TELA SUBLIMADA= 1PRENDA</a:t>
          </a:r>
          <a:br>
            <a:rPr lang="es-EC" sz="1100"/>
          </a:br>
          <a:r>
            <a:rPr lang="es-EC" sz="1100"/>
            <a:t>EJEMPLO</a:t>
          </a:r>
          <a:r>
            <a:rPr lang="es-EC" sz="1100" baseline="0"/>
            <a:t> 13m en tela Lino con el mismo diseño igual a 13 prendas</a:t>
          </a:r>
        </a:p>
        <a:p>
          <a:endParaRPr lang="es-EC" sz="1100" baseline="0"/>
        </a:p>
        <a:p>
          <a:r>
            <a:rPr lang="es-EC" sz="1100" baseline="0"/>
            <a:t>1 DTF= 1 Prenda</a:t>
          </a:r>
        </a:p>
        <a:p>
          <a:r>
            <a:rPr lang="es-EC" sz="1100" baseline="0"/>
            <a:t>EJEMPLO= 50 TICKET DE DTF CON EL MISMO DISEÑO SON 50 PRENDAS</a:t>
          </a:r>
        </a:p>
        <a:p>
          <a:endParaRPr lang="es-EC" sz="1100" baseline="0"/>
        </a:p>
        <a:p>
          <a:r>
            <a:rPr lang="es-EC" sz="1100" baseline="0"/>
            <a:t>1 PAR de Polines= 1 Prenda</a:t>
          </a:r>
          <a:br>
            <a:rPr lang="es-EC" sz="1100" baseline="0"/>
          </a:br>
          <a:r>
            <a:rPr lang="es-EC" sz="1100" baseline="0"/>
            <a:t>EJEMPLO= 12 PARES Y 13 PARES SON 2 DISEÑOS DISTINTOS= 25 PIEZAS</a:t>
          </a:r>
        </a:p>
        <a:p>
          <a:endParaRPr lang="es-EC" sz="1100" baseline="0"/>
        </a:p>
        <a:p>
          <a:r>
            <a:rPr lang="es-EC" sz="1100" baseline="0"/>
            <a:t>EN CUANTO A LAS PRENDAS DE DON LEYTON por cada talla 1 prenda.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6/APUs%202026/COSTO%20DE%20INSUMOS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%20DE%20IMPRESIONES/semana%209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%20DE%20IMPRESIONES/semana%209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%20DE%20IMPRESIONES/SEMANA%209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O NACIONAL"/>
      <sheetName val="PVP"/>
      <sheetName val="SUMINISTROS YUNPAR"/>
      <sheetName val="COSTO DE INSUMOS 2026"/>
    </sheetNames>
    <sheetDataSet>
      <sheetData sheetId="0">
        <row r="4">
          <cell r="A4" t="str">
            <v>M1</v>
          </cell>
          <cell r="B4" t="str">
            <v>BUENAÑO</v>
          </cell>
          <cell r="C4" t="str">
            <v>TELA</v>
          </cell>
          <cell r="D4">
            <v>1.5</v>
          </cell>
          <cell r="E4" t="str">
            <v>ABIERTA</v>
          </cell>
          <cell r="F4" t="str">
            <v>NYLON</v>
          </cell>
          <cell r="G4" t="str">
            <v>METRO</v>
          </cell>
          <cell r="H4"/>
          <cell r="I4">
            <v>100</v>
          </cell>
          <cell r="J4">
            <v>1.3826000000000001</v>
          </cell>
          <cell r="K4">
            <v>138.26</v>
          </cell>
          <cell r="L4">
            <v>0</v>
          </cell>
          <cell r="M4">
            <v>138.26</v>
          </cell>
          <cell r="N4">
            <v>158.99899999999997</v>
          </cell>
          <cell r="O4"/>
          <cell r="P4"/>
          <cell r="Q4">
            <v>1.7899899999999995</v>
          </cell>
          <cell r="R4">
            <v>1.7899899999999995</v>
          </cell>
        </row>
        <row r="5">
          <cell r="A5" t="str">
            <v>M2</v>
          </cell>
          <cell r="B5" t="str">
            <v>NILOTEX</v>
          </cell>
          <cell r="C5" t="str">
            <v>CORDON</v>
          </cell>
          <cell r="D5" t="str">
            <v>20mm</v>
          </cell>
          <cell r="E5" t="str">
            <v>NORMAL</v>
          </cell>
          <cell r="F5" t="str">
            <v>CORDON POLI RIGIDO UMBRO 20mm COLORES</v>
          </cell>
          <cell r="G5" t="str">
            <v>CARRETE</v>
          </cell>
          <cell r="H5">
            <v>100</v>
          </cell>
          <cell r="I5">
            <v>5</v>
          </cell>
          <cell r="J5">
            <v>4</v>
          </cell>
          <cell r="K5">
            <v>20</v>
          </cell>
          <cell r="L5"/>
          <cell r="M5">
            <v>20</v>
          </cell>
          <cell r="N5">
            <v>23</v>
          </cell>
          <cell r="O5"/>
          <cell r="P5">
            <v>6.6</v>
          </cell>
          <cell r="Q5">
            <v>6.6000000000000003E-2</v>
          </cell>
          <cell r="R5">
            <v>6.6000000000000003E-2</v>
          </cell>
        </row>
        <row r="6">
          <cell r="A6" t="str">
            <v>M3</v>
          </cell>
          <cell r="B6" t="str">
            <v>YUNPAR</v>
          </cell>
          <cell r="C6" t="str">
            <v>TINTA</v>
          </cell>
          <cell r="D6"/>
          <cell r="E6"/>
          <cell r="F6" t="str">
            <v>Tinta Jaz Negra</v>
          </cell>
          <cell r="G6" t="str">
            <v>LITRO</v>
          </cell>
          <cell r="H6"/>
          <cell r="I6">
            <v>59</v>
          </cell>
          <cell r="J6">
            <v>10.27</v>
          </cell>
          <cell r="K6"/>
          <cell r="L6"/>
          <cell r="M6"/>
          <cell r="N6">
            <v>11.810499999999999</v>
          </cell>
          <cell r="O6"/>
          <cell r="P6">
            <v>11.810499999999999</v>
          </cell>
          <cell r="Q6"/>
          <cell r="R6">
            <v>27</v>
          </cell>
        </row>
        <row r="7">
          <cell r="A7" t="str">
            <v>M4</v>
          </cell>
          <cell r="B7" t="str">
            <v>YUNPAR</v>
          </cell>
          <cell r="C7" t="str">
            <v>PAPEL</v>
          </cell>
          <cell r="D7" t="str">
            <v>1.62X200</v>
          </cell>
          <cell r="E7" t="str">
            <v>ROLLO</v>
          </cell>
          <cell r="F7" t="str">
            <v>Papel de Sublimación 1.62mx200mx70g</v>
          </cell>
          <cell r="G7" t="str">
            <v>ROLLO</v>
          </cell>
          <cell r="H7"/>
          <cell r="I7">
            <v>13</v>
          </cell>
          <cell r="J7">
            <v>49.61</v>
          </cell>
          <cell r="K7"/>
          <cell r="L7"/>
          <cell r="M7">
            <v>644.92999999999995</v>
          </cell>
          <cell r="N7">
            <v>741.66949999999986</v>
          </cell>
          <cell r="O7"/>
          <cell r="P7">
            <v>57.05149999999999</v>
          </cell>
          <cell r="Q7"/>
          <cell r="R7">
            <v>64</v>
          </cell>
        </row>
        <row r="8">
          <cell r="A8" t="str">
            <v>M5</v>
          </cell>
          <cell r="B8" t="str">
            <v>YUNPAR</v>
          </cell>
          <cell r="C8" t="str">
            <v>PAPEL</v>
          </cell>
          <cell r="D8" t="str">
            <v>1.62X100</v>
          </cell>
          <cell r="E8" t="str">
            <v>ROLLO</v>
          </cell>
          <cell r="F8" t="str">
            <v>Papel de Sublimación 1.62mx100mx90g</v>
          </cell>
          <cell r="G8" t="str">
            <v>ROLLO</v>
          </cell>
          <cell r="H8"/>
          <cell r="I8">
            <v>62</v>
          </cell>
          <cell r="J8">
            <v>31.94</v>
          </cell>
          <cell r="K8"/>
          <cell r="L8"/>
          <cell r="M8">
            <v>1980.28</v>
          </cell>
          <cell r="N8">
            <v>2277.3219999999997</v>
          </cell>
          <cell r="O8"/>
          <cell r="P8">
            <v>36.730999999999995</v>
          </cell>
          <cell r="Q8"/>
          <cell r="R8">
            <v>48</v>
          </cell>
        </row>
        <row r="9">
          <cell r="A9" t="str">
            <v>M6</v>
          </cell>
          <cell r="B9" t="str">
            <v>YUNPAR</v>
          </cell>
          <cell r="C9" t="str">
            <v>PAPEL</v>
          </cell>
          <cell r="D9" t="str">
            <v>1.12X100</v>
          </cell>
          <cell r="E9" t="str">
            <v>ROLLO</v>
          </cell>
          <cell r="F9" t="str">
            <v>Papel de Sublimación 1.12mx100mx90g</v>
          </cell>
          <cell r="G9" t="str">
            <v>ROLLO</v>
          </cell>
          <cell r="H9"/>
          <cell r="I9">
            <v>84</v>
          </cell>
          <cell r="J9">
            <v>22.05</v>
          </cell>
          <cell r="K9"/>
          <cell r="L9"/>
          <cell r="M9">
            <v>1852.2</v>
          </cell>
          <cell r="N9">
            <v>2130.0299999999997</v>
          </cell>
          <cell r="O9"/>
          <cell r="P9">
            <v>25.357499999999998</v>
          </cell>
          <cell r="Q9"/>
          <cell r="R9">
            <v>30</v>
          </cell>
        </row>
        <row r="10">
          <cell r="A10" t="str">
            <v>M7</v>
          </cell>
          <cell r="B10" t="str">
            <v>CHINA</v>
          </cell>
          <cell r="C10" t="str">
            <v>CABEZAL</v>
          </cell>
          <cell r="D10"/>
          <cell r="E10"/>
          <cell r="F10" t="str">
            <v>CABEZAL EPSON PLOTTER 1</v>
          </cell>
          <cell r="G10" t="str">
            <v>UNIDAD</v>
          </cell>
          <cell r="H10"/>
          <cell r="I10">
            <v>1</v>
          </cell>
          <cell r="J10">
            <v>4.1100000000000003</v>
          </cell>
          <cell r="K10"/>
          <cell r="L10"/>
          <cell r="M10"/>
          <cell r="N10">
            <v>4.7264999999999997</v>
          </cell>
          <cell r="O10"/>
          <cell r="P10">
            <v>4.7264999999999997</v>
          </cell>
          <cell r="Q10"/>
          <cell r="R10">
            <v>4.7264999999999997</v>
          </cell>
        </row>
        <row r="11">
          <cell r="A11" t="str">
            <v>M8</v>
          </cell>
          <cell r="B11" t="str">
            <v>LOCAL</v>
          </cell>
          <cell r="C11" t="str">
            <v>CINTA</v>
          </cell>
          <cell r="D11"/>
          <cell r="E11"/>
          <cell r="F11" t="str">
            <v>CINTA DE PAPEL</v>
          </cell>
          <cell r="G11" t="str">
            <v>UNIDAD</v>
          </cell>
          <cell r="H11"/>
          <cell r="I11">
            <v>1</v>
          </cell>
          <cell r="J11">
            <v>1</v>
          </cell>
          <cell r="K11"/>
          <cell r="L11"/>
          <cell r="M11"/>
          <cell r="N11">
            <v>1.1499999999999999</v>
          </cell>
          <cell r="O11"/>
          <cell r="P11">
            <v>1.65</v>
          </cell>
          <cell r="Q11"/>
          <cell r="R11">
            <v>1.65</v>
          </cell>
        </row>
        <row r="12">
          <cell r="A12" t="str">
            <v>M9</v>
          </cell>
          <cell r="B12" t="str">
            <v>LOCAL</v>
          </cell>
          <cell r="C12" t="str">
            <v>DAMPERS</v>
          </cell>
          <cell r="D12"/>
          <cell r="E12"/>
          <cell r="F12" t="str">
            <v>DAMPERS</v>
          </cell>
          <cell r="G12" t="str">
            <v>UNIDAD</v>
          </cell>
          <cell r="H12"/>
          <cell r="I12">
            <v>1</v>
          </cell>
          <cell r="J12">
            <v>13.5</v>
          </cell>
          <cell r="K12"/>
          <cell r="L12"/>
          <cell r="M12"/>
          <cell r="N12">
            <v>15.524999999999999</v>
          </cell>
          <cell r="O12"/>
          <cell r="P12">
            <v>20.524999999999999</v>
          </cell>
          <cell r="Q12"/>
          <cell r="R12">
            <v>20.524999999999999</v>
          </cell>
        </row>
        <row r="13">
          <cell r="A13" t="str">
            <v>M10</v>
          </cell>
          <cell r="B13" t="str">
            <v>YUNPAR</v>
          </cell>
          <cell r="C13" t="str">
            <v>PAPEL</v>
          </cell>
          <cell r="D13" t="str">
            <v>1.8X200</v>
          </cell>
          <cell r="E13"/>
          <cell r="F13" t="str">
            <v>Papel de Sublimación 1.80mx200mx70g</v>
          </cell>
          <cell r="G13" t="str">
            <v>ROLLO</v>
          </cell>
          <cell r="H13"/>
          <cell r="I13">
            <v>90</v>
          </cell>
          <cell r="J13">
            <v>65.459777777777774</v>
          </cell>
          <cell r="K13"/>
          <cell r="L13"/>
          <cell r="M13">
            <v>5891.3799999999992</v>
          </cell>
          <cell r="N13">
            <v>6775.0869999999986</v>
          </cell>
          <cell r="O13"/>
          <cell r="P13">
            <v>75.278744444444428</v>
          </cell>
          <cell r="Q13"/>
          <cell r="R13">
            <v>80</v>
          </cell>
        </row>
        <row r="14">
          <cell r="A14" t="str">
            <v>M11</v>
          </cell>
          <cell r="B14" t="str">
            <v>YUNPAR</v>
          </cell>
          <cell r="C14" t="str">
            <v>IMPRESIÓN</v>
          </cell>
          <cell r="D14">
            <v>1.8</v>
          </cell>
          <cell r="E14" t="str">
            <v>ROLLO</v>
          </cell>
          <cell r="F14" t="str">
            <v>IMPRESIÓN SIN DISEÑO, ANCHO 1.8X90gsm</v>
          </cell>
          <cell r="G14" t="str">
            <v>METRO</v>
          </cell>
          <cell r="H14"/>
          <cell r="I14">
            <v>1</v>
          </cell>
          <cell r="J14">
            <v>1.387984064708671</v>
          </cell>
          <cell r="K14"/>
          <cell r="L14"/>
          <cell r="M14"/>
          <cell r="N14">
            <v>1.387984064708671</v>
          </cell>
          <cell r="O14"/>
          <cell r="P14"/>
          <cell r="Q14"/>
          <cell r="R14">
            <v>1.387984064708671</v>
          </cell>
        </row>
        <row r="15">
          <cell r="A15" t="str">
            <v>M12</v>
          </cell>
          <cell r="B15" t="str">
            <v>EL BARATA</v>
          </cell>
          <cell r="C15" t="str">
            <v>TELA</v>
          </cell>
          <cell r="D15">
            <v>1.5</v>
          </cell>
          <cell r="E15" t="str">
            <v>ABIERTA</v>
          </cell>
          <cell r="F15" t="str">
            <v>LINO JARUBA</v>
          </cell>
          <cell r="G15" t="str">
            <v>METRO</v>
          </cell>
          <cell r="H15"/>
          <cell r="I15">
            <v>100</v>
          </cell>
          <cell r="J15">
            <v>1.47</v>
          </cell>
          <cell r="K15">
            <v>147</v>
          </cell>
          <cell r="L15"/>
          <cell r="M15">
            <v>147</v>
          </cell>
          <cell r="N15">
            <v>169.04999999999998</v>
          </cell>
          <cell r="O15"/>
          <cell r="P15"/>
          <cell r="Q15">
            <v>1.8904999999999998</v>
          </cell>
          <cell r="R15">
            <v>1.8904999999999998</v>
          </cell>
        </row>
        <row r="16">
          <cell r="A16" t="str">
            <v>M13</v>
          </cell>
          <cell r="B16" t="str">
            <v>YUNPAR</v>
          </cell>
          <cell r="C16" t="str">
            <v>SESGO</v>
          </cell>
          <cell r="D16">
            <v>1.2</v>
          </cell>
          <cell r="E16" t="str">
            <v>TUBULAR</v>
          </cell>
          <cell r="F16" t="str">
            <v>SESGO ANCHO CUELLO|SISA EN TELA ERNEST 1.7 ABIERTA</v>
          </cell>
          <cell r="G16" t="str">
            <v>METRO</v>
          </cell>
          <cell r="H16"/>
          <cell r="I16">
            <v>1</v>
          </cell>
          <cell r="J16">
            <v>2.9285714285714288</v>
          </cell>
          <cell r="K16">
            <v>2.9285714285714288</v>
          </cell>
          <cell r="L16"/>
          <cell r="M16"/>
          <cell r="N16">
            <v>3.3678571428571429</v>
          </cell>
          <cell r="O16"/>
          <cell r="P16"/>
          <cell r="Q16">
            <v>3.3678571428571429</v>
          </cell>
          <cell r="R16">
            <v>3.3678571428571429</v>
          </cell>
        </row>
        <row r="17">
          <cell r="A17" t="str">
            <v>M14</v>
          </cell>
          <cell r="B17" t="str">
            <v>YUNPAR</v>
          </cell>
          <cell r="C17" t="str">
            <v>TELA</v>
          </cell>
          <cell r="D17">
            <v>1.7</v>
          </cell>
          <cell r="E17" t="str">
            <v>ABIERTA</v>
          </cell>
          <cell r="F17" t="str">
            <v>D2002 Rollo Ernest 1.70m x 140gr</v>
          </cell>
          <cell r="G17" t="str">
            <v>ROLLO</v>
          </cell>
          <cell r="H17">
            <v>4.2</v>
          </cell>
          <cell r="I17">
            <v>25</v>
          </cell>
          <cell r="J17">
            <v>4.25</v>
          </cell>
          <cell r="K17"/>
          <cell r="L17"/>
          <cell r="M17"/>
          <cell r="N17">
            <v>4.8874999999999993</v>
          </cell>
          <cell r="O17"/>
          <cell r="P17">
            <v>4.8874999999999993</v>
          </cell>
          <cell r="Q17">
            <v>1.4285714285714286</v>
          </cell>
          <cell r="R17">
            <v>1.4285714285714286</v>
          </cell>
        </row>
        <row r="18">
          <cell r="A18" t="str">
            <v>M15</v>
          </cell>
          <cell r="B18" t="str">
            <v>YUNPAR</v>
          </cell>
          <cell r="C18" t="str">
            <v>TELA</v>
          </cell>
          <cell r="D18">
            <v>1.7</v>
          </cell>
          <cell r="E18" t="str">
            <v>ABIERTA</v>
          </cell>
          <cell r="F18" t="str">
            <v>D2006 Rollo Panal 1.70m x 160gr</v>
          </cell>
          <cell r="G18" t="str">
            <v>ROLLO</v>
          </cell>
          <cell r="H18">
            <v>3.67</v>
          </cell>
          <cell r="I18">
            <v>25</v>
          </cell>
          <cell r="J18">
            <v>4.2699999999999996</v>
          </cell>
          <cell r="K18"/>
          <cell r="L18"/>
          <cell r="M18"/>
          <cell r="N18">
            <v>4.910499999999999</v>
          </cell>
          <cell r="O18"/>
          <cell r="P18">
            <v>4.910499999999999</v>
          </cell>
          <cell r="Q18">
            <v>1.6348773841961852</v>
          </cell>
          <cell r="R18">
            <v>1.6348773841961852</v>
          </cell>
        </row>
        <row r="19">
          <cell r="A19" t="str">
            <v>M16</v>
          </cell>
          <cell r="B19" t="str">
            <v>YUNPAR</v>
          </cell>
          <cell r="C19" t="str">
            <v>TELA</v>
          </cell>
          <cell r="D19">
            <v>1.7</v>
          </cell>
          <cell r="E19" t="str">
            <v>ABIERTA</v>
          </cell>
          <cell r="F19" t="str">
            <v>D2003 Rollo Pike Deportivo 1.70m x 160gr</v>
          </cell>
          <cell r="G19" t="str">
            <v>ROLLO</v>
          </cell>
          <cell r="H19">
            <v>3.92</v>
          </cell>
          <cell r="I19">
            <v>25</v>
          </cell>
          <cell r="J19">
            <v>4.21</v>
          </cell>
          <cell r="K19"/>
          <cell r="L19"/>
          <cell r="M19"/>
          <cell r="N19">
            <v>4.8414999999999999</v>
          </cell>
          <cell r="O19"/>
          <cell r="P19">
            <v>4.8414999999999999</v>
          </cell>
          <cell r="Q19">
            <v>1.5306122448979591</v>
          </cell>
          <cell r="R19">
            <v>1.5306122448979591</v>
          </cell>
        </row>
        <row r="20">
          <cell r="A20" t="str">
            <v>M17</v>
          </cell>
          <cell r="B20" t="str">
            <v>YUNPAR</v>
          </cell>
          <cell r="C20" t="str">
            <v>TELA</v>
          </cell>
          <cell r="D20">
            <v>1.8</v>
          </cell>
          <cell r="E20" t="str">
            <v>ABIERTA</v>
          </cell>
          <cell r="F20" t="str">
            <v>D2008 Rollo Jersy Spandex 1.80m x 275gr</v>
          </cell>
          <cell r="G20" t="str">
            <v>ROLLO</v>
          </cell>
          <cell r="H20">
            <v>2.2999999999999998</v>
          </cell>
          <cell r="I20">
            <v>20</v>
          </cell>
          <cell r="J20">
            <v>5.38</v>
          </cell>
          <cell r="K20"/>
          <cell r="L20"/>
          <cell r="M20"/>
          <cell r="N20">
            <v>6.1869999999999994</v>
          </cell>
          <cell r="O20"/>
          <cell r="P20">
            <v>6.1869999999999994</v>
          </cell>
          <cell r="Q20">
            <v>3.4782608695652177</v>
          </cell>
          <cell r="R20">
            <v>3.4782608695652177</v>
          </cell>
        </row>
        <row r="21">
          <cell r="A21" t="str">
            <v>M18</v>
          </cell>
          <cell r="B21" t="str">
            <v>PADILLA</v>
          </cell>
          <cell r="C21" t="str">
            <v>RIBB</v>
          </cell>
          <cell r="D21">
            <v>0.6</v>
          </cell>
          <cell r="E21" t="str">
            <v>TUBULAR</v>
          </cell>
          <cell r="F21" t="str">
            <v>RIBB 150TEX COLORES| POLIESTER</v>
          </cell>
          <cell r="G21" t="str">
            <v>KILOS</v>
          </cell>
          <cell r="H21">
            <v>4.5</v>
          </cell>
          <cell r="I21">
            <v>13.18</v>
          </cell>
          <cell r="J21">
            <v>7.68</v>
          </cell>
          <cell r="K21">
            <v>101.22239999999999</v>
          </cell>
          <cell r="L21">
            <v>4.0488960000000001</v>
          </cell>
          <cell r="M21">
            <v>97.173503999999994</v>
          </cell>
          <cell r="N21">
            <v>111.74952959999999</v>
          </cell>
          <cell r="O21">
            <v>9.4787199999999991</v>
          </cell>
          <cell r="P21"/>
          <cell r="Q21">
            <v>2.1063822222222219</v>
          </cell>
          <cell r="R21">
            <v>2.1063822222222219</v>
          </cell>
        </row>
        <row r="22">
          <cell r="A22" t="str">
            <v>M19</v>
          </cell>
          <cell r="B22" t="str">
            <v>PADILLA</v>
          </cell>
          <cell r="C22" t="str">
            <v>TELA</v>
          </cell>
          <cell r="D22">
            <v>1.2</v>
          </cell>
          <cell r="E22" t="str">
            <v>TUBULAR</v>
          </cell>
          <cell r="F22" t="str">
            <v>RIVER TEX NEGRO|COLORES</v>
          </cell>
          <cell r="G22" t="str">
            <v>KILOS</v>
          </cell>
          <cell r="H22">
            <v>3.8</v>
          </cell>
          <cell r="I22">
            <v>21.36</v>
          </cell>
          <cell r="J22">
            <v>7.39</v>
          </cell>
          <cell r="K22">
            <v>157.85039999999998</v>
          </cell>
          <cell r="L22">
            <v>6.3140159999999996</v>
          </cell>
          <cell r="M22">
            <v>151.53638399999997</v>
          </cell>
          <cell r="N22">
            <v>174.26684159999996</v>
          </cell>
          <cell r="O22">
            <v>9.1585599999999978</v>
          </cell>
          <cell r="P22"/>
          <cell r="Q22">
            <v>2.4101473684210521</v>
          </cell>
          <cell r="R22">
            <v>2.4101473684210521</v>
          </cell>
        </row>
        <row r="23">
          <cell r="A23" t="str">
            <v>M20</v>
          </cell>
          <cell r="B23" t="str">
            <v>NILOTEX</v>
          </cell>
          <cell r="C23" t="str">
            <v>ELASTICO</v>
          </cell>
          <cell r="D23" t="str">
            <v>4cm</v>
          </cell>
          <cell r="E23" t="str">
            <v>normal</v>
          </cell>
          <cell r="F23" t="str">
            <v>ELASTICO LLANO NORMAL 40mm CRUDO 45metros</v>
          </cell>
          <cell r="G23" t="str">
            <v>METRO</v>
          </cell>
          <cell r="H23">
            <v>45</v>
          </cell>
          <cell r="I23">
            <v>20</v>
          </cell>
          <cell r="J23">
            <v>4.6500000000000004</v>
          </cell>
          <cell r="K23">
            <v>93</v>
          </cell>
          <cell r="L23"/>
          <cell r="M23">
            <v>93</v>
          </cell>
          <cell r="N23">
            <v>106.94999999999999</v>
          </cell>
          <cell r="O23"/>
          <cell r="P23">
            <v>6.3474999999999993</v>
          </cell>
          <cell r="Q23">
            <v>0.14105555555555555</v>
          </cell>
          <cell r="R23">
            <v>0.14105555555555555</v>
          </cell>
        </row>
        <row r="24">
          <cell r="A24" t="str">
            <v>M21</v>
          </cell>
          <cell r="B24" t="str">
            <v>MATEW VERA</v>
          </cell>
          <cell r="C24" t="str">
            <v>ETIQUETA</v>
          </cell>
          <cell r="D24" t="str">
            <v>58cm</v>
          </cell>
          <cell r="E24"/>
          <cell r="F24" t="str">
            <v>ETIQUETAS DTF TALLA 5.5x2cm</v>
          </cell>
          <cell r="G24" t="str">
            <v>METRO</v>
          </cell>
          <cell r="H24">
            <v>330</v>
          </cell>
          <cell r="I24">
            <v>1</v>
          </cell>
          <cell r="J24">
            <v>10</v>
          </cell>
          <cell r="K24">
            <v>10</v>
          </cell>
          <cell r="L24">
            <v>0.4</v>
          </cell>
          <cell r="M24">
            <v>9.6</v>
          </cell>
          <cell r="N24">
            <v>11.04</v>
          </cell>
          <cell r="O24"/>
          <cell r="P24">
            <v>4.8606060606060604E-2</v>
          </cell>
          <cell r="Q24">
            <v>16.04</v>
          </cell>
          <cell r="R24">
            <v>4.8606060606060604E-2</v>
          </cell>
        </row>
        <row r="25">
          <cell r="A25" t="str">
            <v>M22</v>
          </cell>
          <cell r="B25" t="str">
            <v>LOCAL</v>
          </cell>
          <cell r="C25" t="str">
            <v>FUNDAS</v>
          </cell>
          <cell r="D25"/>
          <cell r="E25" t="str">
            <v>TUBO</v>
          </cell>
          <cell r="F25" t="str">
            <v>FUNDAS PARA EMPAQUETAR</v>
          </cell>
          <cell r="G25" t="str">
            <v>UNIDAD</v>
          </cell>
          <cell r="H25">
            <v>100</v>
          </cell>
          <cell r="I25">
            <v>1</v>
          </cell>
          <cell r="J25">
            <v>2.6349999999999998E-2</v>
          </cell>
          <cell r="K25">
            <v>2.6349999999999998E-2</v>
          </cell>
          <cell r="L25">
            <v>1.054E-3</v>
          </cell>
          <cell r="M25">
            <v>2.5295999999999999E-2</v>
          </cell>
          <cell r="N25">
            <v>2.9090399999999995E-2</v>
          </cell>
          <cell r="O25">
            <v>2.9090399999999995E-2</v>
          </cell>
          <cell r="P25">
            <v>4.9090399999999992E-2</v>
          </cell>
          <cell r="Q25"/>
          <cell r="R25">
            <v>4.9090399999999992E-2</v>
          </cell>
        </row>
        <row r="26">
          <cell r="A26" t="str">
            <v>M23</v>
          </cell>
          <cell r="B26" t="str">
            <v>GUTMAN</v>
          </cell>
          <cell r="C26" t="str">
            <v>POLIN</v>
          </cell>
          <cell r="D26"/>
          <cell r="E26" t="str">
            <v>DOCENA</v>
          </cell>
          <cell r="F26" t="str">
            <v>POLIN GUTMAN T4-6 |T6-8</v>
          </cell>
          <cell r="G26" t="str">
            <v>UNIDAD</v>
          </cell>
          <cell r="H26"/>
          <cell r="I26">
            <v>36</v>
          </cell>
          <cell r="J26">
            <v>1.2318</v>
          </cell>
          <cell r="K26">
            <v>44.344799999999999</v>
          </cell>
          <cell r="L26">
            <v>0</v>
          </cell>
          <cell r="M26">
            <v>44.344799999999999</v>
          </cell>
          <cell r="N26">
            <v>50.996519999999997</v>
          </cell>
          <cell r="O26"/>
          <cell r="P26">
            <v>1.7165699999999999</v>
          </cell>
          <cell r="Q26"/>
          <cell r="R26">
            <v>1.7165699999999999</v>
          </cell>
        </row>
        <row r="27">
          <cell r="A27" t="str">
            <v>M24</v>
          </cell>
          <cell r="B27" t="str">
            <v>GUTMAN</v>
          </cell>
          <cell r="C27" t="str">
            <v>POLIN</v>
          </cell>
          <cell r="D27"/>
          <cell r="E27" t="str">
            <v>DOCENA</v>
          </cell>
          <cell r="F27" t="str">
            <v>POLIN GUTMAN T8-10 | T10-12</v>
          </cell>
          <cell r="G27" t="str">
            <v>UNIDAD</v>
          </cell>
          <cell r="H27"/>
          <cell r="I27">
            <v>36</v>
          </cell>
          <cell r="J27">
            <v>1.4131</v>
          </cell>
          <cell r="K27">
            <v>50.871600000000001</v>
          </cell>
          <cell r="L27">
            <v>0</v>
          </cell>
          <cell r="M27">
            <v>50.871600000000001</v>
          </cell>
          <cell r="N27">
            <v>58.502339999999997</v>
          </cell>
          <cell r="O27"/>
          <cell r="P27">
            <v>1.925065</v>
          </cell>
          <cell r="Q27"/>
          <cell r="R27">
            <v>1.925065</v>
          </cell>
        </row>
        <row r="28">
          <cell r="A28" t="str">
            <v>M25</v>
          </cell>
          <cell r="B28" t="str">
            <v>PADILLA</v>
          </cell>
          <cell r="C28" t="str">
            <v>TELA</v>
          </cell>
          <cell r="D28">
            <v>1.2</v>
          </cell>
          <cell r="E28" t="str">
            <v>TUBULAR</v>
          </cell>
          <cell r="F28" t="str">
            <v>ALGODÓN ARUBA PEI AZUL MARINO| COLORES| BLANCO</v>
          </cell>
          <cell r="G28" t="str">
            <v>KILOS</v>
          </cell>
          <cell r="H28">
            <v>2.4</v>
          </cell>
          <cell r="I28">
            <v>24.7</v>
          </cell>
          <cell r="J28">
            <v>10.72</v>
          </cell>
          <cell r="K28">
            <v>264.78399999999999</v>
          </cell>
          <cell r="L28">
            <v>37.07</v>
          </cell>
          <cell r="M28">
            <v>227.714</v>
          </cell>
          <cell r="N28">
            <v>261.87109999999996</v>
          </cell>
          <cell r="O28">
            <v>11.60206882591093</v>
          </cell>
          <cell r="P28"/>
          <cell r="Q28">
            <v>4.8341953441295544</v>
          </cell>
          <cell r="R28">
            <v>4.8341953441295544</v>
          </cell>
        </row>
        <row r="29">
          <cell r="A29" t="str">
            <v>M26</v>
          </cell>
          <cell r="B29" t="str">
            <v>YUNPAR</v>
          </cell>
          <cell r="C29" t="str">
            <v>IMPRESIÓN</v>
          </cell>
          <cell r="D29">
            <v>1.1200000000000001</v>
          </cell>
          <cell r="E29"/>
          <cell r="F29" t="str">
            <v>IMPRESIÓN SIN DISEÑO, ANCHO 1.12mX90gsm</v>
          </cell>
          <cell r="G29" t="str">
            <v>METRO</v>
          </cell>
          <cell r="H29"/>
          <cell r="I29">
            <v>1</v>
          </cell>
          <cell r="J29">
            <v>0.83972037760416673</v>
          </cell>
          <cell r="K29"/>
          <cell r="L29"/>
          <cell r="M29"/>
          <cell r="N29">
            <v>0.96567843424479172</v>
          </cell>
          <cell r="O29"/>
          <cell r="P29"/>
          <cell r="Q29"/>
          <cell r="R29">
            <v>0.96567843424479172</v>
          </cell>
        </row>
        <row r="30">
          <cell r="A30" t="str">
            <v>M27</v>
          </cell>
          <cell r="B30" t="str">
            <v>DIS.PAU</v>
          </cell>
          <cell r="C30" t="str">
            <v>TELA</v>
          </cell>
          <cell r="D30">
            <v>1.5</v>
          </cell>
          <cell r="E30" t="str">
            <v>ABIERTA</v>
          </cell>
          <cell r="F30" t="str">
            <v>VIOTO PESADA BLANCA|NEGRO|NARANJA FOSFORESCENTE</v>
          </cell>
          <cell r="G30" t="str">
            <v>METRO</v>
          </cell>
          <cell r="H30"/>
          <cell r="I30">
            <v>100</v>
          </cell>
          <cell r="J30">
            <v>1.52173</v>
          </cell>
          <cell r="K30">
            <v>152.173</v>
          </cell>
          <cell r="L30">
            <v>0</v>
          </cell>
          <cell r="M30">
            <v>152.173</v>
          </cell>
          <cell r="N30">
            <v>174.99894999999998</v>
          </cell>
          <cell r="O30"/>
          <cell r="P30"/>
          <cell r="Q30">
            <v>1.9499894999999998</v>
          </cell>
          <cell r="R30">
            <v>1.9499894999999998</v>
          </cell>
        </row>
        <row r="31">
          <cell r="A31" t="str">
            <v>M28</v>
          </cell>
          <cell r="B31" t="str">
            <v>BUENAÑO</v>
          </cell>
          <cell r="C31" t="str">
            <v>TELA</v>
          </cell>
          <cell r="D31">
            <v>1.5</v>
          </cell>
          <cell r="E31" t="str">
            <v>ABIERTA</v>
          </cell>
          <cell r="F31" t="str">
            <v>PRADA LISA</v>
          </cell>
          <cell r="G31" t="str">
            <v>METRO</v>
          </cell>
          <cell r="H31"/>
          <cell r="I31">
            <v>100</v>
          </cell>
          <cell r="J31">
            <v>2.08</v>
          </cell>
          <cell r="K31">
            <v>208</v>
          </cell>
          <cell r="L31">
            <v>6.24</v>
          </cell>
          <cell r="M31">
            <v>201.76</v>
          </cell>
          <cell r="N31">
            <v>232.02399999999997</v>
          </cell>
          <cell r="O31"/>
          <cell r="P31"/>
          <cell r="Q31">
            <v>2.5202399999999998</v>
          </cell>
          <cell r="R31">
            <v>2.5202399999999998</v>
          </cell>
        </row>
        <row r="32">
          <cell r="A32" t="str">
            <v>M29</v>
          </cell>
          <cell r="B32" t="str">
            <v>LA CASA DEL CIERRE</v>
          </cell>
          <cell r="C32" t="str">
            <v>CIERRE</v>
          </cell>
          <cell r="D32"/>
          <cell r="E32"/>
          <cell r="F32" t="str">
            <v>CIERRE POLIESTER 5 DESPLEGABLE 80CM SENCILLO</v>
          </cell>
          <cell r="G32" t="str">
            <v>UNIDAD</v>
          </cell>
          <cell r="H32"/>
          <cell r="I32">
            <v>100</v>
          </cell>
          <cell r="J32">
            <v>0.31303999999999998</v>
          </cell>
          <cell r="K32">
            <v>31.303999999999998</v>
          </cell>
          <cell r="L32"/>
          <cell r="M32">
            <v>31.303999999999998</v>
          </cell>
          <cell r="N32">
            <v>35.999599999999994</v>
          </cell>
          <cell r="O32"/>
          <cell r="P32">
            <v>0.45999599999999996</v>
          </cell>
          <cell r="Q32"/>
          <cell r="R32">
            <v>0.45999599999999996</v>
          </cell>
        </row>
        <row r="33">
          <cell r="A33" t="str">
            <v>M30</v>
          </cell>
          <cell r="B33" t="str">
            <v>YOMMI</v>
          </cell>
          <cell r="C33" t="str">
            <v>BORDADO</v>
          </cell>
          <cell r="D33"/>
          <cell r="E33"/>
          <cell r="F33" t="str">
            <v>BORDADO CARMEN MORA ESPALDA</v>
          </cell>
          <cell r="G33" t="str">
            <v>UNIDAD</v>
          </cell>
          <cell r="H33"/>
          <cell r="I33">
            <v>1</v>
          </cell>
          <cell r="J33">
            <v>2</v>
          </cell>
          <cell r="K33"/>
          <cell r="L33"/>
          <cell r="M33"/>
          <cell r="N33">
            <v>2.2999999999999998</v>
          </cell>
          <cell r="O33"/>
          <cell r="P33">
            <v>2.5</v>
          </cell>
          <cell r="Q33"/>
          <cell r="R33">
            <v>2.5</v>
          </cell>
        </row>
        <row r="34">
          <cell r="A34" t="str">
            <v>M31</v>
          </cell>
          <cell r="B34" t="str">
            <v>TOLEDO</v>
          </cell>
          <cell r="C34" t="str">
            <v>GAFETE</v>
          </cell>
          <cell r="D34"/>
          <cell r="E34"/>
          <cell r="F34" t="str">
            <v>TIRA DE GAFETE #3 X 24UNI.</v>
          </cell>
          <cell r="G34" t="str">
            <v>UNIDAD</v>
          </cell>
          <cell r="H34">
            <v>72</v>
          </cell>
          <cell r="I34">
            <v>3</v>
          </cell>
          <cell r="J34">
            <v>1</v>
          </cell>
          <cell r="K34">
            <v>3</v>
          </cell>
          <cell r="L34"/>
          <cell r="M34">
            <v>3</v>
          </cell>
          <cell r="N34">
            <v>3.4499999999999997</v>
          </cell>
          <cell r="O34"/>
          <cell r="P34">
            <v>7.7916666666666662E-2</v>
          </cell>
          <cell r="Q34"/>
          <cell r="R34">
            <v>7.7916666666666662E-2</v>
          </cell>
        </row>
        <row r="35">
          <cell r="A35" t="str">
            <v>M32</v>
          </cell>
          <cell r="B35" t="str">
            <v>YUNPAR</v>
          </cell>
          <cell r="C35" t="str">
            <v>IMPRESIÓN</v>
          </cell>
          <cell r="D35">
            <v>1.62</v>
          </cell>
          <cell r="E35"/>
          <cell r="F35" t="str">
            <v>IMPRESIÓN SIN DISEÑO, ANCHO 1.62mX70gsm</v>
          </cell>
          <cell r="G35" t="str">
            <v>METRO</v>
          </cell>
          <cell r="H35"/>
          <cell r="I35">
            <v>1</v>
          </cell>
          <cell r="J35">
            <v>0.97304718690742986</v>
          </cell>
          <cell r="K35"/>
          <cell r="L35"/>
          <cell r="M35"/>
          <cell r="N35">
            <v>1.1190042649435443</v>
          </cell>
          <cell r="O35"/>
          <cell r="P35"/>
          <cell r="Q35"/>
          <cell r="R35">
            <v>1.1190042649435443</v>
          </cell>
        </row>
        <row r="36">
          <cell r="A36" t="str">
            <v>M33</v>
          </cell>
          <cell r="B36" t="str">
            <v>YUNPAR</v>
          </cell>
          <cell r="C36" t="str">
            <v>IMPRESIÓN</v>
          </cell>
          <cell r="D36">
            <v>1.62</v>
          </cell>
          <cell r="E36"/>
          <cell r="F36" t="str">
            <v>IMPRESIÓN SIN DISEÑO ANCHO 1.62m x 90gsm</v>
          </cell>
          <cell r="G36" t="str">
            <v>METRO</v>
          </cell>
          <cell r="H36"/>
          <cell r="I36">
            <v>1</v>
          </cell>
          <cell r="J36">
            <v>1.1330471869074299</v>
          </cell>
          <cell r="K36"/>
          <cell r="L36"/>
          <cell r="M36"/>
          <cell r="N36">
            <v>1.3030042649435443</v>
          </cell>
          <cell r="O36"/>
          <cell r="P36"/>
          <cell r="Q36"/>
          <cell r="R36">
            <v>1.3030042649435443</v>
          </cell>
        </row>
        <row r="37">
          <cell r="A37" t="str">
            <v>M34</v>
          </cell>
          <cell r="B37" t="str">
            <v>LIRA</v>
          </cell>
          <cell r="C37" t="str">
            <v>TELA</v>
          </cell>
          <cell r="D37">
            <v>1.5</v>
          </cell>
          <cell r="E37" t="str">
            <v>ABIERTA</v>
          </cell>
          <cell r="F37" t="str">
            <v>PRADA ROMBOS|CUADROS</v>
          </cell>
          <cell r="G37" t="str">
            <v>METRO</v>
          </cell>
          <cell r="H37"/>
          <cell r="I37">
            <v>37</v>
          </cell>
          <cell r="J37">
            <v>2.7027000000000001</v>
          </cell>
          <cell r="K37">
            <v>99.999899999999997</v>
          </cell>
          <cell r="L37">
            <v>0</v>
          </cell>
          <cell r="M37">
            <v>99.999899999999997</v>
          </cell>
          <cell r="N37">
            <v>114.99988499999999</v>
          </cell>
          <cell r="O37"/>
          <cell r="P37"/>
          <cell r="Q37">
            <v>3.3081049999999999</v>
          </cell>
          <cell r="R37">
            <v>3.3081049999999999</v>
          </cell>
        </row>
        <row r="38">
          <cell r="A38" t="str">
            <v>M35</v>
          </cell>
          <cell r="B38" t="str">
            <v>BUENAÑO</v>
          </cell>
          <cell r="C38" t="str">
            <v>TELA</v>
          </cell>
          <cell r="D38">
            <v>1.5</v>
          </cell>
          <cell r="E38" t="str">
            <v>ABIERTA</v>
          </cell>
          <cell r="F38" t="str">
            <v>NICO SPORT|BLANCO</v>
          </cell>
          <cell r="G38" t="str">
            <v>METRO</v>
          </cell>
          <cell r="H38"/>
          <cell r="I38">
            <v>100</v>
          </cell>
          <cell r="J38">
            <v>1.84</v>
          </cell>
          <cell r="K38">
            <v>184</v>
          </cell>
          <cell r="L38">
            <v>0</v>
          </cell>
          <cell r="M38">
            <v>184</v>
          </cell>
          <cell r="N38">
            <v>211.6</v>
          </cell>
          <cell r="O38"/>
          <cell r="P38"/>
          <cell r="Q38">
            <v>2.3160000000000003</v>
          </cell>
          <cell r="R38">
            <v>2.3160000000000003</v>
          </cell>
        </row>
        <row r="39">
          <cell r="A39" t="str">
            <v>M36</v>
          </cell>
          <cell r="B39" t="str">
            <v>MARIA RIVERA</v>
          </cell>
          <cell r="C39" t="str">
            <v>TELA</v>
          </cell>
          <cell r="D39">
            <v>1.5</v>
          </cell>
          <cell r="E39" t="str">
            <v>ABIERTA</v>
          </cell>
          <cell r="F39" t="str">
            <v>Rollo de Galeon 150 ancho</v>
          </cell>
          <cell r="G39" t="str">
            <v>METRO</v>
          </cell>
          <cell r="H39"/>
          <cell r="I39">
            <v>1000</v>
          </cell>
          <cell r="J39">
            <v>0.5</v>
          </cell>
          <cell r="K39">
            <v>500</v>
          </cell>
          <cell r="L39">
            <v>0</v>
          </cell>
          <cell r="M39">
            <v>500</v>
          </cell>
          <cell r="N39">
            <v>575</v>
          </cell>
          <cell r="O39"/>
          <cell r="P39"/>
          <cell r="Q39">
            <v>0.77499999999999991</v>
          </cell>
          <cell r="R39">
            <v>0.77499999999999991</v>
          </cell>
        </row>
        <row r="40">
          <cell r="A40" t="str">
            <v>M37</v>
          </cell>
          <cell r="B40" t="str">
            <v>BUENAÑO</v>
          </cell>
          <cell r="C40" t="str">
            <v>TELA</v>
          </cell>
          <cell r="D40">
            <v>1.8</v>
          </cell>
          <cell r="E40" t="str">
            <v>ABIERTA</v>
          </cell>
          <cell r="F40" t="str">
            <v>MURRAY|BLANCA</v>
          </cell>
          <cell r="G40" t="str">
            <v>KILOS</v>
          </cell>
          <cell r="H40">
            <v>3.8</v>
          </cell>
          <cell r="I40">
            <v>121.24</v>
          </cell>
          <cell r="J40">
            <v>6.74</v>
          </cell>
          <cell r="K40">
            <v>817.1576</v>
          </cell>
          <cell r="L40">
            <v>8.17</v>
          </cell>
          <cell r="M40">
            <v>808.98760000000004</v>
          </cell>
          <cell r="N40">
            <v>930.33573999999999</v>
          </cell>
          <cell r="O40">
            <v>8.6735049488617619</v>
          </cell>
          <cell r="P40"/>
          <cell r="Q40">
            <v>2.2825013023320428</v>
          </cell>
          <cell r="R40">
            <v>2.2825013023320428</v>
          </cell>
        </row>
        <row r="41">
          <cell r="A41" t="str">
            <v>M38</v>
          </cell>
          <cell r="B41" t="str">
            <v>BUENAÑO</v>
          </cell>
          <cell r="C41" t="str">
            <v>TELA</v>
          </cell>
          <cell r="D41">
            <v>1.8</v>
          </cell>
          <cell r="E41" t="str">
            <v>ABIERTA</v>
          </cell>
          <cell r="F41" t="str">
            <v>ZIDAN</v>
          </cell>
          <cell r="G41" t="str">
            <v>KILOS</v>
          </cell>
          <cell r="H41">
            <v>3.8</v>
          </cell>
          <cell r="I41">
            <v>241.88</v>
          </cell>
          <cell r="J41">
            <v>6.74</v>
          </cell>
          <cell r="K41">
            <v>1630.2711999999999</v>
          </cell>
          <cell r="L41">
            <v>16.309999999999999</v>
          </cell>
          <cell r="M41">
            <v>1613.9612</v>
          </cell>
          <cell r="N41">
            <v>1856.0553799999998</v>
          </cell>
          <cell r="O41">
            <v>8.6734553497602107</v>
          </cell>
          <cell r="P41"/>
          <cell r="Q41">
            <v>2.2824882499368977</v>
          </cell>
          <cell r="R41">
            <v>2.2824882499368977</v>
          </cell>
        </row>
        <row r="42">
          <cell r="A42" t="str">
            <v>M39</v>
          </cell>
          <cell r="B42" t="str">
            <v>BUENAÑO</v>
          </cell>
          <cell r="C42" t="str">
            <v>TELA</v>
          </cell>
          <cell r="D42">
            <v>1.8</v>
          </cell>
          <cell r="E42" t="str">
            <v>ABIERTA</v>
          </cell>
          <cell r="F42" t="str">
            <v>TAPA ULISES</v>
          </cell>
          <cell r="G42" t="str">
            <v>KILOS</v>
          </cell>
          <cell r="H42">
            <v>3.8</v>
          </cell>
          <cell r="I42">
            <v>244.02</v>
          </cell>
          <cell r="J42">
            <v>6.74</v>
          </cell>
          <cell r="K42">
            <v>1644.6948000000002</v>
          </cell>
          <cell r="L42">
            <v>16.45</v>
          </cell>
          <cell r="M42">
            <v>1628.2448000000002</v>
          </cell>
          <cell r="N42">
            <v>1872.48152</v>
          </cell>
          <cell r="O42">
            <v>8.6734756167527252</v>
          </cell>
          <cell r="P42"/>
          <cell r="Q42">
            <v>2.2824935833559805</v>
          </cell>
          <cell r="R42">
            <v>2.2824935833559805</v>
          </cell>
        </row>
        <row r="43">
          <cell r="A43" t="str">
            <v>M40</v>
          </cell>
          <cell r="B43" t="str">
            <v>GEMSY</v>
          </cell>
          <cell r="C43" t="str">
            <v>FLEQUILLO</v>
          </cell>
          <cell r="D43"/>
          <cell r="E43"/>
          <cell r="F43" t="str">
            <v>FLEQUILLO 20 Yardas| 18.29m</v>
          </cell>
          <cell r="G43" t="str">
            <v>ROLLO</v>
          </cell>
          <cell r="H43">
            <v>18.29</v>
          </cell>
          <cell r="I43">
            <v>1</v>
          </cell>
          <cell r="J43">
            <v>5.75</v>
          </cell>
          <cell r="K43">
            <v>5.75</v>
          </cell>
          <cell r="L43"/>
          <cell r="M43">
            <v>5.75</v>
          </cell>
          <cell r="N43">
            <v>6.6124999999999998</v>
          </cell>
          <cell r="O43"/>
          <cell r="P43">
            <v>7.6124999999999998</v>
          </cell>
          <cell r="Q43">
            <v>0.41621104428649536</v>
          </cell>
          <cell r="R43">
            <v>0.41621104428649536</v>
          </cell>
        </row>
        <row r="44">
          <cell r="A44" t="str">
            <v>M41</v>
          </cell>
          <cell r="B44" t="str">
            <v>GEMSY</v>
          </cell>
          <cell r="C44" t="str">
            <v>BOTON</v>
          </cell>
          <cell r="D44"/>
          <cell r="E44"/>
          <cell r="F44" t="str">
            <v>BOTON DE CAMISA 2 HUECOS</v>
          </cell>
          <cell r="G44" t="str">
            <v>UNIDAD</v>
          </cell>
          <cell r="H44">
            <v>1000</v>
          </cell>
          <cell r="I44">
            <v>1</v>
          </cell>
          <cell r="J44">
            <v>7.75</v>
          </cell>
          <cell r="K44">
            <v>7.75</v>
          </cell>
          <cell r="L44"/>
          <cell r="M44">
            <v>7.75</v>
          </cell>
          <cell r="N44">
            <v>8.9124999999999996</v>
          </cell>
          <cell r="O44"/>
          <cell r="P44">
            <v>8.9125000000000003E-3</v>
          </cell>
          <cell r="Q44"/>
          <cell r="R44">
            <v>8.9125000000000003E-3</v>
          </cell>
        </row>
        <row r="45">
          <cell r="A45" t="str">
            <v>M42</v>
          </cell>
          <cell r="B45" t="str">
            <v>GEMSY</v>
          </cell>
          <cell r="C45" t="str">
            <v>HILO</v>
          </cell>
          <cell r="D45"/>
          <cell r="E45" t="str">
            <v>CAJA</v>
          </cell>
          <cell r="F45" t="str">
            <v>HILOS DE 10000 YDS</v>
          </cell>
          <cell r="G45" t="str">
            <v>UNIDAD</v>
          </cell>
          <cell r="H45"/>
          <cell r="I45">
            <v>72</v>
          </cell>
          <cell r="J45">
            <v>1.86</v>
          </cell>
          <cell r="K45">
            <v>133.92000000000002</v>
          </cell>
          <cell r="L45">
            <v>0</v>
          </cell>
          <cell r="M45">
            <v>133.92000000000002</v>
          </cell>
          <cell r="N45">
            <v>154.00800000000001</v>
          </cell>
          <cell r="O45"/>
          <cell r="P45">
            <v>2.3390000000000004</v>
          </cell>
          <cell r="Q45"/>
          <cell r="R45">
            <v>2.3390000000000004</v>
          </cell>
        </row>
        <row r="46">
          <cell r="A46" t="str">
            <v>M43</v>
          </cell>
          <cell r="B46" t="str">
            <v>GEMSY</v>
          </cell>
          <cell r="C46" t="str">
            <v>PELLON</v>
          </cell>
          <cell r="D46"/>
          <cell r="E46" t="str">
            <v>ROLLO</v>
          </cell>
          <cell r="F46" t="str">
            <v>PELLON PEGABLE FINO 70GSM|150cmX100m</v>
          </cell>
          <cell r="G46" t="str">
            <v>METRO</v>
          </cell>
          <cell r="H46"/>
          <cell r="I46">
            <v>100</v>
          </cell>
          <cell r="J46">
            <v>1.0434399999999999</v>
          </cell>
          <cell r="K46">
            <v>104.34399999999999</v>
          </cell>
          <cell r="L46"/>
          <cell r="M46">
            <v>104.34399999999999</v>
          </cell>
          <cell r="N46">
            <v>119.99559999999998</v>
          </cell>
          <cell r="O46"/>
          <cell r="P46">
            <v>129.99559999999997</v>
          </cell>
          <cell r="Q46">
            <v>1.2999559999999997</v>
          </cell>
          <cell r="R46">
            <v>1.2999559999999997</v>
          </cell>
        </row>
        <row r="47">
          <cell r="A47" t="str">
            <v>M44</v>
          </cell>
          <cell r="B47" t="str">
            <v>GEMSY</v>
          </cell>
          <cell r="C47" t="str">
            <v>ELASTICO</v>
          </cell>
          <cell r="D47" t="str">
            <v>8cm</v>
          </cell>
          <cell r="E47"/>
          <cell r="F47" t="str">
            <v>ELASTICO LLANO NORMAL 80mm CRUDO 45metros</v>
          </cell>
          <cell r="G47" t="str">
            <v>CARRETE</v>
          </cell>
          <cell r="H47">
            <v>45</v>
          </cell>
          <cell r="I47">
            <v>1</v>
          </cell>
          <cell r="J47">
            <v>13</v>
          </cell>
          <cell r="K47">
            <v>13</v>
          </cell>
          <cell r="L47"/>
          <cell r="M47">
            <v>13</v>
          </cell>
          <cell r="N47">
            <v>14.95</v>
          </cell>
          <cell r="O47"/>
          <cell r="P47">
            <v>15.95</v>
          </cell>
          <cell r="Q47">
            <v>0.3322222222222222</v>
          </cell>
          <cell r="R47">
            <v>0.3322222222222222</v>
          </cell>
        </row>
        <row r="48">
          <cell r="A48" t="str">
            <v>M45</v>
          </cell>
          <cell r="B48" t="str">
            <v>NILOTEX</v>
          </cell>
          <cell r="C48" t="str">
            <v>ELASTICO</v>
          </cell>
          <cell r="D48" t="str">
            <v>1.9cm</v>
          </cell>
          <cell r="E48"/>
          <cell r="F48" t="str">
            <v>ELASTICO LLANO REFORZADO 19mm CRUDO 45metros</v>
          </cell>
          <cell r="G48" t="str">
            <v>CARRETE</v>
          </cell>
          <cell r="H48">
            <v>45</v>
          </cell>
          <cell r="I48">
            <v>5</v>
          </cell>
          <cell r="J48">
            <v>3.31</v>
          </cell>
          <cell r="K48">
            <v>16.55</v>
          </cell>
          <cell r="L48"/>
          <cell r="M48">
            <v>16.55</v>
          </cell>
          <cell r="N48">
            <v>19.032499999999999</v>
          </cell>
          <cell r="O48"/>
          <cell r="P48">
            <v>4.8064999999999998</v>
          </cell>
          <cell r="Q48">
            <v>0.10681111111111111</v>
          </cell>
          <cell r="R48">
            <v>0.10681111111111111</v>
          </cell>
        </row>
        <row r="49">
          <cell r="A49" t="str">
            <v>M46</v>
          </cell>
          <cell r="B49" t="str">
            <v>LA CASA DEL CIERRE</v>
          </cell>
          <cell r="C49" t="str">
            <v>CIERRE</v>
          </cell>
          <cell r="D49"/>
          <cell r="E49"/>
          <cell r="F49" t="str">
            <v>TIRA CIERRES S99 COLOR NEGRO 580 PALETA CUADRADO CORDON PUNTOS BLANCO</v>
          </cell>
          <cell r="G49" t="str">
            <v>UNIDAD</v>
          </cell>
          <cell r="H49"/>
          <cell r="I49">
            <v>100</v>
          </cell>
          <cell r="J49">
            <v>6.2E-2</v>
          </cell>
          <cell r="K49">
            <v>6.2</v>
          </cell>
          <cell r="L49"/>
          <cell r="M49">
            <v>6.2</v>
          </cell>
          <cell r="N49">
            <v>7.13</v>
          </cell>
          <cell r="O49"/>
          <cell r="P49">
            <v>0.17130000000000001</v>
          </cell>
          <cell r="Q49"/>
          <cell r="R49">
            <v>0.17130000000000001</v>
          </cell>
        </row>
        <row r="50">
          <cell r="A50" t="str">
            <v>M47</v>
          </cell>
          <cell r="B50" t="str">
            <v>LA CASA DEL CIERRE</v>
          </cell>
          <cell r="C50" t="str">
            <v>CIERRE</v>
          </cell>
          <cell r="D50"/>
          <cell r="E50"/>
          <cell r="F50" t="str">
            <v>CIERRE POLIESTER 5 FIJO 18CM CAMPANA</v>
          </cell>
          <cell r="G50" t="str">
            <v>UNIDAD</v>
          </cell>
          <cell r="H50"/>
          <cell r="I50">
            <v>200</v>
          </cell>
          <cell r="J50">
            <v>0.15</v>
          </cell>
          <cell r="K50">
            <v>30</v>
          </cell>
          <cell r="L50"/>
          <cell r="M50">
            <v>30</v>
          </cell>
          <cell r="N50">
            <v>34.5</v>
          </cell>
          <cell r="O50"/>
          <cell r="P50">
            <v>0.27249999999999996</v>
          </cell>
          <cell r="Q50"/>
          <cell r="R50">
            <v>0.27249999999999996</v>
          </cell>
        </row>
        <row r="51">
          <cell r="A51" t="str">
            <v>M48</v>
          </cell>
          <cell r="B51" t="str">
            <v>LA CASA DEL CIERRE</v>
          </cell>
          <cell r="C51" t="str">
            <v>CIERRE</v>
          </cell>
          <cell r="D51"/>
          <cell r="E51"/>
          <cell r="F51" t="str">
            <v>CIERRE POLIESTER 3 FIJO 30CM SENCILLO</v>
          </cell>
          <cell r="G51" t="str">
            <v>UNIDAD</v>
          </cell>
          <cell r="H51"/>
          <cell r="I51">
            <v>100</v>
          </cell>
          <cell r="J51">
            <v>0.15709000000000001</v>
          </cell>
          <cell r="K51">
            <v>15.709000000000001</v>
          </cell>
          <cell r="L51"/>
          <cell r="M51">
            <v>15.709000000000001</v>
          </cell>
          <cell r="N51">
            <v>18.065349999999999</v>
          </cell>
          <cell r="O51"/>
          <cell r="P51">
            <v>0.2806535</v>
          </cell>
          <cell r="Q51"/>
          <cell r="R51">
            <v>0.2806535</v>
          </cell>
        </row>
        <row r="52">
          <cell r="A52" t="str">
            <v>M49</v>
          </cell>
          <cell r="B52" t="str">
            <v>LA CASA DEL CIERRE</v>
          </cell>
          <cell r="C52" t="str">
            <v>CIERRE</v>
          </cell>
          <cell r="D52"/>
          <cell r="E52"/>
          <cell r="F52" t="str">
            <v>CIERRE POLIESTER 3 FIJO 35CM SENCILLO</v>
          </cell>
          <cell r="G52" t="str">
            <v>UNIDAD</v>
          </cell>
          <cell r="H52"/>
          <cell r="I52">
            <v>100</v>
          </cell>
          <cell r="J52">
            <v>0.1366</v>
          </cell>
          <cell r="K52">
            <v>13.66</v>
          </cell>
          <cell r="L52"/>
          <cell r="M52">
            <v>13.66</v>
          </cell>
          <cell r="N52">
            <v>15.709</v>
          </cell>
          <cell r="O52"/>
          <cell r="P52">
            <v>0.25709000000000004</v>
          </cell>
          <cell r="Q52"/>
          <cell r="R52">
            <v>0.25709000000000004</v>
          </cell>
        </row>
        <row r="53">
          <cell r="A53" t="str">
            <v>M50</v>
          </cell>
          <cell r="B53" t="str">
            <v>LA CASA DEL CIERRE</v>
          </cell>
          <cell r="C53" t="str">
            <v>CIERRE</v>
          </cell>
          <cell r="D53"/>
          <cell r="E53"/>
          <cell r="F53" t="str">
            <v>CIERRE POLIESTER 5 DESPLEGABLE 40CM</v>
          </cell>
          <cell r="G53" t="str">
            <v>UNIDAD</v>
          </cell>
          <cell r="H53"/>
          <cell r="I53">
            <v>100</v>
          </cell>
          <cell r="J53">
            <v>0.26085999999999998</v>
          </cell>
          <cell r="K53">
            <v>26.085999999999999</v>
          </cell>
          <cell r="L53"/>
          <cell r="M53">
            <v>26.085999999999999</v>
          </cell>
          <cell r="N53">
            <v>29.998899999999995</v>
          </cell>
          <cell r="O53"/>
          <cell r="P53">
            <v>0.39998899999999993</v>
          </cell>
          <cell r="Q53"/>
          <cell r="R53">
            <v>0.39998899999999993</v>
          </cell>
        </row>
        <row r="54">
          <cell r="A54" t="str">
            <v>M51</v>
          </cell>
          <cell r="B54" t="str">
            <v>LA CASA DEL CIERRE</v>
          </cell>
          <cell r="C54" t="str">
            <v>CIERRE</v>
          </cell>
          <cell r="D54"/>
          <cell r="E54"/>
          <cell r="F54" t="str">
            <v>CIERRE PLASTICO 5 DESPLEGABLE 65CM</v>
          </cell>
          <cell r="G54" t="str">
            <v>UNIDAD</v>
          </cell>
          <cell r="H54"/>
          <cell r="I54">
            <v>100</v>
          </cell>
          <cell r="J54">
            <v>0.33346999999999999</v>
          </cell>
          <cell r="K54">
            <v>33.347000000000001</v>
          </cell>
          <cell r="L54"/>
          <cell r="M54">
            <v>33.347000000000001</v>
          </cell>
          <cell r="N54">
            <v>38.349049999999998</v>
          </cell>
          <cell r="O54"/>
          <cell r="P54">
            <v>0.48349049999999993</v>
          </cell>
          <cell r="Q54"/>
          <cell r="R54">
            <v>0.5</v>
          </cell>
        </row>
        <row r="55">
          <cell r="A55" t="str">
            <v>M52</v>
          </cell>
          <cell r="B55" t="str">
            <v>LA CASA DEL CIERRE</v>
          </cell>
          <cell r="C55" t="str">
            <v>CIERRE</v>
          </cell>
          <cell r="D55"/>
          <cell r="E55"/>
          <cell r="F55" t="str">
            <v>CIERRE POLIESTER 5 DESPLEGABLE 70CM</v>
          </cell>
          <cell r="G55" t="str">
            <v>UNIDAD</v>
          </cell>
          <cell r="H55"/>
          <cell r="I55">
            <v>100</v>
          </cell>
          <cell r="J55">
            <v>0.29565000000000002</v>
          </cell>
          <cell r="K55">
            <v>29.565000000000001</v>
          </cell>
          <cell r="L55"/>
          <cell r="M55">
            <v>29.565000000000001</v>
          </cell>
          <cell r="N55">
            <v>33.999749999999999</v>
          </cell>
          <cell r="O55"/>
          <cell r="P55">
            <v>0.43999750000000004</v>
          </cell>
          <cell r="Q55"/>
          <cell r="R55">
            <v>0.6</v>
          </cell>
        </row>
        <row r="56">
          <cell r="A56" t="str">
            <v>M53</v>
          </cell>
          <cell r="B56" t="str">
            <v>LA CASA DEL CIERRE</v>
          </cell>
          <cell r="C56" t="str">
            <v>CIERRE</v>
          </cell>
          <cell r="D56"/>
          <cell r="E56"/>
          <cell r="F56" t="str">
            <v>CIERRE METAL 5 DESPLEGABLE 75CM</v>
          </cell>
          <cell r="G56" t="str">
            <v>UNIDAD</v>
          </cell>
          <cell r="H56"/>
          <cell r="I56">
            <v>100</v>
          </cell>
          <cell r="J56">
            <v>0.94433999999999996</v>
          </cell>
          <cell r="K56">
            <v>94.433999999999997</v>
          </cell>
          <cell r="L56"/>
          <cell r="M56">
            <v>94.433999999999997</v>
          </cell>
          <cell r="N56">
            <v>108.59909999999999</v>
          </cell>
          <cell r="O56"/>
          <cell r="P56">
            <v>1.185991</v>
          </cell>
          <cell r="Q56"/>
          <cell r="R56">
            <v>1.2</v>
          </cell>
        </row>
        <row r="57">
          <cell r="A57" t="str">
            <v>M54</v>
          </cell>
          <cell r="B57" t="str">
            <v>LA CASA DEL CIERRE</v>
          </cell>
          <cell r="C57" t="str">
            <v>CIERRE</v>
          </cell>
          <cell r="D57"/>
          <cell r="E57"/>
          <cell r="F57" t="str">
            <v>CIERRE INVISIBLE POLIESTER 5 DESPLEGABLE 80CM</v>
          </cell>
          <cell r="G57" t="str">
            <v>UNIDAD</v>
          </cell>
          <cell r="H57"/>
          <cell r="I57">
            <v>100</v>
          </cell>
          <cell r="J57">
            <v>0.52170000000000005</v>
          </cell>
          <cell r="K57">
            <v>52.17</v>
          </cell>
          <cell r="L57"/>
          <cell r="M57">
            <v>52.17</v>
          </cell>
          <cell r="N57">
            <v>59.9955</v>
          </cell>
          <cell r="O57"/>
          <cell r="P57">
            <v>0.69995499999999999</v>
          </cell>
          <cell r="Q57"/>
          <cell r="R57">
            <v>0.69995499999999999</v>
          </cell>
        </row>
        <row r="58">
          <cell r="A58" t="str">
            <v>M55</v>
          </cell>
          <cell r="B58" t="str">
            <v>LINOTEXTIL</v>
          </cell>
          <cell r="C58" t="str">
            <v>PLUMON</v>
          </cell>
          <cell r="D58"/>
          <cell r="E58" t="str">
            <v>KILO</v>
          </cell>
          <cell r="F58" t="str">
            <v>PLUMON (FUNDA)</v>
          </cell>
          <cell r="G58" t="str">
            <v>KILO</v>
          </cell>
          <cell r="H58"/>
          <cell r="I58">
            <v>10</v>
          </cell>
          <cell r="J58">
            <v>4.9130000000000003</v>
          </cell>
          <cell r="K58">
            <v>49.13</v>
          </cell>
          <cell r="L58"/>
          <cell r="M58">
            <v>49.13</v>
          </cell>
          <cell r="N58">
            <v>56.499499999999998</v>
          </cell>
          <cell r="O58">
            <v>7.6499499999999996</v>
          </cell>
          <cell r="P58"/>
          <cell r="Q58"/>
          <cell r="R58">
            <v>7.6499499999999996</v>
          </cell>
        </row>
        <row r="59">
          <cell r="A59" t="str">
            <v>M56</v>
          </cell>
          <cell r="B59" t="str">
            <v>IMPORSOPAPEL</v>
          </cell>
          <cell r="C59" t="str">
            <v>PAPEL</v>
          </cell>
          <cell r="D59" t="str">
            <v>A4</v>
          </cell>
          <cell r="E59" t="str">
            <v>HOJA</v>
          </cell>
          <cell r="F59" t="str">
            <v>HOJA PAPEL ADHESIVO BON A4 75GR</v>
          </cell>
          <cell r="G59" t="str">
            <v>UNIDAD</v>
          </cell>
          <cell r="H59"/>
          <cell r="I59">
            <v>1000</v>
          </cell>
          <cell r="J59">
            <v>6.3299999999999995E-2</v>
          </cell>
          <cell r="K59">
            <v>63.3</v>
          </cell>
          <cell r="L59"/>
          <cell r="M59">
            <v>63.3</v>
          </cell>
          <cell r="N59">
            <v>72.794999999999987</v>
          </cell>
          <cell r="O59"/>
          <cell r="P59">
            <v>0.17279499999999998</v>
          </cell>
          <cell r="Q59"/>
          <cell r="R59">
            <v>0.17279499999999998</v>
          </cell>
        </row>
        <row r="60">
          <cell r="A60" t="str">
            <v>M57</v>
          </cell>
          <cell r="B60" t="str">
            <v>NILOTEX</v>
          </cell>
          <cell r="C60" t="str">
            <v>REATA</v>
          </cell>
          <cell r="D60" t="str">
            <v>1cm</v>
          </cell>
          <cell r="E60"/>
          <cell r="F60" t="str">
            <v>Reata hiladilla Po 10mm de colores + carretes plásticos de 91m</v>
          </cell>
          <cell r="G60" t="str">
            <v>CARRETE</v>
          </cell>
          <cell r="H60">
            <v>91</v>
          </cell>
          <cell r="I60">
            <v>5</v>
          </cell>
          <cell r="J60">
            <v>8.67</v>
          </cell>
          <cell r="K60">
            <v>43.35</v>
          </cell>
          <cell r="L60"/>
          <cell r="M60">
            <v>43.35</v>
          </cell>
          <cell r="N60">
            <v>49.852499999999999</v>
          </cell>
          <cell r="O60"/>
          <cell r="P60">
            <v>10.970499999999999</v>
          </cell>
          <cell r="Q60">
            <v>0.12055494505494505</v>
          </cell>
          <cell r="R60">
            <v>0.12055494505494505</v>
          </cell>
        </row>
        <row r="61">
          <cell r="A61" t="str">
            <v>M58</v>
          </cell>
          <cell r="B61" t="str">
            <v>PADILLA</v>
          </cell>
          <cell r="C61" t="str">
            <v>TELA</v>
          </cell>
          <cell r="D61">
            <v>1.2</v>
          </cell>
          <cell r="E61" t="str">
            <v>TUBULAR</v>
          </cell>
          <cell r="F61" t="str">
            <v>PIKE LACOAST 20 PEI CELESTE| CLARO</v>
          </cell>
          <cell r="G61" t="str">
            <v>KILOS</v>
          </cell>
          <cell r="H61">
            <v>2</v>
          </cell>
          <cell r="I61">
            <v>21.62</v>
          </cell>
          <cell r="J61">
            <v>8.1</v>
          </cell>
          <cell r="K61">
            <v>175.12200000000001</v>
          </cell>
          <cell r="L61">
            <v>7.0048800000000009</v>
          </cell>
          <cell r="M61">
            <v>168.11712</v>
          </cell>
          <cell r="N61">
            <v>193.33468799999997</v>
          </cell>
          <cell r="O61">
            <v>9.9423999999999975</v>
          </cell>
          <cell r="P61"/>
          <cell r="Q61">
            <v>4.9711999999999987</v>
          </cell>
          <cell r="R61">
            <v>4.9711999999999987</v>
          </cell>
        </row>
        <row r="62">
          <cell r="A62" t="str">
            <v>M59</v>
          </cell>
          <cell r="B62" t="str">
            <v>PADILLA</v>
          </cell>
          <cell r="C62" t="str">
            <v>TELA</v>
          </cell>
          <cell r="D62">
            <v>1.2</v>
          </cell>
          <cell r="E62" t="str">
            <v>TUBULAR</v>
          </cell>
          <cell r="F62" t="str">
            <v>PIKE LACOAST 20 PEI AZUL MARINO| OSCURO</v>
          </cell>
          <cell r="G62" t="str">
            <v>KILOS</v>
          </cell>
          <cell r="H62">
            <v>2</v>
          </cell>
          <cell r="I62">
            <v>12.69</v>
          </cell>
          <cell r="J62">
            <v>9.17</v>
          </cell>
          <cell r="K62">
            <v>116.3673</v>
          </cell>
          <cell r="L62">
            <v>4.6546919999999998</v>
          </cell>
          <cell r="M62">
            <v>111.712608</v>
          </cell>
          <cell r="N62">
            <v>128.4694992</v>
          </cell>
          <cell r="O62">
            <v>11.12368</v>
          </cell>
          <cell r="P62"/>
          <cell r="Q62">
            <v>5.5618400000000001</v>
          </cell>
          <cell r="R62">
            <v>5.5618400000000001</v>
          </cell>
        </row>
        <row r="63">
          <cell r="A63" t="str">
            <v>M60</v>
          </cell>
          <cell r="B63" t="str">
            <v>PADILLA</v>
          </cell>
          <cell r="C63" t="str">
            <v>TELA</v>
          </cell>
          <cell r="D63">
            <v>1.1000000000000001</v>
          </cell>
          <cell r="E63" t="str">
            <v>TUBULAR</v>
          </cell>
          <cell r="F63" t="str">
            <v>ALGODÓN INTERLOCK SPUN 30 BLANCO FROZEN</v>
          </cell>
          <cell r="G63" t="str">
            <v>KILOS</v>
          </cell>
          <cell r="H63">
            <v>2.1</v>
          </cell>
          <cell r="I63">
            <v>24.58</v>
          </cell>
          <cell r="J63">
            <v>8.64</v>
          </cell>
          <cell r="K63">
            <v>212.37119999999999</v>
          </cell>
          <cell r="L63">
            <v>29.73</v>
          </cell>
          <cell r="M63">
            <v>182.6412</v>
          </cell>
          <cell r="N63">
            <v>210.03737999999998</v>
          </cell>
          <cell r="O63">
            <v>9.5450520748576082</v>
          </cell>
          <cell r="P63"/>
          <cell r="Q63">
            <v>4.5452628927893368</v>
          </cell>
          <cell r="R63">
            <v>4.5452628927893368</v>
          </cell>
        </row>
        <row r="64">
          <cell r="A64" t="str">
            <v>M61</v>
          </cell>
          <cell r="B64" t="str">
            <v>PADILLA</v>
          </cell>
          <cell r="C64" t="str">
            <v>TELA</v>
          </cell>
          <cell r="D64">
            <v>1.2</v>
          </cell>
          <cell r="E64" t="str">
            <v>TUBULAR</v>
          </cell>
          <cell r="F64" t="str">
            <v>INTERLOCK 40 SPUN 1.2 BLANCO FROZEN</v>
          </cell>
          <cell r="G64" t="str">
            <v>KILOS</v>
          </cell>
          <cell r="H64">
            <v>2.4</v>
          </cell>
          <cell r="I64">
            <v>25.68</v>
          </cell>
          <cell r="J64">
            <v>8.24</v>
          </cell>
          <cell r="K64">
            <v>211.60320000000002</v>
          </cell>
          <cell r="L64">
            <v>8.4600000000000009</v>
          </cell>
          <cell r="M64">
            <v>203.14320000000001</v>
          </cell>
          <cell r="N64">
            <v>233.61467999999999</v>
          </cell>
          <cell r="O64">
            <v>10.097144859813083</v>
          </cell>
          <cell r="P64"/>
          <cell r="Q64">
            <v>4.2071436915887848</v>
          </cell>
          <cell r="R64">
            <v>4.2071436915887848</v>
          </cell>
        </row>
        <row r="65">
          <cell r="A65" t="str">
            <v>M62</v>
          </cell>
          <cell r="B65" t="str">
            <v>PADILLA</v>
          </cell>
          <cell r="C65" t="str">
            <v>TELA</v>
          </cell>
          <cell r="D65">
            <v>0.86</v>
          </cell>
          <cell r="E65" t="str">
            <v>TUBULAR</v>
          </cell>
          <cell r="F65" t="str">
            <v>ALGODÓN DENISSE PEI AZUL MARINO |COLORES | BLANCO</v>
          </cell>
          <cell r="G65" t="str">
            <v>KILOS</v>
          </cell>
          <cell r="H65">
            <v>3</v>
          </cell>
          <cell r="I65">
            <v>24.7</v>
          </cell>
          <cell r="J65">
            <v>10.72</v>
          </cell>
          <cell r="K65">
            <v>264.78399999999999</v>
          </cell>
          <cell r="L65">
            <v>37.07</v>
          </cell>
          <cell r="M65">
            <v>227.714</v>
          </cell>
          <cell r="N65">
            <v>261.87109999999996</v>
          </cell>
          <cell r="O65">
            <v>11.60206882591093</v>
          </cell>
          <cell r="P65"/>
          <cell r="Q65">
            <v>3.8673562753036435</v>
          </cell>
          <cell r="R65">
            <v>3.8673562753036435</v>
          </cell>
        </row>
        <row r="66">
          <cell r="A66" t="str">
            <v>M63</v>
          </cell>
          <cell r="B66" t="str">
            <v>PADILLA</v>
          </cell>
          <cell r="C66" t="str">
            <v>TELA</v>
          </cell>
          <cell r="D66">
            <v>1.2</v>
          </cell>
          <cell r="E66" t="str">
            <v>TUBULAR</v>
          </cell>
          <cell r="F66" t="str">
            <v>CHELSEA MIC NARANJA FOSFORESCENTE</v>
          </cell>
          <cell r="G66" t="str">
            <v>KILOS</v>
          </cell>
          <cell r="H66">
            <v>3.3</v>
          </cell>
          <cell r="I66">
            <v>15.38</v>
          </cell>
          <cell r="J66">
            <v>7.4</v>
          </cell>
          <cell r="K66">
            <v>113.81200000000001</v>
          </cell>
          <cell r="L66">
            <v>4.552480000000001</v>
          </cell>
          <cell r="M66">
            <v>109.25952000000001</v>
          </cell>
          <cell r="N66">
            <v>125.648448</v>
          </cell>
          <cell r="O66">
            <v>9.1695999999999991</v>
          </cell>
          <cell r="P66"/>
          <cell r="Q66">
            <v>2.7786666666666666</v>
          </cell>
          <cell r="R66">
            <v>2.7786666666666666</v>
          </cell>
        </row>
        <row r="67">
          <cell r="A67" t="str">
            <v>M64</v>
          </cell>
          <cell r="B67" t="str">
            <v>PADILLA</v>
          </cell>
          <cell r="C67" t="str">
            <v>CUELLO</v>
          </cell>
          <cell r="D67"/>
          <cell r="E67" t="str">
            <v>ABIERTO</v>
          </cell>
          <cell r="F67" t="str">
            <v>CUELLOS20 PEI|NEGRO AZABACHE Y MAS.</v>
          </cell>
          <cell r="G67" t="str">
            <v>KILOS</v>
          </cell>
          <cell r="H67">
            <v>33</v>
          </cell>
          <cell r="I67">
            <v>3.2</v>
          </cell>
          <cell r="J67">
            <v>12.43</v>
          </cell>
          <cell r="K67">
            <v>39.776000000000003</v>
          </cell>
          <cell r="L67">
            <v>1.5910400000000002</v>
          </cell>
          <cell r="M67">
            <v>38.184960000000004</v>
          </cell>
          <cell r="N67">
            <v>43.912703999999998</v>
          </cell>
          <cell r="O67">
            <v>15.722719999999999</v>
          </cell>
          <cell r="P67">
            <v>0.4764460606060606</v>
          </cell>
          <cell r="Q67"/>
          <cell r="R67">
            <v>0.4764460606060606</v>
          </cell>
        </row>
        <row r="68">
          <cell r="A68" t="str">
            <v>M65</v>
          </cell>
          <cell r="B68" t="str">
            <v>PADILLA</v>
          </cell>
          <cell r="C68" t="str">
            <v>PUÑO</v>
          </cell>
          <cell r="D68"/>
          <cell r="E68" t="str">
            <v>ABIERTO</v>
          </cell>
          <cell r="F68" t="str">
            <v>PUÑOS20 PEI|NEGRO AZABACHE Y MAS.</v>
          </cell>
          <cell r="G68" t="str">
            <v>KILOS</v>
          </cell>
          <cell r="H68">
            <v>66</v>
          </cell>
          <cell r="I68">
            <v>2.2799999999999998</v>
          </cell>
          <cell r="J68">
            <v>12.43</v>
          </cell>
          <cell r="K68">
            <v>28.340399999999995</v>
          </cell>
          <cell r="L68">
            <v>1.1336159999999997</v>
          </cell>
          <cell r="M68">
            <v>27.206783999999995</v>
          </cell>
          <cell r="N68">
            <v>31.287801599999991</v>
          </cell>
          <cell r="O68">
            <v>15.722719999999997</v>
          </cell>
          <cell r="P68">
            <v>0.23822303030303027</v>
          </cell>
          <cell r="Q68"/>
          <cell r="R68">
            <v>0.23822303030303027</v>
          </cell>
        </row>
        <row r="69">
          <cell r="A69" t="str">
            <v>M66</v>
          </cell>
          <cell r="B69" t="str">
            <v>MATEW VERA</v>
          </cell>
          <cell r="C69" t="str">
            <v>ETIQUETA</v>
          </cell>
          <cell r="D69" t="str">
            <v>58cm</v>
          </cell>
          <cell r="E69"/>
          <cell r="F69" t="str">
            <v>ETIQUETAS DTF MARCA 2X5cm</v>
          </cell>
          <cell r="G69" t="str">
            <v>METRO</v>
          </cell>
          <cell r="H69">
            <v>506</v>
          </cell>
          <cell r="I69">
            <v>1</v>
          </cell>
          <cell r="J69">
            <v>10</v>
          </cell>
          <cell r="K69">
            <v>10</v>
          </cell>
          <cell r="L69">
            <v>0.4</v>
          </cell>
          <cell r="M69">
            <v>9.6</v>
          </cell>
          <cell r="N69">
            <v>11.04</v>
          </cell>
          <cell r="O69"/>
          <cell r="P69">
            <v>3.1699604743083004E-2</v>
          </cell>
          <cell r="Q69">
            <v>16.04</v>
          </cell>
          <cell r="R69">
            <v>3.1699604743083004E-2</v>
          </cell>
        </row>
        <row r="70">
          <cell r="A70" t="str">
            <v>M67</v>
          </cell>
          <cell r="B70" t="str">
            <v>LOCAL</v>
          </cell>
          <cell r="C70" t="str">
            <v>FUNDAS</v>
          </cell>
          <cell r="D70"/>
          <cell r="E70" t="str">
            <v>PLANCHA</v>
          </cell>
          <cell r="F70" t="str">
            <v>FUNDAS PARA ENTREGAR PRENDAS</v>
          </cell>
          <cell r="G70" t="str">
            <v>UNIDAD</v>
          </cell>
          <cell r="H70">
            <v>100</v>
          </cell>
          <cell r="I70">
            <v>1</v>
          </cell>
          <cell r="J70">
            <v>2.6349999999999998E-2</v>
          </cell>
          <cell r="K70">
            <v>2.6349999999999998E-2</v>
          </cell>
          <cell r="L70">
            <v>1.054E-3</v>
          </cell>
          <cell r="M70">
            <v>2.5295999999999999E-2</v>
          </cell>
          <cell r="N70">
            <v>2.9090399999999995E-2</v>
          </cell>
          <cell r="O70">
            <v>2.9090399999999995E-2</v>
          </cell>
          <cell r="P70">
            <v>4.9090399999999992E-2</v>
          </cell>
          <cell r="Q70"/>
          <cell r="R70">
            <v>4.9090399999999992E-2</v>
          </cell>
        </row>
        <row r="71">
          <cell r="A71" t="str">
            <v>M68</v>
          </cell>
          <cell r="B71" t="str">
            <v>YUNPAR</v>
          </cell>
          <cell r="C71" t="str">
            <v>PAPEL</v>
          </cell>
          <cell r="D71" t="str">
            <v>1.62X1000</v>
          </cell>
          <cell r="E71"/>
          <cell r="F71" t="str">
            <v>Papel Crakf 1.62m x 1000m x 30g.</v>
          </cell>
          <cell r="G71" t="str">
            <v>ROLLO</v>
          </cell>
          <cell r="H71"/>
          <cell r="I71">
            <v>11</v>
          </cell>
          <cell r="J71">
            <v>83.05</v>
          </cell>
          <cell r="K71"/>
          <cell r="L71"/>
          <cell r="M71">
            <v>913.55</v>
          </cell>
          <cell r="N71">
            <v>1050.5824999999998</v>
          </cell>
          <cell r="O71"/>
          <cell r="P71">
            <v>95.507499999999979</v>
          </cell>
          <cell r="Q71"/>
          <cell r="R71">
            <v>120</v>
          </cell>
        </row>
        <row r="72">
          <cell r="A72" t="str">
            <v>M69</v>
          </cell>
          <cell r="B72" t="str">
            <v>YUNPAR</v>
          </cell>
          <cell r="C72" t="str">
            <v>TINTA</v>
          </cell>
          <cell r="D72"/>
          <cell r="E72"/>
          <cell r="F72" t="str">
            <v>Tinta Jaz Azul</v>
          </cell>
          <cell r="G72" t="str">
            <v>LITRO</v>
          </cell>
          <cell r="H72"/>
          <cell r="I72">
            <v>36</v>
          </cell>
          <cell r="J72">
            <v>10.27</v>
          </cell>
          <cell r="K72"/>
          <cell r="L72"/>
          <cell r="M72"/>
          <cell r="N72">
            <v>11.810499999999999</v>
          </cell>
          <cell r="O72"/>
          <cell r="P72">
            <v>11.810499999999999</v>
          </cell>
          <cell r="Q72"/>
          <cell r="R72">
            <v>27</v>
          </cell>
        </row>
        <row r="73">
          <cell r="A73" t="str">
            <v>M70</v>
          </cell>
          <cell r="B73" t="str">
            <v>YUNPAR</v>
          </cell>
          <cell r="C73" t="str">
            <v>TINTA</v>
          </cell>
          <cell r="D73"/>
          <cell r="E73"/>
          <cell r="F73" t="str">
            <v>Tinta Jaz Amarilla</v>
          </cell>
          <cell r="G73" t="str">
            <v>LITRO</v>
          </cell>
          <cell r="H73"/>
          <cell r="I73">
            <v>56</v>
          </cell>
          <cell r="J73">
            <v>10.27</v>
          </cell>
          <cell r="K73"/>
          <cell r="L73"/>
          <cell r="M73"/>
          <cell r="N73">
            <v>11.810499999999999</v>
          </cell>
          <cell r="O73"/>
          <cell r="P73">
            <v>11.810499999999999</v>
          </cell>
          <cell r="Q73"/>
          <cell r="R73">
            <v>27</v>
          </cell>
        </row>
        <row r="74">
          <cell r="A74" t="str">
            <v>M71</v>
          </cell>
          <cell r="B74" t="str">
            <v>YUNPAR</v>
          </cell>
          <cell r="C74" t="str">
            <v>TINTA</v>
          </cell>
          <cell r="D74"/>
          <cell r="E74"/>
          <cell r="F74" t="str">
            <v>Tinta Jaz Roja</v>
          </cell>
          <cell r="G74" t="str">
            <v>LITRO</v>
          </cell>
          <cell r="H74"/>
          <cell r="I74">
            <v>71</v>
          </cell>
          <cell r="J74">
            <v>10.27</v>
          </cell>
          <cell r="K74"/>
          <cell r="L74"/>
          <cell r="M74"/>
          <cell r="N74">
            <v>11.810499999999999</v>
          </cell>
          <cell r="O74"/>
          <cell r="P74">
            <v>11.810499999999999</v>
          </cell>
          <cell r="Q74"/>
          <cell r="R74">
            <v>27</v>
          </cell>
        </row>
        <row r="75">
          <cell r="A75" t="str">
            <v>M72</v>
          </cell>
          <cell r="B75" t="str">
            <v>DSS</v>
          </cell>
          <cell r="C75" t="str">
            <v>PAPEL</v>
          </cell>
          <cell r="D75" t="str">
            <v>A4</v>
          </cell>
          <cell r="E75" t="str">
            <v>HOJA</v>
          </cell>
          <cell r="F75" t="str">
            <v>RESMA PAPEL DE SUBLIMACIÓN A4 75GR</v>
          </cell>
          <cell r="G75" t="str">
            <v>UNIDAD</v>
          </cell>
          <cell r="H75"/>
          <cell r="I75">
            <v>20</v>
          </cell>
          <cell r="J75">
            <v>5.24</v>
          </cell>
          <cell r="K75">
            <v>104.80000000000001</v>
          </cell>
          <cell r="L75"/>
          <cell r="M75">
            <v>104.80000000000001</v>
          </cell>
          <cell r="N75">
            <v>120.52000000000001</v>
          </cell>
          <cell r="O75"/>
          <cell r="P75">
            <v>6.5260000000000007</v>
          </cell>
          <cell r="Q75"/>
          <cell r="R75">
            <v>6.5260000000000007</v>
          </cell>
        </row>
        <row r="76">
          <cell r="A76" t="str">
            <v>M73</v>
          </cell>
          <cell r="B76" t="str">
            <v>TOLEDO</v>
          </cell>
          <cell r="C76" t="str">
            <v>CINTA</v>
          </cell>
          <cell r="D76" t="str">
            <v>3cm</v>
          </cell>
          <cell r="E76" t="str">
            <v>CINTA</v>
          </cell>
          <cell r="F76" t="str">
            <v>CINTA REFLECTIVA DE 3cm de anchox1m</v>
          </cell>
          <cell r="G76" t="str">
            <v>UNIDAD</v>
          </cell>
          <cell r="H76"/>
          <cell r="I76">
            <v>1</v>
          </cell>
          <cell r="J76">
            <v>1.13043</v>
          </cell>
          <cell r="K76">
            <v>1.13043</v>
          </cell>
          <cell r="L76"/>
          <cell r="M76">
            <v>1.13043</v>
          </cell>
          <cell r="N76">
            <v>1.2999944999999999</v>
          </cell>
          <cell r="O76"/>
          <cell r="P76">
            <v>1.3999945</v>
          </cell>
          <cell r="R76">
            <v>1.3999945</v>
          </cell>
        </row>
        <row r="77">
          <cell r="A77" t="str">
            <v>M74</v>
          </cell>
          <cell r="B77" t="str">
            <v>ALMACENES JOSÉ PUEBLA</v>
          </cell>
          <cell r="C77" t="str">
            <v>RIBB</v>
          </cell>
          <cell r="D77">
            <v>50</v>
          </cell>
          <cell r="E77" t="str">
            <v>TUBULAR</v>
          </cell>
          <cell r="F77" t="str">
            <v>Ribb Acanalado color negro POLIALGODON</v>
          </cell>
          <cell r="G77" t="str">
            <v>KILOS</v>
          </cell>
          <cell r="H77">
            <v>2.5</v>
          </cell>
          <cell r="I77">
            <v>1</v>
          </cell>
          <cell r="J77">
            <v>10.87</v>
          </cell>
          <cell r="K77">
            <v>10.87</v>
          </cell>
          <cell r="L77"/>
          <cell r="M77">
            <v>10.87</v>
          </cell>
          <cell r="N77">
            <v>12.500499999999999</v>
          </cell>
          <cell r="O77">
            <v>13.000499999999999</v>
          </cell>
          <cell r="P77"/>
          <cell r="Q77">
            <v>5.2001999999999997</v>
          </cell>
          <cell r="R77">
            <v>5.2001999999999997</v>
          </cell>
        </row>
        <row r="78">
          <cell r="A78" t="str">
            <v>M75</v>
          </cell>
          <cell r="B78" t="str">
            <v>ALMACENES JOSÉ PUEBLA</v>
          </cell>
          <cell r="C78" t="str">
            <v>RIBB</v>
          </cell>
          <cell r="D78">
            <v>50</v>
          </cell>
          <cell r="E78" t="str">
            <v>TUBULAR</v>
          </cell>
          <cell r="F78" t="str">
            <v>Ribb Lugano 100% POLIESTER</v>
          </cell>
          <cell r="G78" t="str">
            <v>KILOS</v>
          </cell>
          <cell r="H78">
            <v>2.5</v>
          </cell>
          <cell r="I78">
            <v>1</v>
          </cell>
          <cell r="J78">
            <v>9.43</v>
          </cell>
          <cell r="K78">
            <v>9.43</v>
          </cell>
          <cell r="L78"/>
          <cell r="M78">
            <v>9.43</v>
          </cell>
          <cell r="N78">
            <v>10.844499999999998</v>
          </cell>
          <cell r="O78">
            <v>11.344499999999998</v>
          </cell>
          <cell r="P78"/>
          <cell r="Q78">
            <v>4.5377999999999989</v>
          </cell>
          <cell r="R78">
            <v>4.5377999999999989</v>
          </cell>
        </row>
        <row r="79">
          <cell r="A79" t="str">
            <v>M79</v>
          </cell>
          <cell r="B79" t="str">
            <v>YUNPAR</v>
          </cell>
          <cell r="C79" t="str">
            <v>CINTA</v>
          </cell>
          <cell r="D79" t="str">
            <v>1cm</v>
          </cell>
          <cell r="E79"/>
          <cell r="F79" t="str">
            <v>CINTA TERMICA</v>
          </cell>
          <cell r="G79" t="str">
            <v>UNIDAD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</row>
        <row r="80">
          <cell r="A80" t="str">
            <v>M76</v>
          </cell>
          <cell r="B80" t="str">
            <v>YOMMI</v>
          </cell>
          <cell r="C80" t="str">
            <v>BORDADO</v>
          </cell>
          <cell r="D80"/>
          <cell r="E80"/>
          <cell r="F80" t="str">
            <v>BORDADO EN EL PECHO VARIOS COLORES</v>
          </cell>
          <cell r="G80" t="str">
            <v>UNIDAD</v>
          </cell>
          <cell r="H80"/>
          <cell r="I80">
            <v>1</v>
          </cell>
          <cell r="J80">
            <v>2.17</v>
          </cell>
          <cell r="K80">
            <v>2.17</v>
          </cell>
          <cell r="L80"/>
          <cell r="M80">
            <v>2.17</v>
          </cell>
          <cell r="N80">
            <v>2.4954999999999998</v>
          </cell>
          <cell r="O80">
            <v>2.5954999999999999</v>
          </cell>
          <cell r="P80"/>
          <cell r="Q80"/>
          <cell r="R80">
            <v>2.5954999999999999</v>
          </cell>
        </row>
        <row r="81">
          <cell r="A81" t="str">
            <v>M77</v>
          </cell>
          <cell r="B81" t="str">
            <v>MATEW VERA</v>
          </cell>
          <cell r="C81" t="str">
            <v>ETIQUETA</v>
          </cell>
          <cell r="D81" t="str">
            <v>58cm</v>
          </cell>
          <cell r="E81"/>
          <cell r="F81" t="str">
            <v>DTF EL METRO 58cm X 1m</v>
          </cell>
          <cell r="G81" t="str">
            <v>METRO</v>
          </cell>
          <cell r="H81">
            <v>1</v>
          </cell>
          <cell r="I81">
            <v>1</v>
          </cell>
          <cell r="J81">
            <v>10</v>
          </cell>
          <cell r="K81">
            <v>10</v>
          </cell>
          <cell r="L81"/>
          <cell r="M81">
            <v>10</v>
          </cell>
          <cell r="N81">
            <v>11.5</v>
          </cell>
          <cell r="O81"/>
          <cell r="P81">
            <v>16.5</v>
          </cell>
          <cell r="Q81">
            <v>16.5</v>
          </cell>
          <cell r="R81">
            <v>16.5</v>
          </cell>
        </row>
        <row r="82">
          <cell r="A82" t="str">
            <v>M78</v>
          </cell>
          <cell r="B82" t="str">
            <v>DON EDDY</v>
          </cell>
          <cell r="C82" t="str">
            <v>TELA</v>
          </cell>
          <cell r="D82">
            <v>1.8</v>
          </cell>
          <cell r="E82" t="str">
            <v>ABIERTA</v>
          </cell>
          <cell r="F82" t="str">
            <v>PIEL DE DURAZNO</v>
          </cell>
          <cell r="G82" t="str">
            <v>METRO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>
            <v>2.5</v>
          </cell>
        </row>
        <row r="83">
          <cell r="A83" t="str">
            <v>M79</v>
          </cell>
          <cell r="B83" t="str">
            <v>PADILLA</v>
          </cell>
          <cell r="C83" t="str">
            <v>TELA</v>
          </cell>
          <cell r="D83">
            <v>1.2</v>
          </cell>
          <cell r="E83" t="str">
            <v>TUBULAR</v>
          </cell>
          <cell r="F83" t="str">
            <v>JUVENTUS MIC BLANCO OPTICO</v>
          </cell>
          <cell r="G83" t="str">
            <v>KILOS</v>
          </cell>
          <cell r="H83">
            <v>3.3</v>
          </cell>
          <cell r="I83">
            <v>20.82</v>
          </cell>
          <cell r="J83">
            <v>7.56</v>
          </cell>
          <cell r="K83">
            <v>157.39920000000001</v>
          </cell>
          <cell r="L83"/>
          <cell r="M83"/>
          <cell r="N83"/>
          <cell r="O83"/>
          <cell r="P83"/>
          <cell r="Q83"/>
          <cell r="R83"/>
        </row>
        <row r="84">
          <cell r="A84" t="str">
            <v>M80</v>
          </cell>
          <cell r="B84" t="str">
            <v>YUNPAR</v>
          </cell>
          <cell r="C84" t="str">
            <v>TELA</v>
          </cell>
          <cell r="D84">
            <v>1.7</v>
          </cell>
          <cell r="E84" t="str">
            <v>ABIERTA</v>
          </cell>
          <cell r="F84" t="str">
            <v>D2003 Rollo Pike Deportivo BLACK 1.70m x 160gr</v>
          </cell>
          <cell r="G84" t="str">
            <v>ROLLO</v>
          </cell>
          <cell r="H84">
            <v>3.92</v>
          </cell>
          <cell r="I84">
            <v>25</v>
          </cell>
          <cell r="J84">
            <v>4.4400000000000004</v>
          </cell>
          <cell r="K84"/>
          <cell r="L84"/>
          <cell r="M84"/>
          <cell r="N84">
            <v>5.1059999999999999</v>
          </cell>
          <cell r="O84"/>
          <cell r="P84">
            <v>5.1059999999999999</v>
          </cell>
          <cell r="Q84">
            <v>1.5943877551020409</v>
          </cell>
          <cell r="R84">
            <v>1.5943877551020409</v>
          </cell>
        </row>
      </sheetData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mensiones_pdfs"/>
    </sheetNames>
    <sheetDataSet>
      <sheetData sheetId="0">
        <row r="3">
          <cell r="C3" t="str">
            <v>M11</v>
          </cell>
          <cell r="D3">
            <v>40.496170169781074</v>
          </cell>
          <cell r="F3" t="str">
            <v>M36</v>
          </cell>
          <cell r="G3" t="str">
            <v>M14</v>
          </cell>
          <cell r="H3" t="str">
            <v>M16</v>
          </cell>
          <cell r="I3" t="str">
            <v>M15</v>
          </cell>
        </row>
        <row r="4">
          <cell r="C4" t="str">
            <v>Largo total (m)</v>
          </cell>
          <cell r="D4" t="str">
            <v>M x OT</v>
          </cell>
          <cell r="E4" t="str">
            <v>Sin Tela</v>
          </cell>
          <cell r="F4" t="str">
            <v>GALEON</v>
          </cell>
          <cell r="G4" t="str">
            <v>ERNEST</v>
          </cell>
          <cell r="H4" t="str">
            <v>PIKE DEPORTIVO</v>
          </cell>
          <cell r="I4" t="str">
            <v>PANAL</v>
          </cell>
        </row>
        <row r="5">
          <cell r="C5">
            <v>40.496170169781074</v>
          </cell>
          <cell r="D5">
            <v>40.49</v>
          </cell>
          <cell r="E5">
            <v>2.4624190827572288</v>
          </cell>
          <cell r="F5">
            <v>1.770000139075681</v>
          </cell>
          <cell r="G5">
            <v>22.172661606996044</v>
          </cell>
          <cell r="H5">
            <v>5.8723673927031097</v>
          </cell>
          <cell r="I5">
            <v>8.2187219482490104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mensiones_pdfs"/>
    </sheetNames>
    <sheetDataSet>
      <sheetData sheetId="0">
        <row r="3">
          <cell r="C3" t="str">
            <v>M11</v>
          </cell>
          <cell r="D3">
            <v>296.71990923400824</v>
          </cell>
          <cell r="F3" t="str">
            <v>M15</v>
          </cell>
          <cell r="G3" t="str">
            <v>M16</v>
          </cell>
          <cell r="H3" t="str">
            <v>M17</v>
          </cell>
          <cell r="I3" t="str">
            <v>M1</v>
          </cell>
          <cell r="J3" t="str">
            <v>M14</v>
          </cell>
          <cell r="K3" t="str">
            <v>M36</v>
          </cell>
          <cell r="L3" t="str">
            <v>M27</v>
          </cell>
          <cell r="M3" t="str">
            <v>M61</v>
          </cell>
          <cell r="N3" t="str">
            <v>M18</v>
          </cell>
        </row>
        <row r="4">
          <cell r="C4" t="str">
            <v>Largo total (m)</v>
          </cell>
          <cell r="D4" t="str">
            <v>M x OT</v>
          </cell>
          <cell r="E4" t="str">
            <v>Sin Tela</v>
          </cell>
          <cell r="F4" t="str">
            <v>PANAL</v>
          </cell>
          <cell r="G4" t="str">
            <v>PIKE DEPORTIVO</v>
          </cell>
          <cell r="H4" t="str">
            <v>JERSEY</v>
          </cell>
          <cell r="I4" t="str">
            <v>NYLON</v>
          </cell>
          <cell r="J4" t="str">
            <v>ERNEST</v>
          </cell>
          <cell r="K4" t="str">
            <v>GALEON</v>
          </cell>
          <cell r="L4" t="str">
            <v>VIOTO</v>
          </cell>
          <cell r="M4" t="str">
            <v>SPUN MEDIO</v>
          </cell>
          <cell r="N4" t="str">
            <v>RIBB POLIESTER</v>
          </cell>
        </row>
        <row r="5">
          <cell r="C5">
            <v>296.71990923400807</v>
          </cell>
          <cell r="D5">
            <v>296.72000000000003</v>
          </cell>
          <cell r="E5">
            <v>14.423291818178063</v>
          </cell>
          <cell r="F5">
            <v>49.316159494436199</v>
          </cell>
          <cell r="G5">
            <v>66.324937740290906</v>
          </cell>
          <cell r="H5">
            <v>3.674475660237055</v>
          </cell>
          <cell r="I5">
            <v>2.9505187046354959</v>
          </cell>
          <cell r="J5">
            <v>110.70056855495802</v>
          </cell>
          <cell r="K5">
            <v>2.0199997655497999</v>
          </cell>
          <cell r="L5">
            <v>43.586310322679616</v>
          </cell>
          <cell r="M5">
            <v>2.3655136479504368</v>
          </cell>
          <cell r="N5">
            <v>1.3581335250926454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mensiones_pdfs"/>
    </sheetNames>
    <sheetDataSet>
      <sheetData sheetId="0">
        <row r="3">
          <cell r="C3" t="str">
            <v>M11</v>
          </cell>
          <cell r="D3">
            <v>59.833518688060579</v>
          </cell>
          <cell r="F3" t="str">
            <v>M16</v>
          </cell>
          <cell r="G3" t="str">
            <v>M14</v>
          </cell>
          <cell r="H3" t="str">
            <v>M36</v>
          </cell>
          <cell r="I3" t="str">
            <v>M15</v>
          </cell>
          <cell r="J3" t="str">
            <v>M18</v>
          </cell>
        </row>
        <row r="4">
          <cell r="C4" t="str">
            <v>Largo total (m)</v>
          </cell>
          <cell r="D4" t="str">
            <v>M x OT</v>
          </cell>
          <cell r="E4" t="str">
            <v>Sin Tela</v>
          </cell>
          <cell r="F4" t="str">
            <v>PIKE DEPORTIVO</v>
          </cell>
          <cell r="G4" t="str">
            <v>ERNEST</v>
          </cell>
          <cell r="H4" t="str">
            <v>GALEON</v>
          </cell>
          <cell r="I4" t="str">
            <v>PANAL</v>
          </cell>
          <cell r="J4" t="str">
            <v>RIBB POLIESTER</v>
          </cell>
        </row>
        <row r="5">
          <cell r="C5">
            <v>59.833518688060579</v>
          </cell>
          <cell r="D5">
            <v>59.820000000000007</v>
          </cell>
          <cell r="E5">
            <v>23.016412101192834</v>
          </cell>
          <cell r="F5">
            <v>5.7337150450278171</v>
          </cell>
          <cell r="G5">
            <v>12.418262057005819</v>
          </cell>
          <cell r="H5">
            <v>7.3363606943246893</v>
          </cell>
          <cell r="I5">
            <v>11.213983298866689</v>
          </cell>
          <cell r="J5">
            <v>0.11478549164273061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0684-B8AF-4181-9C69-2065856E4CA8}">
  <sheetPr>
    <tabColor rgb="FFFF0000"/>
    <pageSetUpPr fitToPage="1"/>
  </sheetPr>
  <dimension ref="A2:KJ92"/>
  <sheetViews>
    <sheetView tabSelected="1" zoomScaleNormal="100" workbookViewId="0">
      <selection activeCell="G18" sqref="G18"/>
    </sheetView>
  </sheetViews>
  <sheetFormatPr baseColWidth="10" defaultRowHeight="14.4" x14ac:dyDescent="0.3"/>
  <cols>
    <col min="1" max="1" width="5.5546875" bestFit="1" customWidth="1"/>
    <col min="2" max="2" width="51.6640625" bestFit="1" customWidth="1"/>
    <col min="3" max="3" width="11" customWidth="1"/>
    <col min="4" max="4" width="10.109375" style="55" customWidth="1"/>
    <col min="5" max="5" width="11.33203125" style="5" customWidth="1"/>
    <col min="6" max="6" width="9.88671875" style="7" bestFit="1" customWidth="1"/>
    <col min="7" max="7" width="10.88671875" style="5" bestFit="1" customWidth="1"/>
    <col min="9" max="9" width="11.5546875" style="28"/>
    <col min="10" max="10" width="11.5546875" style="39"/>
    <col min="11" max="11" width="11.5546875" style="70"/>
    <col min="12" max="12" width="11.5546875" style="75"/>
    <col min="13" max="13" width="11.5546875" style="127"/>
    <col min="14" max="14" width="11.5546875" style="77"/>
    <col min="15" max="296" width="11.5546875" style="100"/>
  </cols>
  <sheetData>
    <row r="2" spans="1:296" ht="31.5" customHeight="1" x14ac:dyDescent="0.3">
      <c r="B2" s="17" t="s">
        <v>141</v>
      </c>
      <c r="C2" s="17"/>
      <c r="D2" s="101"/>
      <c r="E2" s="25"/>
      <c r="F2" s="17"/>
      <c r="G2" s="17"/>
      <c r="H2" s="17"/>
      <c r="I2" s="79"/>
    </row>
    <row r="3" spans="1:296" s="39" customFormat="1" ht="18.75" customHeight="1" x14ac:dyDescent="0.3">
      <c r="A3"/>
      <c r="B3" s="9" t="s">
        <v>140</v>
      </c>
      <c r="C3" s="9"/>
      <c r="D3" s="102"/>
      <c r="E3" s="26"/>
      <c r="F3" s="9"/>
      <c r="G3" s="9"/>
      <c r="H3" s="9"/>
      <c r="I3" s="80"/>
      <c r="K3" s="70"/>
      <c r="L3" s="75"/>
      <c r="M3" s="127"/>
      <c r="N3" s="77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100"/>
      <c r="CL3" s="100"/>
      <c r="CM3" s="100"/>
      <c r="CN3" s="100"/>
      <c r="CO3" s="100"/>
      <c r="CP3" s="100"/>
      <c r="CQ3" s="100"/>
      <c r="CR3" s="100"/>
      <c r="CS3" s="100"/>
      <c r="CT3" s="100"/>
      <c r="CU3" s="100"/>
      <c r="CV3" s="100"/>
      <c r="CW3" s="100"/>
      <c r="CX3" s="100"/>
      <c r="CY3" s="100"/>
      <c r="CZ3" s="100"/>
      <c r="DA3" s="100"/>
      <c r="DB3" s="100"/>
      <c r="DC3" s="100"/>
      <c r="DD3" s="100"/>
      <c r="DE3" s="100"/>
      <c r="DF3" s="100"/>
      <c r="DG3" s="100"/>
      <c r="DH3" s="100"/>
      <c r="DI3" s="100"/>
      <c r="DJ3" s="100"/>
      <c r="DK3" s="100"/>
      <c r="DL3" s="100"/>
      <c r="DM3" s="100"/>
      <c r="DN3" s="100"/>
      <c r="DO3" s="100"/>
      <c r="DP3" s="100"/>
      <c r="DQ3" s="100"/>
      <c r="DR3" s="100"/>
      <c r="DS3" s="100"/>
      <c r="DT3" s="100"/>
      <c r="DU3" s="100"/>
      <c r="DV3" s="100"/>
      <c r="DW3" s="100"/>
      <c r="DX3" s="100"/>
      <c r="DY3" s="100"/>
      <c r="DZ3" s="100"/>
      <c r="EA3" s="100"/>
      <c r="EB3" s="100"/>
      <c r="EC3" s="100"/>
      <c r="ED3" s="100"/>
      <c r="EE3" s="100"/>
      <c r="EF3" s="100"/>
      <c r="EG3" s="100"/>
      <c r="EH3" s="100"/>
      <c r="EI3" s="100"/>
      <c r="EJ3" s="100"/>
      <c r="EK3" s="100"/>
      <c r="EL3" s="100"/>
      <c r="EM3" s="100"/>
      <c r="EN3" s="100"/>
      <c r="EO3" s="100"/>
      <c r="EP3" s="100"/>
      <c r="EQ3" s="100"/>
      <c r="ER3" s="100"/>
      <c r="ES3" s="100"/>
      <c r="ET3" s="100"/>
      <c r="EU3" s="100"/>
      <c r="EV3" s="100"/>
      <c r="EW3" s="100"/>
      <c r="EX3" s="100"/>
      <c r="EY3" s="100"/>
      <c r="EZ3" s="100"/>
      <c r="FA3" s="100"/>
      <c r="FB3" s="100"/>
      <c r="FC3" s="100"/>
      <c r="FD3" s="100"/>
      <c r="FE3" s="100"/>
      <c r="FF3" s="100"/>
      <c r="FG3" s="100"/>
      <c r="FH3" s="100"/>
      <c r="FI3" s="100"/>
      <c r="FJ3" s="100"/>
      <c r="FK3" s="100"/>
      <c r="FL3" s="100"/>
      <c r="FM3" s="100"/>
      <c r="FN3" s="100"/>
      <c r="FO3" s="100"/>
      <c r="FP3" s="100"/>
      <c r="FQ3" s="100"/>
      <c r="FR3" s="100"/>
      <c r="FS3" s="100"/>
      <c r="FT3" s="100"/>
      <c r="FU3" s="100"/>
      <c r="FV3" s="100"/>
      <c r="FW3" s="100"/>
      <c r="FX3" s="100"/>
      <c r="FY3" s="100"/>
      <c r="FZ3" s="100"/>
      <c r="GA3" s="100"/>
      <c r="GB3" s="100"/>
      <c r="GC3" s="100"/>
      <c r="GD3" s="100"/>
      <c r="GE3" s="100"/>
      <c r="GF3" s="100"/>
      <c r="GG3" s="100"/>
      <c r="GH3" s="100"/>
      <c r="GI3" s="100"/>
      <c r="GJ3" s="100"/>
      <c r="GK3" s="100"/>
      <c r="GL3" s="100"/>
      <c r="GM3" s="100"/>
      <c r="GN3" s="100"/>
      <c r="GO3" s="100"/>
      <c r="GP3" s="100"/>
      <c r="GQ3" s="100"/>
      <c r="GR3" s="100"/>
      <c r="GS3" s="100"/>
      <c r="GT3" s="100"/>
      <c r="GU3" s="100"/>
      <c r="GV3" s="100"/>
      <c r="GW3" s="100"/>
      <c r="GX3" s="100"/>
      <c r="GY3" s="100"/>
      <c r="GZ3" s="100"/>
      <c r="HA3" s="100"/>
      <c r="HB3" s="100"/>
      <c r="HC3" s="100"/>
      <c r="HD3" s="100"/>
      <c r="HE3" s="100"/>
      <c r="HF3" s="100"/>
      <c r="HG3" s="100"/>
      <c r="HH3" s="100"/>
      <c r="HI3" s="100"/>
      <c r="HJ3" s="100"/>
      <c r="HK3" s="100"/>
      <c r="HL3" s="100"/>
      <c r="HM3" s="100"/>
      <c r="HN3" s="100"/>
      <c r="HO3" s="100"/>
      <c r="HP3" s="100"/>
      <c r="HQ3" s="100"/>
      <c r="HR3" s="100"/>
      <c r="HS3" s="100"/>
      <c r="HT3" s="100"/>
      <c r="HU3" s="100"/>
      <c r="HV3" s="100"/>
      <c r="HW3" s="100"/>
      <c r="HX3" s="100"/>
      <c r="HY3" s="100"/>
      <c r="HZ3" s="100"/>
      <c r="IA3" s="100"/>
      <c r="IB3" s="100"/>
      <c r="IC3" s="100"/>
      <c r="ID3" s="100"/>
      <c r="IE3" s="100"/>
      <c r="IF3" s="100"/>
      <c r="IG3" s="100"/>
      <c r="IH3" s="100"/>
      <c r="II3" s="100"/>
      <c r="IJ3" s="100"/>
      <c r="IK3" s="100"/>
      <c r="IL3" s="100"/>
      <c r="IM3" s="100"/>
      <c r="IN3" s="100"/>
      <c r="IO3" s="100"/>
      <c r="IP3" s="100"/>
      <c r="IQ3" s="100"/>
      <c r="IR3" s="100"/>
      <c r="IS3" s="100"/>
      <c r="IT3" s="100"/>
      <c r="IU3" s="100"/>
      <c r="IV3" s="100"/>
      <c r="IW3" s="100"/>
      <c r="IX3" s="100"/>
      <c r="IY3" s="100"/>
      <c r="IZ3" s="100"/>
      <c r="JA3" s="100"/>
      <c r="JB3" s="100"/>
      <c r="JC3" s="100"/>
      <c r="JD3" s="100"/>
      <c r="JE3" s="100"/>
      <c r="JF3" s="100"/>
      <c r="JG3" s="100"/>
      <c r="JH3" s="100"/>
      <c r="JI3" s="100"/>
      <c r="JJ3" s="100"/>
      <c r="JK3" s="100"/>
      <c r="JL3" s="100"/>
      <c r="JM3" s="100"/>
      <c r="JN3" s="100"/>
      <c r="JO3" s="100"/>
      <c r="JP3" s="100"/>
      <c r="JQ3" s="100"/>
      <c r="JR3" s="100"/>
      <c r="JS3" s="100"/>
      <c r="JT3" s="100"/>
      <c r="JU3" s="100"/>
      <c r="JV3" s="100"/>
      <c r="JW3" s="100"/>
      <c r="JX3" s="100"/>
      <c r="JY3" s="100"/>
      <c r="JZ3" s="100"/>
      <c r="KA3" s="100"/>
      <c r="KB3" s="100"/>
      <c r="KC3" s="100"/>
      <c r="KD3" s="100"/>
      <c r="KE3" s="100"/>
      <c r="KF3" s="100"/>
      <c r="KG3" s="100"/>
      <c r="KH3" s="100"/>
      <c r="KI3" s="100"/>
      <c r="KJ3" s="100"/>
    </row>
    <row r="4" spans="1:296" ht="18" x14ac:dyDescent="0.35">
      <c r="B4" s="10" t="s">
        <v>17</v>
      </c>
      <c r="C4" s="10"/>
      <c r="D4" s="103"/>
      <c r="E4" s="23">
        <f>+E71</f>
        <v>444.5</v>
      </c>
      <c r="F4" s="16"/>
      <c r="G4" s="16"/>
      <c r="H4" s="8"/>
      <c r="I4" s="81"/>
    </row>
    <row r="5" spans="1:296" x14ac:dyDescent="0.3">
      <c r="B5" s="88" t="s">
        <v>10</v>
      </c>
      <c r="C5" s="89"/>
      <c r="D5" s="104"/>
      <c r="E5" s="89"/>
      <c r="F5" s="90">
        <f>SUM(E8:E47)</f>
        <v>-1140.085853415156</v>
      </c>
    </row>
    <row r="6" spans="1:296" x14ac:dyDescent="0.3">
      <c r="B6" s="87" t="s">
        <v>109</v>
      </c>
      <c r="C6" s="87"/>
      <c r="D6" s="105"/>
      <c r="E6" s="29">
        <f>+E4+F5</f>
        <v>-695.58585341515595</v>
      </c>
      <c r="H6" s="91">
        <f>+E6/E4</f>
        <v>-1.5648725611139616</v>
      </c>
      <c r="I6" s="84"/>
    </row>
    <row r="7" spans="1:296" s="39" customFormat="1" x14ac:dyDescent="0.3">
      <c r="A7" s="92" t="s">
        <v>97</v>
      </c>
      <c r="B7" s="92" t="s">
        <v>10</v>
      </c>
      <c r="C7" s="92" t="s">
        <v>19</v>
      </c>
      <c r="D7" s="106" t="s">
        <v>3</v>
      </c>
      <c r="E7" s="92"/>
      <c r="F7" s="7"/>
      <c r="G7" s="5"/>
      <c r="H7" s="1"/>
      <c r="I7" s="82"/>
      <c r="K7" s="70"/>
      <c r="L7" s="75"/>
      <c r="M7" s="127"/>
      <c r="N7" s="77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  <c r="CU7" s="100"/>
      <c r="CV7" s="100"/>
      <c r="CW7" s="100"/>
      <c r="CX7" s="100"/>
      <c r="CY7" s="100"/>
      <c r="CZ7" s="100"/>
      <c r="DA7" s="100"/>
      <c r="DB7" s="100"/>
      <c r="DC7" s="100"/>
      <c r="DD7" s="100"/>
      <c r="DE7" s="100"/>
      <c r="DF7" s="100"/>
      <c r="DG7" s="100"/>
      <c r="DH7" s="100"/>
      <c r="DI7" s="100"/>
      <c r="DJ7" s="100"/>
      <c r="DK7" s="100"/>
      <c r="DL7" s="100"/>
      <c r="DM7" s="100"/>
      <c r="DN7" s="100"/>
      <c r="DO7" s="100"/>
      <c r="DP7" s="100"/>
      <c r="DQ7" s="100"/>
      <c r="DR7" s="100"/>
      <c r="DS7" s="100"/>
      <c r="DT7" s="100"/>
      <c r="DU7" s="100"/>
      <c r="DV7" s="100"/>
      <c r="DW7" s="100"/>
      <c r="DX7" s="100"/>
      <c r="DY7" s="100"/>
      <c r="DZ7" s="100"/>
      <c r="EA7" s="100"/>
      <c r="EB7" s="100"/>
      <c r="EC7" s="100"/>
      <c r="ED7" s="100"/>
      <c r="EE7" s="100"/>
      <c r="EF7" s="100"/>
      <c r="EG7" s="100"/>
      <c r="EH7" s="100"/>
      <c r="EI7" s="100"/>
      <c r="EJ7" s="100"/>
      <c r="EK7" s="100"/>
      <c r="EL7" s="100"/>
      <c r="EM7" s="100"/>
      <c r="EN7" s="100"/>
      <c r="EO7" s="100"/>
      <c r="EP7" s="100"/>
      <c r="EQ7" s="100"/>
      <c r="ER7" s="100"/>
      <c r="ES7" s="100"/>
      <c r="ET7" s="100"/>
      <c r="EU7" s="100"/>
      <c r="EV7" s="100"/>
      <c r="EW7" s="100"/>
      <c r="EX7" s="100"/>
      <c r="EY7" s="100"/>
      <c r="EZ7" s="100"/>
      <c r="FA7" s="100"/>
      <c r="FB7" s="100"/>
      <c r="FC7" s="100"/>
      <c r="FD7" s="100"/>
      <c r="FE7" s="100"/>
      <c r="FF7" s="100"/>
      <c r="FG7" s="100"/>
      <c r="FH7" s="100"/>
      <c r="FI7" s="100"/>
      <c r="FJ7" s="100"/>
      <c r="FK7" s="100"/>
      <c r="FL7" s="100"/>
      <c r="FM7" s="100"/>
      <c r="FN7" s="100"/>
      <c r="FO7" s="100"/>
      <c r="FP7" s="100"/>
      <c r="FQ7" s="100"/>
      <c r="FR7" s="100"/>
      <c r="FS7" s="100"/>
      <c r="FT7" s="100"/>
      <c r="FU7" s="100"/>
      <c r="FV7" s="100"/>
      <c r="FW7" s="100"/>
      <c r="FX7" s="100"/>
      <c r="FY7" s="100"/>
      <c r="FZ7" s="100"/>
      <c r="GA7" s="100"/>
      <c r="GB7" s="100"/>
      <c r="GC7" s="100"/>
      <c r="GD7" s="100"/>
      <c r="GE7" s="100"/>
      <c r="GF7" s="100"/>
      <c r="GG7" s="100"/>
      <c r="GH7" s="100"/>
      <c r="GI7" s="100"/>
      <c r="GJ7" s="100"/>
      <c r="GK7" s="100"/>
      <c r="GL7" s="100"/>
      <c r="GM7" s="100"/>
      <c r="GN7" s="100"/>
      <c r="GO7" s="100"/>
      <c r="GP7" s="100"/>
      <c r="GQ7" s="100"/>
      <c r="GR7" s="100"/>
      <c r="GS7" s="100"/>
      <c r="GT7" s="100"/>
      <c r="GU7" s="100"/>
      <c r="GV7" s="100"/>
      <c r="GW7" s="100"/>
      <c r="GX7" s="100"/>
      <c r="GY7" s="100"/>
      <c r="GZ7" s="100"/>
      <c r="HA7" s="100"/>
      <c r="HB7" s="100"/>
      <c r="HC7" s="100"/>
      <c r="HD7" s="100"/>
      <c r="HE7" s="100"/>
      <c r="HF7" s="100"/>
      <c r="HG7" s="100"/>
      <c r="HH7" s="100"/>
      <c r="HI7" s="100"/>
      <c r="HJ7" s="100"/>
      <c r="HK7" s="100"/>
      <c r="HL7" s="100"/>
      <c r="HM7" s="100"/>
      <c r="HN7" s="100"/>
      <c r="HO7" s="100"/>
      <c r="HP7" s="100"/>
      <c r="HQ7" s="100"/>
      <c r="HR7" s="100"/>
      <c r="HS7" s="100"/>
      <c r="HT7" s="100"/>
      <c r="HU7" s="100"/>
      <c r="HV7" s="100"/>
      <c r="HW7" s="100"/>
      <c r="HX7" s="100"/>
      <c r="HY7" s="100"/>
      <c r="HZ7" s="100"/>
      <c r="IA7" s="100"/>
      <c r="IB7" s="100"/>
      <c r="IC7" s="100"/>
      <c r="ID7" s="100"/>
      <c r="IE7" s="100"/>
      <c r="IF7" s="100"/>
      <c r="IG7" s="100"/>
      <c r="IH7" s="100"/>
      <c r="II7" s="100"/>
      <c r="IJ7" s="100"/>
      <c r="IK7" s="100"/>
      <c r="IL7" s="100"/>
      <c r="IM7" s="100"/>
      <c r="IN7" s="100"/>
      <c r="IO7" s="100"/>
      <c r="IP7" s="100"/>
      <c r="IQ7" s="100"/>
      <c r="IR7" s="100"/>
      <c r="IS7" s="100"/>
      <c r="IT7" s="100"/>
      <c r="IU7" s="100"/>
      <c r="IV7" s="100"/>
      <c r="IW7" s="100"/>
      <c r="IX7" s="100"/>
      <c r="IY7" s="100"/>
      <c r="IZ7" s="100"/>
      <c r="JA7" s="100"/>
      <c r="JB7" s="100"/>
      <c r="JC7" s="100"/>
      <c r="JD7" s="100"/>
      <c r="JE7" s="100"/>
      <c r="JF7" s="100"/>
      <c r="JG7" s="100"/>
      <c r="JH7" s="100"/>
      <c r="JI7" s="100"/>
      <c r="JJ7" s="100"/>
      <c r="JK7" s="100"/>
      <c r="JL7" s="100"/>
      <c r="JM7" s="100"/>
      <c r="JN7" s="100"/>
      <c r="JO7" s="100"/>
      <c r="JP7" s="100"/>
      <c r="JQ7" s="100"/>
      <c r="JR7" s="100"/>
      <c r="JS7" s="100"/>
      <c r="JT7" s="100"/>
      <c r="JU7" s="100"/>
      <c r="JV7" s="100"/>
      <c r="JW7" s="100"/>
      <c r="JX7" s="100"/>
      <c r="JY7" s="100"/>
      <c r="JZ7" s="100"/>
      <c r="KA7" s="100"/>
      <c r="KB7" s="100"/>
      <c r="KC7" s="100"/>
      <c r="KD7" s="100"/>
      <c r="KE7" s="100"/>
      <c r="KF7" s="100"/>
      <c r="KG7" s="100"/>
      <c r="KH7" s="100"/>
      <c r="KI7" s="100"/>
      <c r="KJ7" s="100"/>
    </row>
    <row r="8" spans="1:296" s="39" customFormat="1" x14ac:dyDescent="0.3">
      <c r="A8" s="71" t="str">
        <f>IF('[1]PRODUCTO NACIONAL'!A14&lt;&gt;"",'[1]PRODUCTO NACIONAL'!A14,"")</f>
        <v>M11</v>
      </c>
      <c r="B8" s="72" t="str">
        <f>VLOOKUP(A8,'[1]PRODUCTO NACIONAL'!$A$4:$R$161,6,FALSE)</f>
        <v>IMPRESIÓN SIN DISEÑO, ANCHO 1.8X90gsm</v>
      </c>
      <c r="C8" s="73">
        <f>IFERROR(HLOOKUP(A8,[2]dimensiones_pdfs!$C$3:$Z$5,3,FALSE),0)</f>
        <v>40.496170169781074</v>
      </c>
      <c r="D8" s="107">
        <f>VLOOKUP(A8,'[1]PRODUCTO NACIONAL'!$A$4:$R$161,18,FALSE)</f>
        <v>1.387984064708671</v>
      </c>
      <c r="E8" s="5">
        <f>-(+C8*D8)</f>
        <v>-56.208038877386763</v>
      </c>
      <c r="F8" s="7"/>
      <c r="G8" s="5"/>
      <c r="H8"/>
      <c r="I8" s="28"/>
      <c r="K8" s="70"/>
      <c r="L8" s="75"/>
      <c r="M8" s="127"/>
      <c r="N8" s="77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0"/>
      <c r="CJ8" s="100"/>
      <c r="CK8" s="100"/>
      <c r="CL8" s="100"/>
      <c r="CM8" s="100"/>
      <c r="CN8" s="100"/>
      <c r="CO8" s="100"/>
      <c r="CP8" s="100"/>
      <c r="CQ8" s="100"/>
      <c r="CR8" s="100"/>
      <c r="CS8" s="100"/>
      <c r="CT8" s="100"/>
      <c r="CU8" s="100"/>
      <c r="CV8" s="100"/>
      <c r="CW8" s="100"/>
      <c r="CX8" s="100"/>
      <c r="CY8" s="100"/>
      <c r="CZ8" s="100"/>
      <c r="DA8" s="100"/>
      <c r="DB8" s="100"/>
      <c r="DC8" s="100"/>
      <c r="DD8" s="100"/>
      <c r="DE8" s="100"/>
      <c r="DF8" s="100"/>
      <c r="DG8" s="100"/>
      <c r="DH8" s="100"/>
      <c r="DI8" s="100"/>
      <c r="DJ8" s="100"/>
      <c r="DK8" s="100"/>
      <c r="DL8" s="100"/>
      <c r="DM8" s="100"/>
      <c r="DN8" s="100"/>
      <c r="DO8" s="100"/>
      <c r="DP8" s="100"/>
      <c r="DQ8" s="100"/>
      <c r="DR8" s="100"/>
      <c r="DS8" s="100"/>
      <c r="DT8" s="100"/>
      <c r="DU8" s="100"/>
      <c r="DV8" s="100"/>
      <c r="DW8" s="100"/>
      <c r="DX8" s="100"/>
      <c r="DY8" s="100"/>
      <c r="DZ8" s="100"/>
      <c r="EA8" s="100"/>
      <c r="EB8" s="100"/>
      <c r="EC8" s="100"/>
      <c r="ED8" s="100"/>
      <c r="EE8" s="100"/>
      <c r="EF8" s="100"/>
      <c r="EG8" s="100"/>
      <c r="EH8" s="100"/>
      <c r="EI8" s="100"/>
      <c r="EJ8" s="100"/>
      <c r="EK8" s="100"/>
      <c r="EL8" s="100"/>
      <c r="EM8" s="100"/>
      <c r="EN8" s="100"/>
      <c r="EO8" s="100"/>
      <c r="EP8" s="100"/>
      <c r="EQ8" s="100"/>
      <c r="ER8" s="100"/>
      <c r="ES8" s="100"/>
      <c r="ET8" s="100"/>
      <c r="EU8" s="100"/>
      <c r="EV8" s="100"/>
      <c r="EW8" s="100"/>
      <c r="EX8" s="100"/>
      <c r="EY8" s="100"/>
      <c r="EZ8" s="100"/>
      <c r="FA8" s="100"/>
      <c r="FB8" s="100"/>
      <c r="FC8" s="100"/>
      <c r="FD8" s="100"/>
      <c r="FE8" s="100"/>
      <c r="FF8" s="100"/>
      <c r="FG8" s="100"/>
      <c r="FH8" s="100"/>
      <c r="FI8" s="100"/>
      <c r="FJ8" s="100"/>
      <c r="FK8" s="100"/>
      <c r="FL8" s="100"/>
      <c r="FM8" s="100"/>
      <c r="FN8" s="100"/>
      <c r="FO8" s="100"/>
      <c r="FP8" s="100"/>
      <c r="FQ8" s="100"/>
      <c r="FR8" s="100"/>
      <c r="FS8" s="100"/>
      <c r="FT8" s="100"/>
      <c r="FU8" s="100"/>
      <c r="FV8" s="100"/>
      <c r="FW8" s="100"/>
      <c r="FX8" s="100"/>
      <c r="FY8" s="100"/>
      <c r="FZ8" s="100"/>
      <c r="GA8" s="100"/>
      <c r="GB8" s="100"/>
      <c r="GC8" s="100"/>
      <c r="GD8" s="100"/>
      <c r="GE8" s="100"/>
      <c r="GF8" s="100"/>
      <c r="GG8" s="100"/>
      <c r="GH8" s="100"/>
      <c r="GI8" s="100"/>
      <c r="GJ8" s="100"/>
      <c r="GK8" s="100"/>
      <c r="GL8" s="100"/>
      <c r="GM8" s="100"/>
      <c r="GN8" s="100"/>
      <c r="GO8" s="100"/>
      <c r="GP8" s="100"/>
      <c r="GQ8" s="100"/>
      <c r="GR8" s="100"/>
      <c r="GS8" s="100"/>
      <c r="GT8" s="100"/>
      <c r="GU8" s="100"/>
      <c r="GV8" s="100"/>
      <c r="GW8" s="100"/>
      <c r="GX8" s="100"/>
      <c r="GY8" s="100"/>
      <c r="GZ8" s="100"/>
      <c r="HA8" s="100"/>
      <c r="HB8" s="100"/>
      <c r="HC8" s="100"/>
      <c r="HD8" s="100"/>
      <c r="HE8" s="100"/>
      <c r="HF8" s="100"/>
      <c r="HG8" s="100"/>
      <c r="HH8" s="100"/>
      <c r="HI8" s="100"/>
      <c r="HJ8" s="100"/>
      <c r="HK8" s="100"/>
      <c r="HL8" s="100"/>
      <c r="HM8" s="100"/>
      <c r="HN8" s="100"/>
      <c r="HO8" s="100"/>
      <c r="HP8" s="100"/>
      <c r="HQ8" s="100"/>
      <c r="HR8" s="100"/>
      <c r="HS8" s="100"/>
      <c r="HT8" s="100"/>
      <c r="HU8" s="100"/>
      <c r="HV8" s="100"/>
      <c r="HW8" s="100"/>
      <c r="HX8" s="100"/>
      <c r="HY8" s="100"/>
      <c r="HZ8" s="100"/>
      <c r="IA8" s="100"/>
      <c r="IB8" s="100"/>
      <c r="IC8" s="100"/>
      <c r="ID8" s="100"/>
      <c r="IE8" s="100"/>
      <c r="IF8" s="100"/>
      <c r="IG8" s="100"/>
      <c r="IH8" s="100"/>
      <c r="II8" s="100"/>
      <c r="IJ8" s="100"/>
      <c r="IK8" s="100"/>
      <c r="IL8" s="100"/>
      <c r="IM8" s="100"/>
      <c r="IN8" s="100"/>
      <c r="IO8" s="100"/>
      <c r="IP8" s="100"/>
      <c r="IQ8" s="100"/>
      <c r="IR8" s="100"/>
      <c r="IS8" s="100"/>
      <c r="IT8" s="100"/>
      <c r="IU8" s="100"/>
      <c r="IV8" s="100"/>
      <c r="IW8" s="100"/>
      <c r="IX8" s="100"/>
      <c r="IY8" s="100"/>
      <c r="IZ8" s="100"/>
      <c r="JA8" s="100"/>
      <c r="JB8" s="100"/>
      <c r="JC8" s="100"/>
      <c r="JD8" s="100"/>
      <c r="JE8" s="100"/>
      <c r="JF8" s="100"/>
      <c r="JG8" s="100"/>
      <c r="JH8" s="100"/>
      <c r="JI8" s="100"/>
      <c r="JJ8" s="100"/>
      <c r="JK8" s="100"/>
      <c r="JL8" s="100"/>
      <c r="JM8" s="100"/>
      <c r="JN8" s="100"/>
      <c r="JO8" s="100"/>
      <c r="JP8" s="100"/>
      <c r="JQ8" s="100"/>
      <c r="JR8" s="100"/>
      <c r="JS8" s="100"/>
      <c r="JT8" s="100"/>
      <c r="JU8" s="100"/>
      <c r="JV8" s="100"/>
      <c r="JW8" s="100"/>
      <c r="JX8" s="100"/>
      <c r="JY8" s="100"/>
      <c r="JZ8" s="100"/>
      <c r="KA8" s="100"/>
      <c r="KB8" s="100"/>
      <c r="KC8" s="100"/>
      <c r="KD8" s="100"/>
      <c r="KE8" s="100"/>
      <c r="KF8" s="100"/>
      <c r="KG8" s="100"/>
      <c r="KH8" s="100"/>
      <c r="KI8" s="100"/>
      <c r="KJ8" s="100"/>
    </row>
    <row r="9" spans="1:296" s="39" customFormat="1" x14ac:dyDescent="0.3">
      <c r="A9" s="71" t="str">
        <f>IF('[1]PRODUCTO NACIONAL'!A18&lt;&gt;"",'[1]PRODUCTO NACIONAL'!A18,"")</f>
        <v>M15</v>
      </c>
      <c r="B9" s="72" t="str">
        <f>VLOOKUP(A9,'[1]PRODUCTO NACIONAL'!$A$4:$R$161,6,FALSE)</f>
        <v>D2006 Rollo Panal 1.70m x 160gr</v>
      </c>
      <c r="C9" s="73">
        <f>IFERROR(HLOOKUP(A9,[2]dimensiones_pdfs!$C$3:$Z$5,3,FALSE),0)</f>
        <v>8.2187219482490104</v>
      </c>
      <c r="D9" s="107">
        <f>VLOOKUP(A9,'[1]PRODUCTO NACIONAL'!$A$4:$R$161,18,FALSE)</f>
        <v>1.6348773841961852</v>
      </c>
      <c r="E9" s="5">
        <f>-(+C9*D9)</f>
        <v>-13.436602640189117</v>
      </c>
      <c r="F9" s="7"/>
      <c r="G9" s="5"/>
      <c r="H9" s="5"/>
      <c r="I9" s="83"/>
      <c r="K9" s="70"/>
      <c r="L9" s="75"/>
      <c r="M9" s="127"/>
      <c r="N9" s="77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00"/>
      <c r="CX9" s="100"/>
      <c r="CY9" s="100"/>
      <c r="CZ9" s="100"/>
      <c r="DA9" s="100"/>
      <c r="DB9" s="100"/>
      <c r="DC9" s="100"/>
      <c r="DD9" s="100"/>
      <c r="DE9" s="100"/>
      <c r="DF9" s="100"/>
      <c r="DG9" s="100"/>
      <c r="DH9" s="100"/>
      <c r="DI9" s="100"/>
      <c r="DJ9" s="100"/>
      <c r="DK9" s="100"/>
      <c r="DL9" s="100"/>
      <c r="DM9" s="100"/>
      <c r="DN9" s="100"/>
      <c r="DO9" s="100"/>
      <c r="DP9" s="100"/>
      <c r="DQ9" s="100"/>
      <c r="DR9" s="100"/>
      <c r="DS9" s="100"/>
      <c r="DT9" s="100"/>
      <c r="DU9" s="100"/>
      <c r="DV9" s="100"/>
      <c r="DW9" s="100"/>
      <c r="DX9" s="100"/>
      <c r="DY9" s="100"/>
      <c r="DZ9" s="100"/>
      <c r="EA9" s="100"/>
      <c r="EB9" s="100"/>
      <c r="EC9" s="100"/>
      <c r="ED9" s="100"/>
      <c r="EE9" s="100"/>
      <c r="EF9" s="100"/>
      <c r="EG9" s="100"/>
      <c r="EH9" s="100"/>
      <c r="EI9" s="100"/>
      <c r="EJ9" s="100"/>
      <c r="EK9" s="100"/>
      <c r="EL9" s="100"/>
      <c r="EM9" s="100"/>
      <c r="EN9" s="100"/>
      <c r="EO9" s="100"/>
      <c r="EP9" s="100"/>
      <c r="EQ9" s="100"/>
      <c r="ER9" s="100"/>
      <c r="ES9" s="100"/>
      <c r="ET9" s="100"/>
      <c r="EU9" s="100"/>
      <c r="EV9" s="100"/>
      <c r="EW9" s="100"/>
      <c r="EX9" s="100"/>
      <c r="EY9" s="100"/>
      <c r="EZ9" s="100"/>
      <c r="FA9" s="100"/>
      <c r="FB9" s="100"/>
      <c r="FC9" s="100"/>
      <c r="FD9" s="100"/>
      <c r="FE9" s="100"/>
      <c r="FF9" s="100"/>
      <c r="FG9" s="100"/>
      <c r="FH9" s="100"/>
      <c r="FI9" s="100"/>
      <c r="FJ9" s="100"/>
      <c r="FK9" s="100"/>
      <c r="FL9" s="100"/>
      <c r="FM9" s="100"/>
      <c r="FN9" s="100"/>
      <c r="FO9" s="100"/>
      <c r="FP9" s="100"/>
      <c r="FQ9" s="100"/>
      <c r="FR9" s="100"/>
      <c r="FS9" s="100"/>
      <c r="FT9" s="100"/>
      <c r="FU9" s="100"/>
      <c r="FV9" s="100"/>
      <c r="FW9" s="100"/>
      <c r="FX9" s="100"/>
      <c r="FY9" s="100"/>
      <c r="FZ9" s="100"/>
      <c r="GA9" s="100"/>
      <c r="GB9" s="100"/>
      <c r="GC9" s="100"/>
      <c r="GD9" s="100"/>
      <c r="GE9" s="100"/>
      <c r="GF9" s="100"/>
      <c r="GG9" s="100"/>
      <c r="GH9" s="100"/>
      <c r="GI9" s="100"/>
      <c r="GJ9" s="100"/>
      <c r="GK9" s="100"/>
      <c r="GL9" s="100"/>
      <c r="GM9" s="100"/>
      <c r="GN9" s="100"/>
      <c r="GO9" s="100"/>
      <c r="GP9" s="100"/>
      <c r="GQ9" s="100"/>
      <c r="GR9" s="100"/>
      <c r="GS9" s="100"/>
      <c r="GT9" s="100"/>
      <c r="GU9" s="100"/>
      <c r="GV9" s="100"/>
      <c r="GW9" s="100"/>
      <c r="GX9" s="100"/>
      <c r="GY9" s="100"/>
      <c r="GZ9" s="100"/>
      <c r="HA9" s="100"/>
      <c r="HB9" s="100"/>
      <c r="HC9" s="100"/>
      <c r="HD9" s="100"/>
      <c r="HE9" s="100"/>
      <c r="HF9" s="100"/>
      <c r="HG9" s="100"/>
      <c r="HH9" s="100"/>
      <c r="HI9" s="100"/>
      <c r="HJ9" s="100"/>
      <c r="HK9" s="100"/>
      <c r="HL9" s="100"/>
      <c r="HM9" s="100"/>
      <c r="HN9" s="100"/>
      <c r="HO9" s="100"/>
      <c r="HP9" s="100"/>
      <c r="HQ9" s="100"/>
      <c r="HR9" s="100"/>
      <c r="HS9" s="100"/>
      <c r="HT9" s="100"/>
      <c r="HU9" s="100"/>
      <c r="HV9" s="100"/>
      <c r="HW9" s="100"/>
      <c r="HX9" s="100"/>
      <c r="HY9" s="100"/>
      <c r="HZ9" s="100"/>
      <c r="IA9" s="100"/>
      <c r="IB9" s="100"/>
      <c r="IC9" s="100"/>
      <c r="ID9" s="100"/>
      <c r="IE9" s="100"/>
      <c r="IF9" s="100"/>
      <c r="IG9" s="100"/>
      <c r="IH9" s="100"/>
      <c r="II9" s="100"/>
      <c r="IJ9" s="100"/>
      <c r="IK9" s="100"/>
      <c r="IL9" s="100"/>
      <c r="IM9" s="100"/>
      <c r="IN9" s="100"/>
      <c r="IO9" s="100"/>
      <c r="IP9" s="100"/>
      <c r="IQ9" s="100"/>
      <c r="IR9" s="100"/>
      <c r="IS9" s="100"/>
      <c r="IT9" s="100"/>
      <c r="IU9" s="100"/>
      <c r="IV9" s="100"/>
      <c r="IW9" s="100"/>
      <c r="IX9" s="100"/>
      <c r="IY9" s="100"/>
      <c r="IZ9" s="100"/>
      <c r="JA9" s="100"/>
      <c r="JB9" s="100"/>
      <c r="JC9" s="100"/>
      <c r="JD9" s="100"/>
      <c r="JE9" s="100"/>
      <c r="JF9" s="100"/>
      <c r="JG9" s="100"/>
      <c r="JH9" s="100"/>
      <c r="JI9" s="100"/>
      <c r="JJ9" s="100"/>
      <c r="JK9" s="100"/>
      <c r="JL9" s="100"/>
      <c r="JM9" s="100"/>
      <c r="JN9" s="100"/>
      <c r="JO9" s="100"/>
      <c r="JP9" s="100"/>
      <c r="JQ9" s="100"/>
      <c r="JR9" s="100"/>
      <c r="JS9" s="100"/>
      <c r="JT9" s="100"/>
      <c r="JU9" s="100"/>
      <c r="JV9" s="100"/>
      <c r="JW9" s="100"/>
      <c r="JX9" s="100"/>
      <c r="JY9" s="100"/>
      <c r="JZ9" s="100"/>
      <c r="KA9" s="100"/>
      <c r="KB9" s="100"/>
      <c r="KC9" s="100"/>
      <c r="KD9" s="100"/>
      <c r="KE9" s="100"/>
      <c r="KF9" s="100"/>
      <c r="KG9" s="100"/>
      <c r="KH9" s="100"/>
      <c r="KI9" s="100"/>
      <c r="KJ9" s="100"/>
    </row>
    <row r="10" spans="1:296" s="39" customFormat="1" x14ac:dyDescent="0.3">
      <c r="A10" s="71" t="str">
        <f>IF('[1]PRODUCTO NACIONAL'!A27&lt;&gt;"",'[1]PRODUCTO NACIONAL'!A27,"")</f>
        <v>M24</v>
      </c>
      <c r="B10" s="71" t="str">
        <f>IF('[1]PRODUCTO NACIONAL'!F27&lt;&gt;"",'[1]PRODUCTO NACIONAL'!F27,"")</f>
        <v>POLIN GUTMAN T8-10 | T10-12</v>
      </c>
      <c r="C10" s="67">
        <f>F71</f>
        <v>15</v>
      </c>
      <c r="D10" s="108">
        <f>IF('[1]PRODUCTO NACIONAL'!R27&lt;&gt;"",'[1]PRODUCTO NACIONAL'!R27,"")</f>
        <v>1.925065</v>
      </c>
      <c r="E10" s="5">
        <f>-(+C10*D10)</f>
        <v>-28.875975</v>
      </c>
      <c r="F10" s="7"/>
      <c r="G10" s="5"/>
      <c r="H10"/>
      <c r="I10" s="28"/>
      <c r="K10" s="70"/>
      <c r="L10" s="75"/>
      <c r="M10" s="127"/>
      <c r="N10" s="77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00"/>
      <c r="CX10" s="100"/>
      <c r="CY10" s="100"/>
      <c r="CZ10" s="100"/>
      <c r="DA10" s="100"/>
      <c r="DB10" s="100"/>
      <c r="DC10" s="100"/>
      <c r="DD10" s="100"/>
      <c r="DE10" s="100"/>
      <c r="DF10" s="100"/>
      <c r="DG10" s="100"/>
      <c r="DH10" s="100"/>
      <c r="DI10" s="100"/>
      <c r="DJ10" s="100"/>
      <c r="DK10" s="100"/>
      <c r="DL10" s="100"/>
      <c r="DM10" s="100"/>
      <c r="DN10" s="100"/>
      <c r="DO10" s="100"/>
      <c r="DP10" s="100"/>
      <c r="DQ10" s="100"/>
      <c r="DR10" s="100"/>
      <c r="DS10" s="100"/>
      <c r="DT10" s="100"/>
      <c r="DU10" s="100"/>
      <c r="DV10" s="100"/>
      <c r="DW10" s="100"/>
      <c r="DX10" s="100"/>
      <c r="DY10" s="100"/>
      <c r="DZ10" s="100"/>
      <c r="EA10" s="100"/>
      <c r="EB10" s="100"/>
      <c r="EC10" s="100"/>
      <c r="ED10" s="100"/>
      <c r="EE10" s="100"/>
      <c r="EF10" s="100"/>
      <c r="EG10" s="100"/>
      <c r="EH10" s="100"/>
      <c r="EI10" s="100"/>
      <c r="EJ10" s="100"/>
      <c r="EK10" s="100"/>
      <c r="EL10" s="100"/>
      <c r="EM10" s="100"/>
      <c r="EN10" s="100"/>
      <c r="EO10" s="100"/>
      <c r="EP10" s="100"/>
      <c r="EQ10" s="100"/>
      <c r="ER10" s="100"/>
      <c r="ES10" s="100"/>
      <c r="ET10" s="100"/>
      <c r="EU10" s="100"/>
      <c r="EV10" s="100"/>
      <c r="EW10" s="100"/>
      <c r="EX10" s="100"/>
      <c r="EY10" s="100"/>
      <c r="EZ10" s="100"/>
      <c r="FA10" s="100"/>
      <c r="FB10" s="100"/>
      <c r="FC10" s="100"/>
      <c r="FD10" s="100"/>
      <c r="FE10" s="100"/>
      <c r="FF10" s="100"/>
      <c r="FG10" s="100"/>
      <c r="FH10" s="100"/>
      <c r="FI10" s="100"/>
      <c r="FJ10" s="100"/>
      <c r="FK10" s="100"/>
      <c r="FL10" s="100"/>
      <c r="FM10" s="100"/>
      <c r="FN10" s="100"/>
      <c r="FO10" s="100"/>
      <c r="FP10" s="100"/>
      <c r="FQ10" s="100"/>
      <c r="FR10" s="100"/>
      <c r="FS10" s="100"/>
      <c r="FT10" s="100"/>
      <c r="FU10" s="100"/>
      <c r="FV10" s="100"/>
      <c r="FW10" s="100"/>
      <c r="FX10" s="100"/>
      <c r="FY10" s="100"/>
      <c r="FZ10" s="100"/>
      <c r="GA10" s="100"/>
      <c r="GB10" s="100"/>
      <c r="GC10" s="100"/>
      <c r="GD10" s="100"/>
      <c r="GE10" s="100"/>
      <c r="GF10" s="100"/>
      <c r="GG10" s="100"/>
      <c r="GH10" s="100"/>
      <c r="GI10" s="100"/>
      <c r="GJ10" s="100"/>
      <c r="GK10" s="100"/>
      <c r="GL10" s="100"/>
      <c r="GM10" s="100"/>
      <c r="GN10" s="100"/>
      <c r="GO10" s="100"/>
      <c r="GP10" s="100"/>
      <c r="GQ10" s="100"/>
      <c r="GR10" s="100"/>
      <c r="GS10" s="100"/>
      <c r="GT10" s="100"/>
      <c r="GU10" s="100"/>
      <c r="GV10" s="100"/>
      <c r="GW10" s="100"/>
      <c r="GX10" s="100"/>
      <c r="GY10" s="100"/>
      <c r="GZ10" s="100"/>
      <c r="HA10" s="100"/>
      <c r="HB10" s="100"/>
      <c r="HC10" s="100"/>
      <c r="HD10" s="100"/>
      <c r="HE10" s="100"/>
      <c r="HF10" s="100"/>
      <c r="HG10" s="100"/>
      <c r="HH10" s="100"/>
      <c r="HI10" s="100"/>
      <c r="HJ10" s="100"/>
      <c r="HK10" s="100"/>
      <c r="HL10" s="100"/>
      <c r="HM10" s="100"/>
      <c r="HN10" s="100"/>
      <c r="HO10" s="100"/>
      <c r="HP10" s="100"/>
      <c r="HQ10" s="100"/>
      <c r="HR10" s="100"/>
      <c r="HS10" s="100"/>
      <c r="HT10" s="100"/>
      <c r="HU10" s="100"/>
      <c r="HV10" s="100"/>
      <c r="HW10" s="100"/>
      <c r="HX10" s="100"/>
      <c r="HY10" s="100"/>
      <c r="HZ10" s="100"/>
      <c r="IA10" s="100"/>
      <c r="IB10" s="100"/>
      <c r="IC10" s="100"/>
      <c r="ID10" s="100"/>
      <c r="IE10" s="100"/>
      <c r="IF10" s="100"/>
      <c r="IG10" s="100"/>
      <c r="IH10" s="100"/>
      <c r="II10" s="100"/>
      <c r="IJ10" s="100"/>
      <c r="IK10" s="100"/>
      <c r="IL10" s="100"/>
      <c r="IM10" s="100"/>
      <c r="IN10" s="100"/>
      <c r="IO10" s="100"/>
      <c r="IP10" s="100"/>
      <c r="IQ10" s="100"/>
      <c r="IR10" s="100"/>
      <c r="IS10" s="100"/>
      <c r="IT10" s="100"/>
      <c r="IU10" s="100"/>
      <c r="IV10" s="100"/>
      <c r="IW10" s="100"/>
      <c r="IX10" s="100"/>
      <c r="IY10" s="100"/>
      <c r="IZ10" s="100"/>
      <c r="JA10" s="100"/>
      <c r="JB10" s="100"/>
      <c r="JC10" s="100"/>
      <c r="JD10" s="100"/>
      <c r="JE10" s="100"/>
      <c r="JF10" s="100"/>
      <c r="JG10" s="100"/>
      <c r="JH10" s="100"/>
      <c r="JI10" s="100"/>
      <c r="JJ10" s="100"/>
      <c r="JK10" s="100"/>
      <c r="JL10" s="100"/>
      <c r="JM10" s="100"/>
      <c r="JN10" s="100"/>
      <c r="JO10" s="100"/>
      <c r="JP10" s="100"/>
      <c r="JQ10" s="100"/>
      <c r="JR10" s="100"/>
      <c r="JS10" s="100"/>
      <c r="JT10" s="100"/>
      <c r="JU10" s="100"/>
      <c r="JV10" s="100"/>
      <c r="JW10" s="100"/>
      <c r="JX10" s="100"/>
      <c r="JY10" s="100"/>
      <c r="JZ10" s="100"/>
      <c r="KA10" s="100"/>
      <c r="KB10" s="100"/>
      <c r="KC10" s="100"/>
      <c r="KD10" s="100"/>
      <c r="KE10" s="100"/>
      <c r="KF10" s="100"/>
      <c r="KG10" s="100"/>
      <c r="KH10" s="100"/>
      <c r="KI10" s="100"/>
      <c r="KJ10" s="100"/>
    </row>
    <row r="11" spans="1:296" s="39" customFormat="1" x14ac:dyDescent="0.3">
      <c r="A11" s="71"/>
      <c r="B11" s="22" t="str">
        <f>+G70</f>
        <v>BORDADO</v>
      </c>
      <c r="C11" s="67">
        <f>G71</f>
        <v>0</v>
      </c>
      <c r="D11" s="55">
        <v>1</v>
      </c>
      <c r="E11" s="5">
        <f t="shared" ref="E11:E38" si="0">-(+C11*D11)</f>
        <v>0</v>
      </c>
      <c r="F11" s="7"/>
      <c r="G11" s="5"/>
      <c r="H11"/>
      <c r="I11" s="28"/>
      <c r="K11" s="70"/>
      <c r="L11" s="75"/>
      <c r="M11" s="127"/>
      <c r="N11" s="77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  <c r="CY11" s="100"/>
      <c r="CZ11" s="100"/>
      <c r="DA11" s="100"/>
      <c r="DB11" s="100"/>
      <c r="DC11" s="100"/>
      <c r="DD11" s="100"/>
      <c r="DE11" s="100"/>
      <c r="DF11" s="100"/>
      <c r="DG11" s="100"/>
      <c r="DH11" s="100"/>
      <c r="DI11" s="100"/>
      <c r="DJ11" s="100"/>
      <c r="DK11" s="100"/>
      <c r="DL11" s="100"/>
      <c r="DM11" s="100"/>
      <c r="DN11" s="100"/>
      <c r="DO11" s="100"/>
      <c r="DP11" s="100"/>
      <c r="DQ11" s="100"/>
      <c r="DR11" s="100"/>
      <c r="DS11" s="100"/>
      <c r="DT11" s="100"/>
      <c r="DU11" s="100"/>
      <c r="DV11" s="100"/>
      <c r="DW11" s="100"/>
      <c r="DX11" s="100"/>
      <c r="DY11" s="100"/>
      <c r="DZ11" s="100"/>
      <c r="EA11" s="100"/>
      <c r="EB11" s="100"/>
      <c r="EC11" s="100"/>
      <c r="ED11" s="100"/>
      <c r="EE11" s="100"/>
      <c r="EF11" s="100"/>
      <c r="EG11" s="100"/>
      <c r="EH11" s="100"/>
      <c r="EI11" s="100"/>
      <c r="EJ11" s="100"/>
      <c r="EK11" s="100"/>
      <c r="EL11" s="100"/>
      <c r="EM11" s="100"/>
      <c r="EN11" s="100"/>
      <c r="EO11" s="100"/>
      <c r="EP11" s="100"/>
      <c r="EQ11" s="100"/>
      <c r="ER11" s="100"/>
      <c r="ES11" s="100"/>
      <c r="ET11" s="100"/>
      <c r="EU11" s="100"/>
      <c r="EV11" s="100"/>
      <c r="EW11" s="100"/>
      <c r="EX11" s="100"/>
      <c r="EY11" s="100"/>
      <c r="EZ11" s="100"/>
      <c r="FA11" s="100"/>
      <c r="FB11" s="100"/>
      <c r="FC11" s="100"/>
      <c r="FD11" s="100"/>
      <c r="FE11" s="100"/>
      <c r="FF11" s="100"/>
      <c r="FG11" s="100"/>
      <c r="FH11" s="100"/>
      <c r="FI11" s="100"/>
      <c r="FJ11" s="100"/>
      <c r="FK11" s="100"/>
      <c r="FL11" s="100"/>
      <c r="FM11" s="100"/>
      <c r="FN11" s="100"/>
      <c r="FO11" s="100"/>
      <c r="FP11" s="100"/>
      <c r="FQ11" s="100"/>
      <c r="FR11" s="100"/>
      <c r="FS11" s="100"/>
      <c r="FT11" s="100"/>
      <c r="FU11" s="100"/>
      <c r="FV11" s="100"/>
      <c r="FW11" s="100"/>
      <c r="FX11" s="100"/>
      <c r="FY11" s="100"/>
      <c r="FZ11" s="100"/>
      <c r="GA11" s="100"/>
      <c r="GB11" s="100"/>
      <c r="GC11" s="100"/>
      <c r="GD11" s="100"/>
      <c r="GE11" s="100"/>
      <c r="GF11" s="100"/>
      <c r="GG11" s="100"/>
      <c r="GH11" s="100"/>
      <c r="GI11" s="100"/>
      <c r="GJ11" s="100"/>
      <c r="GK11" s="100"/>
      <c r="GL11" s="100"/>
      <c r="GM11" s="100"/>
      <c r="GN11" s="100"/>
      <c r="GO11" s="100"/>
      <c r="GP11" s="100"/>
      <c r="GQ11" s="100"/>
      <c r="GR11" s="100"/>
      <c r="GS11" s="100"/>
      <c r="GT11" s="100"/>
      <c r="GU11" s="100"/>
      <c r="GV11" s="100"/>
      <c r="GW11" s="100"/>
      <c r="GX11" s="100"/>
      <c r="GY11" s="100"/>
      <c r="GZ11" s="100"/>
      <c r="HA11" s="100"/>
      <c r="HB11" s="100"/>
      <c r="HC11" s="100"/>
      <c r="HD11" s="100"/>
      <c r="HE11" s="100"/>
      <c r="HF11" s="100"/>
      <c r="HG11" s="100"/>
      <c r="HH11" s="100"/>
      <c r="HI11" s="100"/>
      <c r="HJ11" s="100"/>
      <c r="HK11" s="100"/>
      <c r="HL11" s="100"/>
      <c r="HM11" s="100"/>
      <c r="HN11" s="100"/>
      <c r="HO11" s="100"/>
      <c r="HP11" s="100"/>
      <c r="HQ11" s="100"/>
      <c r="HR11" s="100"/>
      <c r="HS11" s="100"/>
      <c r="HT11" s="100"/>
      <c r="HU11" s="100"/>
      <c r="HV11" s="100"/>
      <c r="HW11" s="100"/>
      <c r="HX11" s="100"/>
      <c r="HY11" s="100"/>
      <c r="HZ11" s="100"/>
      <c r="IA11" s="100"/>
      <c r="IB11" s="100"/>
      <c r="IC11" s="100"/>
      <c r="ID11" s="100"/>
      <c r="IE11" s="100"/>
      <c r="IF11" s="100"/>
      <c r="IG11" s="100"/>
      <c r="IH11" s="100"/>
      <c r="II11" s="100"/>
      <c r="IJ11" s="100"/>
      <c r="IK11" s="100"/>
      <c r="IL11" s="100"/>
      <c r="IM11" s="100"/>
      <c r="IN11" s="100"/>
      <c r="IO11" s="100"/>
      <c r="IP11" s="100"/>
      <c r="IQ11" s="100"/>
      <c r="IR11" s="100"/>
      <c r="IS11" s="100"/>
      <c r="IT11" s="100"/>
      <c r="IU11" s="100"/>
      <c r="IV11" s="100"/>
      <c r="IW11" s="100"/>
      <c r="IX11" s="100"/>
      <c r="IY11" s="100"/>
      <c r="IZ11" s="100"/>
      <c r="JA11" s="100"/>
      <c r="JB11" s="100"/>
      <c r="JC11" s="100"/>
      <c r="JD11" s="100"/>
      <c r="JE11" s="100"/>
      <c r="JF11" s="100"/>
      <c r="JG11" s="100"/>
      <c r="JH11" s="100"/>
      <c r="JI11" s="100"/>
      <c r="JJ11" s="100"/>
      <c r="JK11" s="100"/>
      <c r="JL11" s="100"/>
      <c r="JM11" s="100"/>
      <c r="JN11" s="100"/>
      <c r="JO11" s="100"/>
      <c r="JP11" s="100"/>
      <c r="JQ11" s="100"/>
      <c r="JR11" s="100"/>
      <c r="JS11" s="100"/>
      <c r="JT11" s="100"/>
      <c r="JU11" s="100"/>
      <c r="JV11" s="100"/>
      <c r="JW11" s="100"/>
      <c r="JX11" s="100"/>
      <c r="JY11" s="100"/>
      <c r="JZ11" s="100"/>
      <c r="KA11" s="100"/>
      <c r="KB11" s="100"/>
      <c r="KC11" s="100"/>
      <c r="KD11" s="100"/>
      <c r="KE11" s="100"/>
      <c r="KF11" s="100"/>
      <c r="KG11" s="100"/>
      <c r="KH11" s="100"/>
      <c r="KI11" s="100"/>
      <c r="KJ11" s="100"/>
    </row>
    <row r="12" spans="1:296" s="39" customFormat="1" x14ac:dyDescent="0.3">
      <c r="A12" s="71"/>
      <c r="B12" s="2" t="str">
        <f>+H70</f>
        <v>DTF/TPU</v>
      </c>
      <c r="C12" s="67">
        <f>H71</f>
        <v>0</v>
      </c>
      <c r="D12" s="55">
        <v>1</v>
      </c>
      <c r="E12" s="5">
        <f t="shared" si="0"/>
        <v>0</v>
      </c>
      <c r="F12" s="7"/>
      <c r="G12" s="5"/>
      <c r="H12"/>
      <c r="I12" s="28"/>
      <c r="K12" s="70"/>
      <c r="L12" s="75"/>
      <c r="M12" s="127"/>
      <c r="N12" s="77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100"/>
      <c r="CR12" s="100"/>
      <c r="CS12" s="100"/>
      <c r="CT12" s="100"/>
      <c r="CU12" s="100"/>
      <c r="CV12" s="100"/>
      <c r="CW12" s="100"/>
      <c r="CX12" s="100"/>
      <c r="CY12" s="100"/>
      <c r="CZ12" s="100"/>
      <c r="DA12" s="100"/>
      <c r="DB12" s="100"/>
      <c r="DC12" s="100"/>
      <c r="DD12" s="100"/>
      <c r="DE12" s="100"/>
      <c r="DF12" s="100"/>
      <c r="DG12" s="100"/>
      <c r="DH12" s="100"/>
      <c r="DI12" s="100"/>
      <c r="DJ12" s="100"/>
      <c r="DK12" s="100"/>
      <c r="DL12" s="100"/>
      <c r="DM12" s="100"/>
      <c r="DN12" s="100"/>
      <c r="DO12" s="100"/>
      <c r="DP12" s="100"/>
      <c r="DQ12" s="100"/>
      <c r="DR12" s="100"/>
      <c r="DS12" s="100"/>
      <c r="DT12" s="100"/>
      <c r="DU12" s="100"/>
      <c r="DV12" s="100"/>
      <c r="DW12" s="100"/>
      <c r="DX12" s="100"/>
      <c r="DY12" s="100"/>
      <c r="DZ12" s="100"/>
      <c r="EA12" s="100"/>
      <c r="EB12" s="100"/>
      <c r="EC12" s="100"/>
      <c r="ED12" s="100"/>
      <c r="EE12" s="100"/>
      <c r="EF12" s="100"/>
      <c r="EG12" s="100"/>
      <c r="EH12" s="100"/>
      <c r="EI12" s="100"/>
      <c r="EJ12" s="100"/>
      <c r="EK12" s="100"/>
      <c r="EL12" s="100"/>
      <c r="EM12" s="100"/>
      <c r="EN12" s="100"/>
      <c r="EO12" s="100"/>
      <c r="EP12" s="100"/>
      <c r="EQ12" s="100"/>
      <c r="ER12" s="100"/>
      <c r="ES12" s="100"/>
      <c r="ET12" s="100"/>
      <c r="EU12" s="100"/>
      <c r="EV12" s="100"/>
      <c r="EW12" s="100"/>
      <c r="EX12" s="100"/>
      <c r="EY12" s="100"/>
      <c r="EZ12" s="100"/>
      <c r="FA12" s="100"/>
      <c r="FB12" s="100"/>
      <c r="FC12" s="100"/>
      <c r="FD12" s="100"/>
      <c r="FE12" s="100"/>
      <c r="FF12" s="100"/>
      <c r="FG12" s="100"/>
      <c r="FH12" s="100"/>
      <c r="FI12" s="100"/>
      <c r="FJ12" s="100"/>
      <c r="FK12" s="100"/>
      <c r="FL12" s="100"/>
      <c r="FM12" s="100"/>
      <c r="FN12" s="100"/>
      <c r="FO12" s="100"/>
      <c r="FP12" s="100"/>
      <c r="FQ12" s="100"/>
      <c r="FR12" s="100"/>
      <c r="FS12" s="100"/>
      <c r="FT12" s="100"/>
      <c r="FU12" s="100"/>
      <c r="FV12" s="100"/>
      <c r="FW12" s="100"/>
      <c r="FX12" s="100"/>
      <c r="FY12" s="100"/>
      <c r="FZ12" s="100"/>
      <c r="GA12" s="100"/>
      <c r="GB12" s="100"/>
      <c r="GC12" s="100"/>
      <c r="GD12" s="100"/>
      <c r="GE12" s="100"/>
      <c r="GF12" s="100"/>
      <c r="GG12" s="100"/>
      <c r="GH12" s="100"/>
      <c r="GI12" s="100"/>
      <c r="GJ12" s="100"/>
      <c r="GK12" s="100"/>
      <c r="GL12" s="100"/>
      <c r="GM12" s="100"/>
      <c r="GN12" s="100"/>
      <c r="GO12" s="100"/>
      <c r="GP12" s="100"/>
      <c r="GQ12" s="100"/>
      <c r="GR12" s="100"/>
      <c r="GS12" s="100"/>
      <c r="GT12" s="100"/>
      <c r="GU12" s="100"/>
      <c r="GV12" s="100"/>
      <c r="GW12" s="100"/>
      <c r="GX12" s="100"/>
      <c r="GY12" s="100"/>
      <c r="GZ12" s="100"/>
      <c r="HA12" s="100"/>
      <c r="HB12" s="100"/>
      <c r="HC12" s="100"/>
      <c r="HD12" s="100"/>
      <c r="HE12" s="100"/>
      <c r="HF12" s="100"/>
      <c r="HG12" s="100"/>
      <c r="HH12" s="100"/>
      <c r="HI12" s="100"/>
      <c r="HJ12" s="100"/>
      <c r="HK12" s="100"/>
      <c r="HL12" s="100"/>
      <c r="HM12" s="100"/>
      <c r="HN12" s="100"/>
      <c r="HO12" s="100"/>
      <c r="HP12" s="100"/>
      <c r="HQ12" s="100"/>
      <c r="HR12" s="100"/>
      <c r="HS12" s="100"/>
      <c r="HT12" s="100"/>
      <c r="HU12" s="100"/>
      <c r="HV12" s="100"/>
      <c r="HW12" s="100"/>
      <c r="HX12" s="100"/>
      <c r="HY12" s="100"/>
      <c r="HZ12" s="100"/>
      <c r="IA12" s="100"/>
      <c r="IB12" s="100"/>
      <c r="IC12" s="100"/>
      <c r="ID12" s="100"/>
      <c r="IE12" s="100"/>
      <c r="IF12" s="100"/>
      <c r="IG12" s="100"/>
      <c r="IH12" s="100"/>
      <c r="II12" s="100"/>
      <c r="IJ12" s="100"/>
      <c r="IK12" s="100"/>
      <c r="IL12" s="100"/>
      <c r="IM12" s="100"/>
      <c r="IN12" s="100"/>
      <c r="IO12" s="100"/>
      <c r="IP12" s="100"/>
      <c r="IQ12" s="100"/>
      <c r="IR12" s="100"/>
      <c r="IS12" s="100"/>
      <c r="IT12" s="100"/>
      <c r="IU12" s="100"/>
      <c r="IV12" s="100"/>
      <c r="IW12" s="100"/>
      <c r="IX12" s="100"/>
      <c r="IY12" s="100"/>
      <c r="IZ12" s="100"/>
      <c r="JA12" s="100"/>
      <c r="JB12" s="100"/>
      <c r="JC12" s="100"/>
      <c r="JD12" s="100"/>
      <c r="JE12" s="100"/>
      <c r="JF12" s="100"/>
      <c r="JG12" s="100"/>
      <c r="JH12" s="100"/>
      <c r="JI12" s="100"/>
      <c r="JJ12" s="100"/>
      <c r="JK12" s="100"/>
      <c r="JL12" s="100"/>
      <c r="JM12" s="100"/>
      <c r="JN12" s="100"/>
      <c r="JO12" s="100"/>
      <c r="JP12" s="100"/>
      <c r="JQ12" s="100"/>
      <c r="JR12" s="100"/>
      <c r="JS12" s="100"/>
      <c r="JT12" s="100"/>
      <c r="JU12" s="100"/>
      <c r="JV12" s="100"/>
      <c r="JW12" s="100"/>
      <c r="JX12" s="100"/>
      <c r="JY12" s="100"/>
      <c r="JZ12" s="100"/>
      <c r="KA12" s="100"/>
      <c r="KB12" s="100"/>
      <c r="KC12" s="100"/>
      <c r="KD12" s="100"/>
      <c r="KE12" s="100"/>
      <c r="KF12" s="100"/>
      <c r="KG12" s="100"/>
      <c r="KH12" s="100"/>
      <c r="KI12" s="100"/>
      <c r="KJ12" s="100"/>
    </row>
    <row r="13" spans="1:296" s="39" customFormat="1" x14ac:dyDescent="0.3">
      <c r="A13" s="71"/>
      <c r="B13" s="2" t="str">
        <f>+I70</f>
        <v>GORRAS</v>
      </c>
      <c r="C13" s="67">
        <f>I71</f>
        <v>0</v>
      </c>
      <c r="D13" s="55">
        <v>2</v>
      </c>
      <c r="E13" s="5">
        <f t="shared" si="0"/>
        <v>0</v>
      </c>
      <c r="F13" s="22"/>
      <c r="G13" s="5"/>
      <c r="H13"/>
      <c r="I13" s="28"/>
      <c r="K13" s="70"/>
      <c r="L13" s="75"/>
      <c r="M13" s="127"/>
      <c r="N13" s="77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100"/>
      <c r="CX13" s="100"/>
      <c r="CY13" s="100"/>
      <c r="CZ13" s="100"/>
      <c r="DA13" s="100"/>
      <c r="DB13" s="100"/>
      <c r="DC13" s="100"/>
      <c r="DD13" s="100"/>
      <c r="DE13" s="100"/>
      <c r="DF13" s="100"/>
      <c r="DG13" s="100"/>
      <c r="DH13" s="100"/>
      <c r="DI13" s="100"/>
      <c r="DJ13" s="100"/>
      <c r="DK13" s="100"/>
      <c r="DL13" s="100"/>
      <c r="DM13" s="100"/>
      <c r="DN13" s="100"/>
      <c r="DO13" s="100"/>
      <c r="DP13" s="100"/>
      <c r="DQ13" s="100"/>
      <c r="DR13" s="100"/>
      <c r="DS13" s="100"/>
      <c r="DT13" s="100"/>
      <c r="DU13" s="100"/>
      <c r="DV13" s="100"/>
      <c r="DW13" s="100"/>
      <c r="DX13" s="100"/>
      <c r="DY13" s="100"/>
      <c r="DZ13" s="100"/>
      <c r="EA13" s="100"/>
      <c r="EB13" s="100"/>
      <c r="EC13" s="100"/>
      <c r="ED13" s="100"/>
      <c r="EE13" s="100"/>
      <c r="EF13" s="100"/>
      <c r="EG13" s="100"/>
      <c r="EH13" s="100"/>
      <c r="EI13" s="100"/>
      <c r="EJ13" s="100"/>
      <c r="EK13" s="100"/>
      <c r="EL13" s="100"/>
      <c r="EM13" s="100"/>
      <c r="EN13" s="100"/>
      <c r="EO13" s="100"/>
      <c r="EP13" s="100"/>
      <c r="EQ13" s="100"/>
      <c r="ER13" s="100"/>
      <c r="ES13" s="100"/>
      <c r="ET13" s="100"/>
      <c r="EU13" s="100"/>
      <c r="EV13" s="100"/>
      <c r="EW13" s="100"/>
      <c r="EX13" s="100"/>
      <c r="EY13" s="100"/>
      <c r="EZ13" s="100"/>
      <c r="FA13" s="100"/>
      <c r="FB13" s="100"/>
      <c r="FC13" s="100"/>
      <c r="FD13" s="100"/>
      <c r="FE13" s="100"/>
      <c r="FF13" s="100"/>
      <c r="FG13" s="100"/>
      <c r="FH13" s="100"/>
      <c r="FI13" s="100"/>
      <c r="FJ13" s="100"/>
      <c r="FK13" s="100"/>
      <c r="FL13" s="100"/>
      <c r="FM13" s="100"/>
      <c r="FN13" s="100"/>
      <c r="FO13" s="100"/>
      <c r="FP13" s="100"/>
      <c r="FQ13" s="100"/>
      <c r="FR13" s="100"/>
      <c r="FS13" s="100"/>
      <c r="FT13" s="100"/>
      <c r="FU13" s="100"/>
      <c r="FV13" s="100"/>
      <c r="FW13" s="100"/>
      <c r="FX13" s="100"/>
      <c r="FY13" s="100"/>
      <c r="FZ13" s="100"/>
      <c r="GA13" s="100"/>
      <c r="GB13" s="100"/>
      <c r="GC13" s="100"/>
      <c r="GD13" s="100"/>
      <c r="GE13" s="100"/>
      <c r="GF13" s="100"/>
      <c r="GG13" s="100"/>
      <c r="GH13" s="100"/>
      <c r="GI13" s="100"/>
      <c r="GJ13" s="100"/>
      <c r="GK13" s="100"/>
      <c r="GL13" s="100"/>
      <c r="GM13" s="100"/>
      <c r="GN13" s="100"/>
      <c r="GO13" s="100"/>
      <c r="GP13" s="100"/>
      <c r="GQ13" s="100"/>
      <c r="GR13" s="100"/>
      <c r="GS13" s="100"/>
      <c r="GT13" s="100"/>
      <c r="GU13" s="100"/>
      <c r="GV13" s="100"/>
      <c r="GW13" s="100"/>
      <c r="GX13" s="100"/>
      <c r="GY13" s="100"/>
      <c r="GZ13" s="100"/>
      <c r="HA13" s="100"/>
      <c r="HB13" s="100"/>
      <c r="HC13" s="100"/>
      <c r="HD13" s="100"/>
      <c r="HE13" s="100"/>
      <c r="HF13" s="100"/>
      <c r="HG13" s="100"/>
      <c r="HH13" s="100"/>
      <c r="HI13" s="100"/>
      <c r="HJ13" s="100"/>
      <c r="HK13" s="100"/>
      <c r="HL13" s="100"/>
      <c r="HM13" s="100"/>
      <c r="HN13" s="100"/>
      <c r="HO13" s="100"/>
      <c r="HP13" s="100"/>
      <c r="HQ13" s="100"/>
      <c r="HR13" s="100"/>
      <c r="HS13" s="100"/>
      <c r="HT13" s="100"/>
      <c r="HU13" s="100"/>
      <c r="HV13" s="100"/>
      <c r="HW13" s="100"/>
      <c r="HX13" s="100"/>
      <c r="HY13" s="100"/>
      <c r="HZ13" s="100"/>
      <c r="IA13" s="100"/>
      <c r="IB13" s="100"/>
      <c r="IC13" s="100"/>
      <c r="ID13" s="100"/>
      <c r="IE13" s="100"/>
      <c r="IF13" s="100"/>
      <c r="IG13" s="100"/>
      <c r="IH13" s="100"/>
      <c r="II13" s="100"/>
      <c r="IJ13" s="100"/>
      <c r="IK13" s="100"/>
      <c r="IL13" s="100"/>
      <c r="IM13" s="100"/>
      <c r="IN13" s="100"/>
      <c r="IO13" s="100"/>
      <c r="IP13" s="100"/>
      <c r="IQ13" s="100"/>
      <c r="IR13" s="100"/>
      <c r="IS13" s="100"/>
      <c r="IT13" s="100"/>
      <c r="IU13" s="100"/>
      <c r="IV13" s="100"/>
      <c r="IW13" s="100"/>
      <c r="IX13" s="100"/>
      <c r="IY13" s="100"/>
      <c r="IZ13" s="100"/>
      <c r="JA13" s="100"/>
      <c r="JB13" s="100"/>
      <c r="JC13" s="100"/>
      <c r="JD13" s="100"/>
      <c r="JE13" s="100"/>
      <c r="JF13" s="100"/>
      <c r="JG13" s="100"/>
      <c r="JH13" s="100"/>
      <c r="JI13" s="100"/>
      <c r="JJ13" s="100"/>
      <c r="JK13" s="100"/>
      <c r="JL13" s="100"/>
      <c r="JM13" s="100"/>
      <c r="JN13" s="100"/>
      <c r="JO13" s="100"/>
      <c r="JP13" s="100"/>
      <c r="JQ13" s="100"/>
      <c r="JR13" s="100"/>
      <c r="JS13" s="100"/>
      <c r="JT13" s="100"/>
      <c r="JU13" s="100"/>
      <c r="JV13" s="100"/>
      <c r="JW13" s="100"/>
      <c r="JX13" s="100"/>
      <c r="JY13" s="100"/>
      <c r="JZ13" s="100"/>
      <c r="KA13" s="100"/>
      <c r="KB13" s="100"/>
      <c r="KC13" s="100"/>
      <c r="KD13" s="100"/>
      <c r="KE13" s="100"/>
      <c r="KF13" s="100"/>
      <c r="KG13" s="100"/>
      <c r="KH13" s="100"/>
      <c r="KI13" s="100"/>
      <c r="KJ13" s="100"/>
    </row>
    <row r="14" spans="1:296" s="39" customFormat="1" x14ac:dyDescent="0.3">
      <c r="A14" s="71"/>
      <c r="B14" s="2" t="str">
        <f>+J70</f>
        <v>JARRO</v>
      </c>
      <c r="C14" s="67">
        <f>J71</f>
        <v>0</v>
      </c>
      <c r="D14" s="55"/>
      <c r="E14" s="5">
        <f t="shared" si="0"/>
        <v>0</v>
      </c>
      <c r="F14" s="22"/>
      <c r="G14" s="5"/>
      <c r="H14"/>
      <c r="I14" s="28"/>
      <c r="K14" s="70"/>
      <c r="L14" s="75"/>
      <c r="M14" s="127"/>
      <c r="N14" s="77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00"/>
      <c r="CX14" s="100"/>
      <c r="CY14" s="100"/>
      <c r="CZ14" s="100"/>
      <c r="DA14" s="100"/>
      <c r="DB14" s="100"/>
      <c r="DC14" s="100"/>
      <c r="DD14" s="100"/>
      <c r="DE14" s="100"/>
      <c r="DF14" s="100"/>
      <c r="DG14" s="100"/>
      <c r="DH14" s="100"/>
      <c r="DI14" s="100"/>
      <c r="DJ14" s="100"/>
      <c r="DK14" s="100"/>
      <c r="DL14" s="100"/>
      <c r="DM14" s="100"/>
      <c r="DN14" s="100"/>
      <c r="DO14" s="100"/>
      <c r="DP14" s="100"/>
      <c r="DQ14" s="100"/>
      <c r="DR14" s="100"/>
      <c r="DS14" s="100"/>
      <c r="DT14" s="100"/>
      <c r="DU14" s="100"/>
      <c r="DV14" s="100"/>
      <c r="DW14" s="100"/>
      <c r="DX14" s="100"/>
      <c r="DY14" s="100"/>
      <c r="DZ14" s="100"/>
      <c r="EA14" s="100"/>
      <c r="EB14" s="100"/>
      <c r="EC14" s="100"/>
      <c r="ED14" s="100"/>
      <c r="EE14" s="100"/>
      <c r="EF14" s="100"/>
      <c r="EG14" s="100"/>
      <c r="EH14" s="100"/>
      <c r="EI14" s="100"/>
      <c r="EJ14" s="100"/>
      <c r="EK14" s="100"/>
      <c r="EL14" s="100"/>
      <c r="EM14" s="100"/>
      <c r="EN14" s="100"/>
      <c r="EO14" s="100"/>
      <c r="EP14" s="100"/>
      <c r="EQ14" s="100"/>
      <c r="ER14" s="100"/>
      <c r="ES14" s="100"/>
      <c r="ET14" s="100"/>
      <c r="EU14" s="100"/>
      <c r="EV14" s="100"/>
      <c r="EW14" s="100"/>
      <c r="EX14" s="100"/>
      <c r="EY14" s="100"/>
      <c r="EZ14" s="100"/>
      <c r="FA14" s="100"/>
      <c r="FB14" s="100"/>
      <c r="FC14" s="100"/>
      <c r="FD14" s="100"/>
      <c r="FE14" s="100"/>
      <c r="FF14" s="100"/>
      <c r="FG14" s="100"/>
      <c r="FH14" s="100"/>
      <c r="FI14" s="100"/>
      <c r="FJ14" s="100"/>
      <c r="FK14" s="100"/>
      <c r="FL14" s="100"/>
      <c r="FM14" s="100"/>
      <c r="FN14" s="100"/>
      <c r="FO14" s="100"/>
      <c r="FP14" s="100"/>
      <c r="FQ14" s="100"/>
      <c r="FR14" s="100"/>
      <c r="FS14" s="100"/>
      <c r="FT14" s="100"/>
      <c r="FU14" s="100"/>
      <c r="FV14" s="100"/>
      <c r="FW14" s="100"/>
      <c r="FX14" s="100"/>
      <c r="FY14" s="100"/>
      <c r="FZ14" s="100"/>
      <c r="GA14" s="100"/>
      <c r="GB14" s="100"/>
      <c r="GC14" s="100"/>
      <c r="GD14" s="100"/>
      <c r="GE14" s="100"/>
      <c r="GF14" s="100"/>
      <c r="GG14" s="100"/>
      <c r="GH14" s="100"/>
      <c r="GI14" s="100"/>
      <c r="GJ14" s="100"/>
      <c r="GK14" s="100"/>
      <c r="GL14" s="100"/>
      <c r="GM14" s="100"/>
      <c r="GN14" s="100"/>
      <c r="GO14" s="100"/>
      <c r="GP14" s="100"/>
      <c r="GQ14" s="100"/>
      <c r="GR14" s="100"/>
      <c r="GS14" s="100"/>
      <c r="GT14" s="100"/>
      <c r="GU14" s="100"/>
      <c r="GV14" s="100"/>
      <c r="GW14" s="100"/>
      <c r="GX14" s="100"/>
      <c r="GY14" s="100"/>
      <c r="GZ14" s="100"/>
      <c r="HA14" s="100"/>
      <c r="HB14" s="100"/>
      <c r="HC14" s="100"/>
      <c r="HD14" s="100"/>
      <c r="HE14" s="100"/>
      <c r="HF14" s="100"/>
      <c r="HG14" s="100"/>
      <c r="HH14" s="100"/>
      <c r="HI14" s="100"/>
      <c r="HJ14" s="100"/>
      <c r="HK14" s="100"/>
      <c r="HL14" s="100"/>
      <c r="HM14" s="100"/>
      <c r="HN14" s="100"/>
      <c r="HO14" s="100"/>
      <c r="HP14" s="100"/>
      <c r="HQ14" s="100"/>
      <c r="HR14" s="100"/>
      <c r="HS14" s="100"/>
      <c r="HT14" s="100"/>
      <c r="HU14" s="100"/>
      <c r="HV14" s="100"/>
      <c r="HW14" s="100"/>
      <c r="HX14" s="100"/>
      <c r="HY14" s="100"/>
      <c r="HZ14" s="100"/>
      <c r="IA14" s="100"/>
      <c r="IB14" s="100"/>
      <c r="IC14" s="100"/>
      <c r="ID14" s="100"/>
      <c r="IE14" s="100"/>
      <c r="IF14" s="100"/>
      <c r="IG14" s="100"/>
      <c r="IH14" s="100"/>
      <c r="II14" s="100"/>
      <c r="IJ14" s="100"/>
      <c r="IK14" s="100"/>
      <c r="IL14" s="100"/>
      <c r="IM14" s="100"/>
      <c r="IN14" s="100"/>
      <c r="IO14" s="100"/>
      <c r="IP14" s="100"/>
      <c r="IQ14" s="100"/>
      <c r="IR14" s="100"/>
      <c r="IS14" s="100"/>
      <c r="IT14" s="100"/>
      <c r="IU14" s="100"/>
      <c r="IV14" s="100"/>
      <c r="IW14" s="100"/>
      <c r="IX14" s="100"/>
      <c r="IY14" s="100"/>
      <c r="IZ14" s="100"/>
      <c r="JA14" s="100"/>
      <c r="JB14" s="100"/>
      <c r="JC14" s="100"/>
      <c r="JD14" s="100"/>
      <c r="JE14" s="100"/>
      <c r="JF14" s="100"/>
      <c r="JG14" s="100"/>
      <c r="JH14" s="100"/>
      <c r="JI14" s="100"/>
      <c r="JJ14" s="100"/>
      <c r="JK14" s="100"/>
      <c r="JL14" s="100"/>
      <c r="JM14" s="100"/>
      <c r="JN14" s="100"/>
      <c r="JO14" s="100"/>
      <c r="JP14" s="100"/>
      <c r="JQ14" s="100"/>
      <c r="JR14" s="100"/>
      <c r="JS14" s="100"/>
      <c r="JT14" s="100"/>
      <c r="JU14" s="100"/>
      <c r="JV14" s="100"/>
      <c r="JW14" s="100"/>
      <c r="JX14" s="100"/>
      <c r="JY14" s="100"/>
      <c r="JZ14" s="100"/>
      <c r="KA14" s="100"/>
      <c r="KB14" s="100"/>
      <c r="KC14" s="100"/>
      <c r="KD14" s="100"/>
      <c r="KE14" s="100"/>
      <c r="KF14" s="100"/>
      <c r="KG14" s="100"/>
      <c r="KH14" s="100"/>
      <c r="KI14" s="100"/>
      <c r="KJ14" s="100"/>
    </row>
    <row r="15" spans="1:296" s="39" customFormat="1" x14ac:dyDescent="0.3">
      <c r="A15" s="71" t="str">
        <f>IF('[1]PRODUCTO NACIONAL'!A67&lt;&gt;"",'[1]PRODUCTO NACIONAL'!A67,"")</f>
        <v>M64</v>
      </c>
      <c r="B15" s="71" t="str">
        <f>IF('[1]PRODUCTO NACIONAL'!F67&lt;&gt;"",'[1]PRODUCTO NACIONAL'!F67,"")</f>
        <v>CUELLOS20 PEI|NEGRO AZABACHE Y MAS.</v>
      </c>
      <c r="C15" s="67">
        <f>K71</f>
        <v>9</v>
      </c>
      <c r="D15" s="107">
        <f>VLOOKUP(A15,'[1]PRODUCTO NACIONAL'!$A$4:$R$161,18,FALSE)</f>
        <v>0.4764460606060606</v>
      </c>
      <c r="E15" s="5">
        <f t="shared" si="0"/>
        <v>-4.2880145454545451</v>
      </c>
      <c r="F15" s="22"/>
      <c r="G15" s="5"/>
      <c r="H15"/>
      <c r="I15" s="28"/>
      <c r="K15" s="70"/>
      <c r="L15" s="75"/>
      <c r="M15" s="127"/>
      <c r="N15" s="77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00"/>
      <c r="CX15" s="100"/>
      <c r="CY15" s="100"/>
      <c r="CZ15" s="100"/>
      <c r="DA15" s="100"/>
      <c r="DB15" s="100"/>
      <c r="DC15" s="100"/>
      <c r="DD15" s="100"/>
      <c r="DE15" s="100"/>
      <c r="DF15" s="100"/>
      <c r="DG15" s="100"/>
      <c r="DH15" s="100"/>
      <c r="DI15" s="100"/>
      <c r="DJ15" s="100"/>
      <c r="DK15" s="100"/>
      <c r="DL15" s="100"/>
      <c r="DM15" s="100"/>
      <c r="DN15" s="100"/>
      <c r="DO15" s="100"/>
      <c r="DP15" s="100"/>
      <c r="DQ15" s="100"/>
      <c r="DR15" s="100"/>
      <c r="DS15" s="100"/>
      <c r="DT15" s="100"/>
      <c r="DU15" s="100"/>
      <c r="DV15" s="100"/>
      <c r="DW15" s="100"/>
      <c r="DX15" s="100"/>
      <c r="DY15" s="100"/>
      <c r="DZ15" s="100"/>
      <c r="EA15" s="100"/>
      <c r="EB15" s="100"/>
      <c r="EC15" s="100"/>
      <c r="ED15" s="100"/>
      <c r="EE15" s="100"/>
      <c r="EF15" s="100"/>
      <c r="EG15" s="100"/>
      <c r="EH15" s="100"/>
      <c r="EI15" s="100"/>
      <c r="EJ15" s="100"/>
      <c r="EK15" s="100"/>
      <c r="EL15" s="100"/>
      <c r="EM15" s="100"/>
      <c r="EN15" s="100"/>
      <c r="EO15" s="100"/>
      <c r="EP15" s="100"/>
      <c r="EQ15" s="100"/>
      <c r="ER15" s="100"/>
      <c r="ES15" s="100"/>
      <c r="ET15" s="100"/>
      <c r="EU15" s="100"/>
      <c r="EV15" s="100"/>
      <c r="EW15" s="100"/>
      <c r="EX15" s="100"/>
      <c r="EY15" s="100"/>
      <c r="EZ15" s="100"/>
      <c r="FA15" s="100"/>
      <c r="FB15" s="100"/>
      <c r="FC15" s="100"/>
      <c r="FD15" s="100"/>
      <c r="FE15" s="100"/>
      <c r="FF15" s="100"/>
      <c r="FG15" s="100"/>
      <c r="FH15" s="100"/>
      <c r="FI15" s="100"/>
      <c r="FJ15" s="100"/>
      <c r="FK15" s="100"/>
      <c r="FL15" s="100"/>
      <c r="FM15" s="100"/>
      <c r="FN15" s="100"/>
      <c r="FO15" s="100"/>
      <c r="FP15" s="100"/>
      <c r="FQ15" s="100"/>
      <c r="FR15" s="100"/>
      <c r="FS15" s="100"/>
      <c r="FT15" s="100"/>
      <c r="FU15" s="100"/>
      <c r="FV15" s="100"/>
      <c r="FW15" s="100"/>
      <c r="FX15" s="100"/>
      <c r="FY15" s="100"/>
      <c r="FZ15" s="100"/>
      <c r="GA15" s="100"/>
      <c r="GB15" s="100"/>
      <c r="GC15" s="100"/>
      <c r="GD15" s="100"/>
      <c r="GE15" s="100"/>
      <c r="GF15" s="100"/>
      <c r="GG15" s="100"/>
      <c r="GH15" s="100"/>
      <c r="GI15" s="100"/>
      <c r="GJ15" s="100"/>
      <c r="GK15" s="100"/>
      <c r="GL15" s="100"/>
      <c r="GM15" s="100"/>
      <c r="GN15" s="100"/>
      <c r="GO15" s="100"/>
      <c r="GP15" s="100"/>
      <c r="GQ15" s="100"/>
      <c r="GR15" s="100"/>
      <c r="GS15" s="100"/>
      <c r="GT15" s="100"/>
      <c r="GU15" s="100"/>
      <c r="GV15" s="100"/>
      <c r="GW15" s="100"/>
      <c r="GX15" s="100"/>
      <c r="GY15" s="100"/>
      <c r="GZ15" s="100"/>
      <c r="HA15" s="100"/>
      <c r="HB15" s="100"/>
      <c r="HC15" s="100"/>
      <c r="HD15" s="100"/>
      <c r="HE15" s="100"/>
      <c r="HF15" s="100"/>
      <c r="HG15" s="100"/>
      <c r="HH15" s="100"/>
      <c r="HI15" s="100"/>
      <c r="HJ15" s="100"/>
      <c r="HK15" s="100"/>
      <c r="HL15" s="100"/>
      <c r="HM15" s="100"/>
      <c r="HN15" s="100"/>
      <c r="HO15" s="100"/>
      <c r="HP15" s="100"/>
      <c r="HQ15" s="100"/>
      <c r="HR15" s="100"/>
      <c r="HS15" s="100"/>
      <c r="HT15" s="100"/>
      <c r="HU15" s="100"/>
      <c r="HV15" s="100"/>
      <c r="HW15" s="100"/>
      <c r="HX15" s="100"/>
      <c r="HY15" s="100"/>
      <c r="HZ15" s="100"/>
      <c r="IA15" s="100"/>
      <c r="IB15" s="100"/>
      <c r="IC15" s="100"/>
      <c r="ID15" s="100"/>
      <c r="IE15" s="100"/>
      <c r="IF15" s="100"/>
      <c r="IG15" s="100"/>
      <c r="IH15" s="100"/>
      <c r="II15" s="100"/>
      <c r="IJ15" s="100"/>
      <c r="IK15" s="100"/>
      <c r="IL15" s="100"/>
      <c r="IM15" s="100"/>
      <c r="IN15" s="100"/>
      <c r="IO15" s="100"/>
      <c r="IP15" s="100"/>
      <c r="IQ15" s="100"/>
      <c r="IR15" s="100"/>
      <c r="IS15" s="100"/>
      <c r="IT15" s="100"/>
      <c r="IU15" s="100"/>
      <c r="IV15" s="100"/>
      <c r="IW15" s="100"/>
      <c r="IX15" s="100"/>
      <c r="IY15" s="100"/>
      <c r="IZ15" s="100"/>
      <c r="JA15" s="100"/>
      <c r="JB15" s="100"/>
      <c r="JC15" s="100"/>
      <c r="JD15" s="100"/>
      <c r="JE15" s="100"/>
      <c r="JF15" s="100"/>
      <c r="JG15" s="100"/>
      <c r="JH15" s="100"/>
      <c r="JI15" s="100"/>
      <c r="JJ15" s="100"/>
      <c r="JK15" s="100"/>
      <c r="JL15" s="100"/>
      <c r="JM15" s="100"/>
      <c r="JN15" s="100"/>
      <c r="JO15" s="100"/>
      <c r="JP15" s="100"/>
      <c r="JQ15" s="100"/>
      <c r="JR15" s="100"/>
      <c r="JS15" s="100"/>
      <c r="JT15" s="100"/>
      <c r="JU15" s="100"/>
      <c r="JV15" s="100"/>
      <c r="JW15" s="100"/>
      <c r="JX15" s="100"/>
      <c r="JY15" s="100"/>
      <c r="JZ15" s="100"/>
      <c r="KA15" s="100"/>
      <c r="KB15" s="100"/>
      <c r="KC15" s="100"/>
      <c r="KD15" s="100"/>
      <c r="KE15" s="100"/>
      <c r="KF15" s="100"/>
      <c r="KG15" s="100"/>
      <c r="KH15" s="100"/>
      <c r="KI15" s="100"/>
      <c r="KJ15" s="100"/>
    </row>
    <row r="16" spans="1:296" s="39" customFormat="1" x14ac:dyDescent="0.3">
      <c r="A16" s="71" t="str">
        <f>IF('[1]PRODUCTO NACIONAL'!A68&lt;&gt;"",'[1]PRODUCTO NACIONAL'!A68,"")</f>
        <v>M65</v>
      </c>
      <c r="B16" s="71" t="str">
        <f>IF('[1]PRODUCTO NACIONAL'!F68&lt;&gt;"",'[1]PRODUCTO NACIONAL'!F68,"")</f>
        <v>PUÑOS20 PEI|NEGRO AZABACHE Y MAS.</v>
      </c>
      <c r="C16" s="67">
        <f>L71</f>
        <v>9</v>
      </c>
      <c r="D16" s="107">
        <f>VLOOKUP(A16,'[1]PRODUCTO NACIONAL'!$A$4:$R$161,18,FALSE)</f>
        <v>0.23822303030303027</v>
      </c>
      <c r="E16" s="5">
        <f t="shared" si="0"/>
        <v>-2.1440072727272725</v>
      </c>
      <c r="F16" s="22"/>
      <c r="G16" s="5"/>
      <c r="H16"/>
      <c r="I16" s="28"/>
      <c r="K16" s="70"/>
      <c r="L16" s="75"/>
      <c r="M16" s="127"/>
      <c r="N16" s="77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  <c r="CX16" s="100"/>
      <c r="CY16" s="100"/>
      <c r="CZ16" s="100"/>
      <c r="DA16" s="100"/>
      <c r="DB16" s="100"/>
      <c r="DC16" s="100"/>
      <c r="DD16" s="100"/>
      <c r="DE16" s="100"/>
      <c r="DF16" s="100"/>
      <c r="DG16" s="100"/>
      <c r="DH16" s="100"/>
      <c r="DI16" s="100"/>
      <c r="DJ16" s="100"/>
      <c r="DK16" s="100"/>
      <c r="DL16" s="100"/>
      <c r="DM16" s="100"/>
      <c r="DN16" s="100"/>
      <c r="DO16" s="100"/>
      <c r="DP16" s="100"/>
      <c r="DQ16" s="100"/>
      <c r="DR16" s="100"/>
      <c r="DS16" s="100"/>
      <c r="DT16" s="100"/>
      <c r="DU16" s="100"/>
      <c r="DV16" s="100"/>
      <c r="DW16" s="100"/>
      <c r="DX16" s="100"/>
      <c r="DY16" s="100"/>
      <c r="DZ16" s="100"/>
      <c r="EA16" s="100"/>
      <c r="EB16" s="100"/>
      <c r="EC16" s="100"/>
      <c r="ED16" s="100"/>
      <c r="EE16" s="100"/>
      <c r="EF16" s="100"/>
      <c r="EG16" s="100"/>
      <c r="EH16" s="100"/>
      <c r="EI16" s="100"/>
      <c r="EJ16" s="100"/>
      <c r="EK16" s="100"/>
      <c r="EL16" s="100"/>
      <c r="EM16" s="100"/>
      <c r="EN16" s="100"/>
      <c r="EO16" s="100"/>
      <c r="EP16" s="100"/>
      <c r="EQ16" s="100"/>
      <c r="ER16" s="100"/>
      <c r="ES16" s="100"/>
      <c r="ET16" s="100"/>
      <c r="EU16" s="100"/>
      <c r="EV16" s="100"/>
      <c r="EW16" s="100"/>
      <c r="EX16" s="100"/>
      <c r="EY16" s="100"/>
      <c r="EZ16" s="100"/>
      <c r="FA16" s="100"/>
      <c r="FB16" s="100"/>
      <c r="FC16" s="100"/>
      <c r="FD16" s="100"/>
      <c r="FE16" s="100"/>
      <c r="FF16" s="100"/>
      <c r="FG16" s="100"/>
      <c r="FH16" s="100"/>
      <c r="FI16" s="100"/>
      <c r="FJ16" s="100"/>
      <c r="FK16" s="100"/>
      <c r="FL16" s="100"/>
      <c r="FM16" s="100"/>
      <c r="FN16" s="100"/>
      <c r="FO16" s="100"/>
      <c r="FP16" s="100"/>
      <c r="FQ16" s="100"/>
      <c r="FR16" s="100"/>
      <c r="FS16" s="100"/>
      <c r="FT16" s="100"/>
      <c r="FU16" s="100"/>
      <c r="FV16" s="100"/>
      <c r="FW16" s="100"/>
      <c r="FX16" s="100"/>
      <c r="FY16" s="100"/>
      <c r="FZ16" s="100"/>
      <c r="GA16" s="100"/>
      <c r="GB16" s="100"/>
      <c r="GC16" s="100"/>
      <c r="GD16" s="100"/>
      <c r="GE16" s="100"/>
      <c r="GF16" s="100"/>
      <c r="GG16" s="100"/>
      <c r="GH16" s="100"/>
      <c r="GI16" s="100"/>
      <c r="GJ16" s="100"/>
      <c r="GK16" s="100"/>
      <c r="GL16" s="100"/>
      <c r="GM16" s="100"/>
      <c r="GN16" s="100"/>
      <c r="GO16" s="100"/>
      <c r="GP16" s="100"/>
      <c r="GQ16" s="100"/>
      <c r="GR16" s="100"/>
      <c r="GS16" s="100"/>
      <c r="GT16" s="100"/>
      <c r="GU16" s="100"/>
      <c r="GV16" s="100"/>
      <c r="GW16" s="100"/>
      <c r="GX16" s="100"/>
      <c r="GY16" s="100"/>
      <c r="GZ16" s="100"/>
      <c r="HA16" s="100"/>
      <c r="HB16" s="100"/>
      <c r="HC16" s="100"/>
      <c r="HD16" s="100"/>
      <c r="HE16" s="100"/>
      <c r="HF16" s="100"/>
      <c r="HG16" s="100"/>
      <c r="HH16" s="100"/>
      <c r="HI16" s="100"/>
      <c r="HJ16" s="100"/>
      <c r="HK16" s="100"/>
      <c r="HL16" s="100"/>
      <c r="HM16" s="100"/>
      <c r="HN16" s="100"/>
      <c r="HO16" s="100"/>
      <c r="HP16" s="100"/>
      <c r="HQ16" s="100"/>
      <c r="HR16" s="100"/>
      <c r="HS16" s="100"/>
      <c r="HT16" s="100"/>
      <c r="HU16" s="100"/>
      <c r="HV16" s="100"/>
      <c r="HW16" s="100"/>
      <c r="HX16" s="100"/>
      <c r="HY16" s="100"/>
      <c r="HZ16" s="100"/>
      <c r="IA16" s="100"/>
      <c r="IB16" s="100"/>
      <c r="IC16" s="100"/>
      <c r="ID16" s="100"/>
      <c r="IE16" s="100"/>
      <c r="IF16" s="100"/>
      <c r="IG16" s="100"/>
      <c r="IH16" s="100"/>
      <c r="II16" s="100"/>
      <c r="IJ16" s="100"/>
      <c r="IK16" s="100"/>
      <c r="IL16" s="100"/>
      <c r="IM16" s="100"/>
      <c r="IN16" s="100"/>
      <c r="IO16" s="100"/>
      <c r="IP16" s="100"/>
      <c r="IQ16" s="100"/>
      <c r="IR16" s="100"/>
      <c r="IS16" s="100"/>
      <c r="IT16" s="100"/>
      <c r="IU16" s="100"/>
      <c r="IV16" s="100"/>
      <c r="IW16" s="100"/>
      <c r="IX16" s="100"/>
      <c r="IY16" s="100"/>
      <c r="IZ16" s="100"/>
      <c r="JA16" s="100"/>
      <c r="JB16" s="100"/>
      <c r="JC16" s="100"/>
      <c r="JD16" s="100"/>
      <c r="JE16" s="100"/>
      <c r="JF16" s="100"/>
      <c r="JG16" s="100"/>
      <c r="JH16" s="100"/>
      <c r="JI16" s="100"/>
      <c r="JJ16" s="100"/>
      <c r="JK16" s="100"/>
      <c r="JL16" s="100"/>
      <c r="JM16" s="100"/>
      <c r="JN16" s="100"/>
      <c r="JO16" s="100"/>
      <c r="JP16" s="100"/>
      <c r="JQ16" s="100"/>
      <c r="JR16" s="100"/>
      <c r="JS16" s="100"/>
      <c r="JT16" s="100"/>
      <c r="JU16" s="100"/>
      <c r="JV16" s="100"/>
      <c r="JW16" s="100"/>
      <c r="JX16" s="100"/>
      <c r="JY16" s="100"/>
      <c r="JZ16" s="100"/>
      <c r="KA16" s="100"/>
      <c r="KB16" s="100"/>
      <c r="KC16" s="100"/>
      <c r="KD16" s="100"/>
      <c r="KE16" s="100"/>
      <c r="KF16" s="100"/>
      <c r="KG16" s="100"/>
      <c r="KH16" s="100"/>
      <c r="KI16" s="100"/>
      <c r="KJ16" s="100"/>
    </row>
    <row r="17" spans="1:296" s="39" customFormat="1" x14ac:dyDescent="0.3">
      <c r="A17" s="127"/>
      <c r="B17" s="129" t="str">
        <f>+M70</f>
        <v>ENVIOS</v>
      </c>
      <c r="C17" s="67">
        <f>M71</f>
        <v>3</v>
      </c>
      <c r="D17" s="127">
        <v>1</v>
      </c>
      <c r="E17" s="5">
        <f t="shared" si="0"/>
        <v>-3</v>
      </c>
      <c r="F17" s="22"/>
      <c r="G17" s="5"/>
      <c r="H17"/>
      <c r="I17" s="28"/>
      <c r="K17" s="70"/>
      <c r="L17" s="75"/>
      <c r="M17" s="127"/>
      <c r="N17" s="77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  <c r="DC17" s="100"/>
      <c r="DD17" s="100"/>
      <c r="DE17" s="100"/>
      <c r="DF17" s="100"/>
      <c r="DG17" s="100"/>
      <c r="DH17" s="100"/>
      <c r="DI17" s="100"/>
      <c r="DJ17" s="100"/>
      <c r="DK17" s="100"/>
      <c r="DL17" s="100"/>
      <c r="DM17" s="100"/>
      <c r="DN17" s="100"/>
      <c r="DO17" s="100"/>
      <c r="DP17" s="100"/>
      <c r="DQ17" s="100"/>
      <c r="DR17" s="100"/>
      <c r="DS17" s="100"/>
      <c r="DT17" s="100"/>
      <c r="DU17" s="100"/>
      <c r="DV17" s="100"/>
      <c r="DW17" s="100"/>
      <c r="DX17" s="100"/>
      <c r="DY17" s="100"/>
      <c r="DZ17" s="100"/>
      <c r="EA17" s="100"/>
      <c r="EB17" s="100"/>
      <c r="EC17" s="100"/>
      <c r="ED17" s="100"/>
      <c r="EE17" s="100"/>
      <c r="EF17" s="100"/>
      <c r="EG17" s="100"/>
      <c r="EH17" s="100"/>
      <c r="EI17" s="100"/>
      <c r="EJ17" s="100"/>
      <c r="EK17" s="100"/>
      <c r="EL17" s="100"/>
      <c r="EM17" s="100"/>
      <c r="EN17" s="100"/>
      <c r="EO17" s="100"/>
      <c r="EP17" s="100"/>
      <c r="EQ17" s="100"/>
      <c r="ER17" s="100"/>
      <c r="ES17" s="100"/>
      <c r="ET17" s="100"/>
      <c r="EU17" s="100"/>
      <c r="EV17" s="100"/>
      <c r="EW17" s="100"/>
      <c r="EX17" s="100"/>
      <c r="EY17" s="100"/>
      <c r="EZ17" s="100"/>
      <c r="FA17" s="100"/>
      <c r="FB17" s="100"/>
      <c r="FC17" s="100"/>
      <c r="FD17" s="100"/>
      <c r="FE17" s="100"/>
      <c r="FF17" s="100"/>
      <c r="FG17" s="100"/>
      <c r="FH17" s="100"/>
      <c r="FI17" s="100"/>
      <c r="FJ17" s="100"/>
      <c r="FK17" s="100"/>
      <c r="FL17" s="100"/>
      <c r="FM17" s="100"/>
      <c r="FN17" s="100"/>
      <c r="FO17" s="100"/>
      <c r="FP17" s="100"/>
      <c r="FQ17" s="100"/>
      <c r="FR17" s="100"/>
      <c r="FS17" s="100"/>
      <c r="FT17" s="100"/>
      <c r="FU17" s="100"/>
      <c r="FV17" s="100"/>
      <c r="FW17" s="100"/>
      <c r="FX17" s="100"/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0"/>
      <c r="GV17" s="100"/>
      <c r="GW17" s="100"/>
      <c r="GX17" s="100"/>
      <c r="GY17" s="100"/>
      <c r="GZ17" s="100"/>
      <c r="HA17" s="100"/>
      <c r="HB17" s="100"/>
      <c r="HC17" s="100"/>
      <c r="HD17" s="100"/>
      <c r="HE17" s="100"/>
      <c r="HF17" s="100"/>
      <c r="HG17" s="100"/>
      <c r="HH17" s="100"/>
      <c r="HI17" s="100"/>
      <c r="HJ17" s="100"/>
      <c r="HK17" s="100"/>
      <c r="HL17" s="100"/>
      <c r="HM17" s="100"/>
      <c r="HN17" s="100"/>
      <c r="HO17" s="100"/>
      <c r="HP17" s="100"/>
      <c r="HQ17" s="100"/>
      <c r="HR17" s="100"/>
      <c r="HS17" s="100"/>
      <c r="HT17" s="100"/>
      <c r="HU17" s="100"/>
      <c r="HV17" s="100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0"/>
      <c r="II17" s="100"/>
      <c r="IJ17" s="100"/>
      <c r="IK17" s="100"/>
      <c r="IL17" s="100"/>
      <c r="IM17" s="100"/>
      <c r="IN17" s="100"/>
      <c r="IO17" s="100"/>
      <c r="IP17" s="100"/>
      <c r="IQ17" s="100"/>
      <c r="IR17" s="100"/>
      <c r="IS17" s="100"/>
      <c r="IT17" s="100"/>
      <c r="IU17" s="100"/>
      <c r="IV17" s="100"/>
      <c r="IW17" s="100"/>
      <c r="IX17" s="100"/>
      <c r="IY17" s="100"/>
      <c r="IZ17" s="100"/>
      <c r="JA17" s="100"/>
      <c r="JB17" s="100"/>
      <c r="JC17" s="100"/>
      <c r="JD17" s="100"/>
      <c r="JE17" s="100"/>
      <c r="JF17" s="100"/>
      <c r="JG17" s="100"/>
      <c r="JH17" s="100"/>
      <c r="JI17" s="100"/>
      <c r="JJ17" s="100"/>
      <c r="JK17" s="100"/>
      <c r="JL17" s="100"/>
      <c r="JM17" s="100"/>
      <c r="JN17" s="100"/>
      <c r="JO17" s="100"/>
      <c r="JP17" s="100"/>
      <c r="JQ17" s="100"/>
      <c r="JR17" s="100"/>
      <c r="JS17" s="100"/>
      <c r="JT17" s="100"/>
      <c r="JU17" s="100"/>
      <c r="JV17" s="100"/>
      <c r="JW17" s="100"/>
      <c r="JX17" s="100"/>
      <c r="JY17" s="100"/>
      <c r="JZ17" s="100"/>
      <c r="KA17" s="100"/>
      <c r="KB17" s="100"/>
      <c r="KC17" s="100"/>
      <c r="KD17" s="100"/>
      <c r="KE17" s="100"/>
      <c r="KF17" s="100"/>
      <c r="KG17" s="100"/>
      <c r="KH17" s="100"/>
      <c r="KI17" s="100"/>
      <c r="KJ17" s="100"/>
    </row>
    <row r="18" spans="1:296" s="5" customFormat="1" x14ac:dyDescent="0.3">
      <c r="A18" s="71" t="str">
        <f>IF('[1]PRODUCTO NACIONAL'!A76&lt;&gt;"",'[1]PRODUCTO NACIONAL'!A76,"")</f>
        <v>M73</v>
      </c>
      <c r="B18" s="71" t="str">
        <f>IF('[1]PRODUCTO NACIONAL'!F76&lt;&gt;"",'[1]PRODUCTO NACIONAL'!F76,"")</f>
        <v>CINTA REFLECTIVA DE 3cm de anchox1m</v>
      </c>
      <c r="C18" s="67">
        <f>N71</f>
        <v>0</v>
      </c>
      <c r="D18" s="107">
        <f>VLOOKUP(A18,'[1]PRODUCTO NACIONAL'!$A$4:$R$161,18,FALSE)</f>
        <v>1.3999945</v>
      </c>
      <c r="E18" s="5">
        <f t="shared" si="0"/>
        <v>0</v>
      </c>
      <c r="F18" s="22"/>
      <c r="H18"/>
      <c r="I18" s="28"/>
      <c r="J18" s="39"/>
      <c r="K18" s="70"/>
      <c r="L18" s="75"/>
      <c r="M18" s="127"/>
      <c r="N18" s="77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  <c r="DM18" s="116"/>
      <c r="DN18" s="116"/>
      <c r="DO18" s="116"/>
      <c r="DP18" s="116"/>
      <c r="DQ18" s="116"/>
      <c r="DR18" s="116"/>
      <c r="DS18" s="116"/>
      <c r="DT18" s="116"/>
      <c r="DU18" s="116"/>
      <c r="DV18" s="116"/>
      <c r="DW18" s="116"/>
      <c r="DX18" s="116"/>
      <c r="DY18" s="116"/>
      <c r="DZ18" s="116"/>
      <c r="EA18" s="116"/>
      <c r="EB18" s="116"/>
      <c r="EC18" s="116"/>
      <c r="ED18" s="116"/>
      <c r="EE18" s="116"/>
      <c r="EF18" s="116"/>
      <c r="EG18" s="116"/>
      <c r="EH18" s="116"/>
      <c r="EI18" s="116"/>
      <c r="EJ18" s="116"/>
      <c r="EK18" s="116"/>
      <c r="EL18" s="116"/>
      <c r="EM18" s="116"/>
      <c r="EN18" s="116"/>
      <c r="EO18" s="116"/>
      <c r="EP18" s="116"/>
      <c r="EQ18" s="116"/>
      <c r="ER18" s="116"/>
      <c r="ES18" s="116"/>
      <c r="ET18" s="116"/>
      <c r="EU18" s="116"/>
      <c r="EV18" s="116"/>
      <c r="EW18" s="116"/>
      <c r="EX18" s="116"/>
      <c r="EY18" s="116"/>
      <c r="EZ18" s="116"/>
      <c r="FA18" s="116"/>
      <c r="FB18" s="116"/>
      <c r="FC18" s="116"/>
      <c r="FD18" s="116"/>
      <c r="FE18" s="116"/>
      <c r="FF18" s="116"/>
      <c r="FG18" s="116"/>
      <c r="FH18" s="116"/>
      <c r="FI18" s="116"/>
      <c r="FJ18" s="116"/>
      <c r="FK18" s="116"/>
      <c r="FL18" s="116"/>
      <c r="FM18" s="116"/>
      <c r="FN18" s="116"/>
      <c r="FO18" s="116"/>
      <c r="FP18" s="116"/>
      <c r="FQ18" s="116"/>
      <c r="FR18" s="116"/>
      <c r="FS18" s="116"/>
      <c r="FT18" s="116"/>
      <c r="FU18" s="116"/>
      <c r="FV18" s="116"/>
      <c r="FW18" s="116"/>
      <c r="FX18" s="116"/>
      <c r="FY18" s="116"/>
      <c r="FZ18" s="116"/>
      <c r="GA18" s="116"/>
      <c r="GB18" s="116"/>
      <c r="GC18" s="116"/>
      <c r="GD18" s="116"/>
      <c r="GE18" s="116"/>
      <c r="GF18" s="116"/>
      <c r="GG18" s="116"/>
      <c r="GH18" s="116"/>
      <c r="GI18" s="116"/>
      <c r="GJ18" s="116"/>
      <c r="GK18" s="116"/>
      <c r="GL18" s="116"/>
      <c r="GM18" s="116"/>
      <c r="GN18" s="116"/>
      <c r="GO18" s="116"/>
      <c r="GP18" s="116"/>
      <c r="GQ18" s="116"/>
      <c r="GR18" s="116"/>
      <c r="GS18" s="116"/>
      <c r="GT18" s="116"/>
      <c r="GU18" s="116"/>
      <c r="GV18" s="116"/>
      <c r="GW18" s="116"/>
      <c r="GX18" s="116"/>
      <c r="GY18" s="116"/>
      <c r="GZ18" s="116"/>
      <c r="HA18" s="116"/>
      <c r="HB18" s="116"/>
      <c r="HC18" s="116"/>
      <c r="HD18" s="116"/>
      <c r="HE18" s="116"/>
      <c r="HF18" s="116"/>
      <c r="HG18" s="116"/>
      <c r="HH18" s="116"/>
      <c r="HI18" s="116"/>
      <c r="HJ18" s="116"/>
      <c r="HK18" s="116"/>
      <c r="HL18" s="116"/>
      <c r="HM18" s="116"/>
      <c r="HN18" s="116"/>
      <c r="HO18" s="116"/>
      <c r="HP18" s="116"/>
      <c r="HQ18" s="116"/>
      <c r="HR18" s="116"/>
      <c r="HS18" s="116"/>
      <c r="HT18" s="116"/>
      <c r="HU18" s="116"/>
      <c r="HV18" s="116"/>
      <c r="HW18" s="116"/>
      <c r="HX18" s="116"/>
      <c r="HY18" s="116"/>
      <c r="HZ18" s="116"/>
      <c r="IA18" s="116"/>
      <c r="IB18" s="116"/>
      <c r="IC18" s="116"/>
      <c r="ID18" s="116"/>
      <c r="IE18" s="116"/>
      <c r="IF18" s="116"/>
      <c r="IG18" s="116"/>
      <c r="IH18" s="116"/>
      <c r="II18" s="116"/>
      <c r="IJ18" s="116"/>
      <c r="IK18" s="116"/>
      <c r="IL18" s="116"/>
      <c r="IM18" s="116"/>
      <c r="IN18" s="116"/>
      <c r="IO18" s="116"/>
      <c r="IP18" s="116"/>
      <c r="IQ18" s="116"/>
      <c r="IR18" s="116"/>
      <c r="IS18" s="116"/>
      <c r="IT18" s="116"/>
      <c r="IU18" s="116"/>
      <c r="IV18" s="116"/>
      <c r="IW18" s="116"/>
      <c r="IX18" s="116"/>
      <c r="IY18" s="116"/>
      <c r="IZ18" s="116"/>
      <c r="JA18" s="116"/>
      <c r="JB18" s="116"/>
      <c r="JC18" s="116"/>
      <c r="JD18" s="116"/>
      <c r="JE18" s="116"/>
      <c r="JF18" s="116"/>
      <c r="JG18" s="116"/>
      <c r="JH18" s="116"/>
      <c r="JI18" s="116"/>
      <c r="JJ18" s="116"/>
      <c r="JK18" s="116"/>
      <c r="JL18" s="116"/>
      <c r="JM18" s="116"/>
      <c r="JN18" s="116"/>
      <c r="JO18" s="116"/>
      <c r="JP18" s="116"/>
      <c r="JQ18" s="116"/>
      <c r="JR18" s="116"/>
      <c r="JS18" s="116"/>
      <c r="JT18" s="116"/>
      <c r="JU18" s="116"/>
      <c r="JV18" s="116"/>
      <c r="JW18" s="116"/>
      <c r="JX18" s="116"/>
      <c r="JY18" s="116"/>
      <c r="JZ18" s="116"/>
      <c r="KA18" s="116"/>
      <c r="KB18" s="116"/>
      <c r="KC18" s="116"/>
      <c r="KD18" s="116"/>
      <c r="KE18" s="116"/>
      <c r="KF18" s="116"/>
      <c r="KG18" s="116"/>
      <c r="KH18" s="116"/>
      <c r="KI18" s="116"/>
      <c r="KJ18" s="116"/>
    </row>
    <row r="19" spans="1:296" s="5" customFormat="1" x14ac:dyDescent="0.3">
      <c r="A19" s="71" t="str">
        <f>IF('[1]PRODUCTO NACIONAL'!A28&lt;&gt;"",'[1]PRODUCTO NACIONAL'!A28,"")</f>
        <v>M25</v>
      </c>
      <c r="B19" s="72" t="str">
        <f>VLOOKUP(A19,'[1]PRODUCTO NACIONAL'!$A$4:$R$161,6,FALSE)</f>
        <v>ALGODÓN ARUBA PEI AZUL MARINO| COLORES| BLANCO</v>
      </c>
      <c r="C19" s="73">
        <f>IFERROR(HLOOKUP(A19,[2]dimensiones_pdfs!$C$3:$Z$5,3,FALSE),0)</f>
        <v>0</v>
      </c>
      <c r="D19" s="107">
        <f>VLOOKUP(A19,'[1]PRODUCTO NACIONAL'!$A$4:$R$161,18,FALSE)</f>
        <v>4.8341953441295544</v>
      </c>
      <c r="E19" s="5">
        <f t="shared" si="0"/>
        <v>0</v>
      </c>
      <c r="F19" s="22"/>
      <c r="H19"/>
      <c r="I19" s="28"/>
      <c r="J19" s="39"/>
      <c r="K19" s="70"/>
      <c r="L19" s="75"/>
      <c r="M19" s="127"/>
      <c r="N19" s="77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  <c r="DA19" s="116"/>
      <c r="DB19" s="116"/>
      <c r="DC19" s="116"/>
      <c r="DD19" s="116"/>
      <c r="DE19" s="116"/>
      <c r="DF19" s="116"/>
      <c r="DG19" s="116"/>
      <c r="DH19" s="116"/>
      <c r="DI19" s="116"/>
      <c r="DJ19" s="116"/>
      <c r="DK19" s="116"/>
      <c r="DL19" s="116"/>
      <c r="DM19" s="116"/>
      <c r="DN19" s="116"/>
      <c r="DO19" s="116"/>
      <c r="DP19" s="116"/>
      <c r="DQ19" s="116"/>
      <c r="DR19" s="116"/>
      <c r="DS19" s="116"/>
      <c r="DT19" s="116"/>
      <c r="DU19" s="116"/>
      <c r="DV19" s="116"/>
      <c r="DW19" s="116"/>
      <c r="DX19" s="116"/>
      <c r="DY19" s="116"/>
      <c r="DZ19" s="116"/>
      <c r="EA19" s="116"/>
      <c r="EB19" s="116"/>
      <c r="EC19" s="116"/>
      <c r="ED19" s="116"/>
      <c r="EE19" s="116"/>
      <c r="EF19" s="116"/>
      <c r="EG19" s="116"/>
      <c r="EH19" s="116"/>
      <c r="EI19" s="116"/>
      <c r="EJ19" s="116"/>
      <c r="EK19" s="116"/>
      <c r="EL19" s="116"/>
      <c r="EM19" s="116"/>
      <c r="EN19" s="116"/>
      <c r="EO19" s="116"/>
      <c r="EP19" s="116"/>
      <c r="EQ19" s="116"/>
      <c r="ER19" s="116"/>
      <c r="ES19" s="116"/>
      <c r="ET19" s="116"/>
      <c r="EU19" s="116"/>
      <c r="EV19" s="116"/>
      <c r="EW19" s="116"/>
      <c r="EX19" s="116"/>
      <c r="EY19" s="116"/>
      <c r="EZ19" s="116"/>
      <c r="FA19" s="116"/>
      <c r="FB19" s="116"/>
      <c r="FC19" s="116"/>
      <c r="FD19" s="116"/>
      <c r="FE19" s="116"/>
      <c r="FF19" s="116"/>
      <c r="FG19" s="116"/>
      <c r="FH19" s="116"/>
      <c r="FI19" s="116"/>
      <c r="FJ19" s="116"/>
      <c r="FK19" s="116"/>
      <c r="FL19" s="116"/>
      <c r="FM19" s="116"/>
      <c r="FN19" s="116"/>
      <c r="FO19" s="116"/>
      <c r="FP19" s="116"/>
      <c r="FQ19" s="116"/>
      <c r="FR19" s="116"/>
      <c r="FS19" s="116"/>
      <c r="FT19" s="116"/>
      <c r="FU19" s="116"/>
      <c r="FV19" s="116"/>
      <c r="FW19" s="116"/>
      <c r="FX19" s="116"/>
      <c r="FY19" s="116"/>
      <c r="FZ19" s="116"/>
      <c r="GA19" s="116"/>
      <c r="GB19" s="116"/>
      <c r="GC19" s="116"/>
      <c r="GD19" s="116"/>
      <c r="GE19" s="116"/>
      <c r="GF19" s="116"/>
      <c r="GG19" s="116"/>
      <c r="GH19" s="116"/>
      <c r="GI19" s="116"/>
      <c r="GJ19" s="116"/>
      <c r="GK19" s="116"/>
      <c r="GL19" s="116"/>
      <c r="GM19" s="116"/>
      <c r="GN19" s="116"/>
      <c r="GO19" s="116"/>
      <c r="GP19" s="116"/>
      <c r="GQ19" s="116"/>
      <c r="GR19" s="116"/>
      <c r="GS19" s="116"/>
      <c r="GT19" s="116"/>
      <c r="GU19" s="116"/>
      <c r="GV19" s="116"/>
      <c r="GW19" s="116"/>
      <c r="GX19" s="116"/>
      <c r="GY19" s="116"/>
      <c r="GZ19" s="116"/>
      <c r="HA19" s="116"/>
      <c r="HB19" s="116"/>
      <c r="HC19" s="116"/>
      <c r="HD19" s="116"/>
      <c r="HE19" s="116"/>
      <c r="HF19" s="116"/>
      <c r="HG19" s="116"/>
      <c r="HH19" s="116"/>
      <c r="HI19" s="116"/>
      <c r="HJ19" s="116"/>
      <c r="HK19" s="116"/>
      <c r="HL19" s="116"/>
      <c r="HM19" s="116"/>
      <c r="HN19" s="116"/>
      <c r="HO19" s="116"/>
      <c r="HP19" s="116"/>
      <c r="HQ19" s="116"/>
      <c r="HR19" s="116"/>
      <c r="HS19" s="116"/>
      <c r="HT19" s="116"/>
      <c r="HU19" s="116"/>
      <c r="HV19" s="116"/>
      <c r="HW19" s="116"/>
      <c r="HX19" s="116"/>
      <c r="HY19" s="116"/>
      <c r="HZ19" s="116"/>
      <c r="IA19" s="116"/>
      <c r="IB19" s="116"/>
      <c r="IC19" s="116"/>
      <c r="ID19" s="116"/>
      <c r="IE19" s="116"/>
      <c r="IF19" s="116"/>
      <c r="IG19" s="116"/>
      <c r="IH19" s="116"/>
      <c r="II19" s="116"/>
      <c r="IJ19" s="116"/>
      <c r="IK19" s="116"/>
      <c r="IL19" s="116"/>
      <c r="IM19" s="116"/>
      <c r="IN19" s="116"/>
      <c r="IO19" s="116"/>
      <c r="IP19" s="116"/>
      <c r="IQ19" s="116"/>
      <c r="IR19" s="116"/>
      <c r="IS19" s="116"/>
      <c r="IT19" s="116"/>
      <c r="IU19" s="116"/>
      <c r="IV19" s="116"/>
      <c r="IW19" s="116"/>
      <c r="IX19" s="116"/>
      <c r="IY19" s="116"/>
      <c r="IZ19" s="116"/>
      <c r="JA19" s="116"/>
      <c r="JB19" s="116"/>
      <c r="JC19" s="116"/>
      <c r="JD19" s="116"/>
      <c r="JE19" s="116"/>
      <c r="JF19" s="116"/>
      <c r="JG19" s="116"/>
      <c r="JH19" s="116"/>
      <c r="JI19" s="116"/>
      <c r="JJ19" s="116"/>
      <c r="JK19" s="116"/>
      <c r="JL19" s="116"/>
      <c r="JM19" s="116"/>
      <c r="JN19" s="116"/>
      <c r="JO19" s="116"/>
      <c r="JP19" s="116"/>
      <c r="JQ19" s="116"/>
      <c r="JR19" s="116"/>
      <c r="JS19" s="116"/>
      <c r="JT19" s="116"/>
      <c r="JU19" s="116"/>
      <c r="JV19" s="116"/>
      <c r="JW19" s="116"/>
      <c r="JX19" s="116"/>
      <c r="JY19" s="116"/>
      <c r="JZ19" s="116"/>
      <c r="KA19" s="116"/>
      <c r="KB19" s="116"/>
      <c r="KC19" s="116"/>
      <c r="KD19" s="116"/>
      <c r="KE19" s="116"/>
      <c r="KF19" s="116"/>
      <c r="KG19" s="116"/>
      <c r="KH19" s="116"/>
      <c r="KI19" s="116"/>
      <c r="KJ19" s="116"/>
    </row>
    <row r="20" spans="1:296" s="5" customFormat="1" x14ac:dyDescent="0.3">
      <c r="A20" s="71" t="s">
        <v>104</v>
      </c>
      <c r="B20" s="72" t="str">
        <f>VLOOKUP(A20,'[1]PRODUCTO NACIONAL'!$A$4:$R$161,6,FALSE)</f>
        <v>INTERLOCK 40 SPUN 1.2 BLANCO FROZEN</v>
      </c>
      <c r="C20" s="73">
        <f>IFERROR(HLOOKUP(A20,[2]dimensiones_pdfs!$C$3:$Z$5,3,FALSE),0)</f>
        <v>0</v>
      </c>
      <c r="D20" s="107">
        <f>VLOOKUP(A20,'[1]PRODUCTO NACIONAL'!$A$4:$R$161,18,FALSE)</f>
        <v>4.2071436915887848</v>
      </c>
      <c r="E20" s="5">
        <f t="shared" si="0"/>
        <v>0</v>
      </c>
      <c r="F20" s="22"/>
      <c r="H20"/>
      <c r="I20" s="28"/>
      <c r="J20" s="39"/>
      <c r="K20" s="70"/>
      <c r="L20" s="75"/>
      <c r="M20" s="127"/>
      <c r="N20" s="77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6"/>
      <c r="DU20" s="116"/>
      <c r="DV20" s="116"/>
      <c r="DW20" s="116"/>
      <c r="DX20" s="116"/>
      <c r="DY20" s="116"/>
      <c r="DZ20" s="116"/>
      <c r="EA20" s="116"/>
      <c r="EB20" s="116"/>
      <c r="EC20" s="116"/>
      <c r="ED20" s="116"/>
      <c r="EE20" s="116"/>
      <c r="EF20" s="116"/>
      <c r="EG20" s="116"/>
      <c r="EH20" s="116"/>
      <c r="EI20" s="116"/>
      <c r="EJ20" s="116"/>
      <c r="EK20" s="116"/>
      <c r="EL20" s="116"/>
      <c r="EM20" s="116"/>
      <c r="EN20" s="116"/>
      <c r="EO20" s="116"/>
      <c r="EP20" s="116"/>
      <c r="EQ20" s="116"/>
      <c r="ER20" s="116"/>
      <c r="ES20" s="116"/>
      <c r="ET20" s="116"/>
      <c r="EU20" s="116"/>
      <c r="EV20" s="116"/>
      <c r="EW20" s="116"/>
      <c r="EX20" s="116"/>
      <c r="EY20" s="116"/>
      <c r="EZ20" s="116"/>
      <c r="FA20" s="116"/>
      <c r="FB20" s="116"/>
      <c r="FC20" s="116"/>
      <c r="FD20" s="116"/>
      <c r="FE20" s="116"/>
      <c r="FF20" s="116"/>
      <c r="FG20" s="116"/>
      <c r="FH20" s="116"/>
      <c r="FI20" s="116"/>
      <c r="FJ20" s="116"/>
      <c r="FK20" s="116"/>
      <c r="FL20" s="116"/>
      <c r="FM20" s="116"/>
      <c r="FN20" s="116"/>
      <c r="FO20" s="116"/>
      <c r="FP20" s="116"/>
      <c r="FQ20" s="116"/>
      <c r="FR20" s="116"/>
      <c r="FS20" s="116"/>
      <c r="FT20" s="116"/>
      <c r="FU20" s="116"/>
      <c r="FV20" s="116"/>
      <c r="FW20" s="116"/>
      <c r="FX20" s="116"/>
      <c r="FY20" s="116"/>
      <c r="FZ20" s="116"/>
      <c r="GA20" s="116"/>
      <c r="GB20" s="116"/>
      <c r="GC20" s="116"/>
      <c r="GD20" s="116"/>
      <c r="GE20" s="116"/>
      <c r="GF20" s="116"/>
      <c r="GG20" s="116"/>
      <c r="GH20" s="116"/>
      <c r="GI20" s="116"/>
      <c r="GJ20" s="116"/>
      <c r="GK20" s="116"/>
      <c r="GL20" s="116"/>
      <c r="GM20" s="116"/>
      <c r="GN20" s="116"/>
      <c r="GO20" s="116"/>
      <c r="GP20" s="116"/>
      <c r="GQ20" s="116"/>
      <c r="GR20" s="116"/>
      <c r="GS20" s="116"/>
      <c r="GT20" s="116"/>
      <c r="GU20" s="116"/>
      <c r="GV20" s="116"/>
      <c r="GW20" s="116"/>
      <c r="GX20" s="116"/>
      <c r="GY20" s="116"/>
      <c r="GZ20" s="116"/>
      <c r="HA20" s="116"/>
      <c r="HB20" s="116"/>
      <c r="HC20" s="116"/>
      <c r="HD20" s="116"/>
      <c r="HE20" s="116"/>
      <c r="HF20" s="116"/>
      <c r="HG20" s="116"/>
      <c r="HH20" s="116"/>
      <c r="HI20" s="116"/>
      <c r="HJ20" s="116"/>
      <c r="HK20" s="116"/>
      <c r="HL20" s="116"/>
      <c r="HM20" s="116"/>
      <c r="HN20" s="116"/>
      <c r="HO20" s="116"/>
      <c r="HP20" s="116"/>
      <c r="HQ20" s="116"/>
      <c r="HR20" s="116"/>
      <c r="HS20" s="116"/>
      <c r="HT20" s="116"/>
      <c r="HU20" s="116"/>
      <c r="HV20" s="116"/>
      <c r="HW20" s="116"/>
      <c r="HX20" s="116"/>
      <c r="HY20" s="116"/>
      <c r="HZ20" s="116"/>
      <c r="IA20" s="116"/>
      <c r="IB20" s="116"/>
      <c r="IC20" s="116"/>
      <c r="ID20" s="116"/>
      <c r="IE20" s="116"/>
      <c r="IF20" s="116"/>
      <c r="IG20" s="116"/>
      <c r="IH20" s="116"/>
      <c r="II20" s="116"/>
      <c r="IJ20" s="116"/>
      <c r="IK20" s="116"/>
      <c r="IL20" s="116"/>
      <c r="IM20" s="116"/>
      <c r="IN20" s="116"/>
      <c r="IO20" s="116"/>
      <c r="IP20" s="116"/>
      <c r="IQ20" s="116"/>
      <c r="IR20" s="116"/>
      <c r="IS20" s="116"/>
      <c r="IT20" s="116"/>
      <c r="IU20" s="116"/>
      <c r="IV20" s="116"/>
      <c r="IW20" s="116"/>
      <c r="IX20" s="116"/>
      <c r="IY20" s="116"/>
      <c r="IZ20" s="116"/>
      <c r="JA20" s="116"/>
      <c r="JB20" s="116"/>
      <c r="JC20" s="116"/>
      <c r="JD20" s="116"/>
      <c r="JE20" s="116"/>
      <c r="JF20" s="116"/>
      <c r="JG20" s="116"/>
      <c r="JH20" s="116"/>
      <c r="JI20" s="116"/>
      <c r="JJ20" s="116"/>
      <c r="JK20" s="116"/>
      <c r="JL20" s="116"/>
      <c r="JM20" s="116"/>
      <c r="JN20" s="116"/>
      <c r="JO20" s="116"/>
      <c r="JP20" s="116"/>
      <c r="JQ20" s="116"/>
      <c r="JR20" s="116"/>
      <c r="JS20" s="116"/>
      <c r="JT20" s="116"/>
      <c r="JU20" s="116"/>
      <c r="JV20" s="116"/>
      <c r="JW20" s="116"/>
      <c r="JX20" s="116"/>
      <c r="JY20" s="116"/>
      <c r="JZ20" s="116"/>
      <c r="KA20" s="116"/>
      <c r="KB20" s="116"/>
      <c r="KC20" s="116"/>
      <c r="KD20" s="116"/>
      <c r="KE20" s="116"/>
      <c r="KF20" s="116"/>
      <c r="KG20" s="116"/>
      <c r="KH20" s="116"/>
      <c r="KI20" s="116"/>
      <c r="KJ20" s="116"/>
    </row>
    <row r="21" spans="1:296" s="5" customFormat="1" x14ac:dyDescent="0.3">
      <c r="A21" s="71" t="str">
        <f>IF('[1]PRODUCTO NACIONAL'!A61&lt;&gt;"",'[1]PRODUCTO NACIONAL'!A61,"")</f>
        <v>M58</v>
      </c>
      <c r="B21" s="72" t="str">
        <f>VLOOKUP(A21,'[1]PRODUCTO NACIONAL'!$A$4:$R$161,6,FALSE)</f>
        <v>PIKE LACOAST 20 PEI CELESTE| CLARO</v>
      </c>
      <c r="C21" s="73">
        <f>IFERROR(HLOOKUP(A21,[2]dimensiones_pdfs!$C$3:$Z$5,3,FALSE),0)</f>
        <v>0</v>
      </c>
      <c r="D21" s="107">
        <f>VLOOKUP(A21,'[1]PRODUCTO NACIONAL'!$A$4:$R$161,18,FALSE)</f>
        <v>4.9711999999999987</v>
      </c>
      <c r="E21" s="5">
        <f t="shared" si="0"/>
        <v>0</v>
      </c>
      <c r="F21" s="22"/>
      <c r="H21"/>
      <c r="I21" s="28"/>
      <c r="J21" s="39"/>
      <c r="K21" s="70"/>
      <c r="L21" s="75"/>
      <c r="M21" s="127"/>
      <c r="N21" s="77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  <c r="DM21" s="116"/>
      <c r="DN21" s="116"/>
      <c r="DO21" s="116"/>
      <c r="DP21" s="116"/>
      <c r="DQ21" s="116"/>
      <c r="DR21" s="116"/>
      <c r="DS21" s="116"/>
      <c r="DT21" s="116"/>
      <c r="DU21" s="116"/>
      <c r="DV21" s="116"/>
      <c r="DW21" s="116"/>
      <c r="DX21" s="116"/>
      <c r="DY21" s="116"/>
      <c r="DZ21" s="116"/>
      <c r="EA21" s="116"/>
      <c r="EB21" s="116"/>
      <c r="EC21" s="116"/>
      <c r="ED21" s="116"/>
      <c r="EE21" s="116"/>
      <c r="EF21" s="116"/>
      <c r="EG21" s="116"/>
      <c r="EH21" s="116"/>
      <c r="EI21" s="116"/>
      <c r="EJ21" s="116"/>
      <c r="EK21" s="116"/>
      <c r="EL21" s="116"/>
      <c r="EM21" s="116"/>
      <c r="EN21" s="116"/>
      <c r="EO21" s="116"/>
      <c r="EP21" s="116"/>
      <c r="EQ21" s="116"/>
      <c r="ER21" s="116"/>
      <c r="ES21" s="116"/>
      <c r="ET21" s="116"/>
      <c r="EU21" s="116"/>
      <c r="EV21" s="116"/>
      <c r="EW21" s="116"/>
      <c r="EX21" s="116"/>
      <c r="EY21" s="116"/>
      <c r="EZ21" s="116"/>
      <c r="FA21" s="116"/>
      <c r="FB21" s="116"/>
      <c r="FC21" s="116"/>
      <c r="FD21" s="116"/>
      <c r="FE21" s="116"/>
      <c r="FF21" s="116"/>
      <c r="FG21" s="116"/>
      <c r="FH21" s="116"/>
      <c r="FI21" s="116"/>
      <c r="FJ21" s="116"/>
      <c r="FK21" s="116"/>
      <c r="FL21" s="116"/>
      <c r="FM21" s="116"/>
      <c r="FN21" s="116"/>
      <c r="FO21" s="116"/>
      <c r="FP21" s="116"/>
      <c r="FQ21" s="116"/>
      <c r="FR21" s="116"/>
      <c r="FS21" s="116"/>
      <c r="FT21" s="116"/>
      <c r="FU21" s="116"/>
      <c r="FV21" s="116"/>
      <c r="FW21" s="116"/>
      <c r="FX21" s="116"/>
      <c r="FY21" s="116"/>
      <c r="FZ21" s="116"/>
      <c r="GA21" s="116"/>
      <c r="GB21" s="116"/>
      <c r="GC21" s="116"/>
      <c r="GD21" s="116"/>
      <c r="GE21" s="116"/>
      <c r="GF21" s="116"/>
      <c r="GG21" s="116"/>
      <c r="GH21" s="116"/>
      <c r="GI21" s="116"/>
      <c r="GJ21" s="116"/>
      <c r="GK21" s="116"/>
      <c r="GL21" s="116"/>
      <c r="GM21" s="116"/>
      <c r="GN21" s="116"/>
      <c r="GO21" s="116"/>
      <c r="GP21" s="116"/>
      <c r="GQ21" s="116"/>
      <c r="GR21" s="116"/>
      <c r="GS21" s="116"/>
      <c r="GT21" s="116"/>
      <c r="GU21" s="116"/>
      <c r="GV21" s="116"/>
      <c r="GW21" s="116"/>
      <c r="GX21" s="116"/>
      <c r="GY21" s="116"/>
      <c r="GZ21" s="116"/>
      <c r="HA21" s="116"/>
      <c r="HB21" s="116"/>
      <c r="HC21" s="116"/>
      <c r="HD21" s="116"/>
      <c r="HE21" s="116"/>
      <c r="HF21" s="116"/>
      <c r="HG21" s="116"/>
      <c r="HH21" s="116"/>
      <c r="HI21" s="116"/>
      <c r="HJ21" s="116"/>
      <c r="HK21" s="116"/>
      <c r="HL21" s="116"/>
      <c r="HM21" s="116"/>
      <c r="HN21" s="116"/>
      <c r="HO21" s="116"/>
      <c r="HP21" s="116"/>
      <c r="HQ21" s="116"/>
      <c r="HR21" s="116"/>
      <c r="HS21" s="116"/>
      <c r="HT21" s="116"/>
      <c r="HU21" s="116"/>
      <c r="HV21" s="116"/>
      <c r="HW21" s="116"/>
      <c r="HX21" s="116"/>
      <c r="HY21" s="116"/>
      <c r="HZ21" s="116"/>
      <c r="IA21" s="116"/>
      <c r="IB21" s="116"/>
      <c r="IC21" s="116"/>
      <c r="ID21" s="116"/>
      <c r="IE21" s="116"/>
      <c r="IF21" s="116"/>
      <c r="IG21" s="116"/>
      <c r="IH21" s="116"/>
      <c r="II21" s="116"/>
      <c r="IJ21" s="116"/>
      <c r="IK21" s="116"/>
      <c r="IL21" s="116"/>
      <c r="IM21" s="116"/>
      <c r="IN21" s="116"/>
      <c r="IO21" s="116"/>
      <c r="IP21" s="116"/>
      <c r="IQ21" s="116"/>
      <c r="IR21" s="116"/>
      <c r="IS21" s="116"/>
      <c r="IT21" s="116"/>
      <c r="IU21" s="116"/>
      <c r="IV21" s="116"/>
      <c r="IW21" s="116"/>
      <c r="IX21" s="116"/>
      <c r="IY21" s="116"/>
      <c r="IZ21" s="116"/>
      <c r="JA21" s="116"/>
      <c r="JB21" s="116"/>
      <c r="JC21" s="116"/>
      <c r="JD21" s="116"/>
      <c r="JE21" s="116"/>
      <c r="JF21" s="116"/>
      <c r="JG21" s="116"/>
      <c r="JH21" s="116"/>
      <c r="JI21" s="116"/>
      <c r="JJ21" s="116"/>
      <c r="JK21" s="116"/>
      <c r="JL21" s="116"/>
      <c r="JM21" s="116"/>
      <c r="JN21" s="116"/>
      <c r="JO21" s="116"/>
      <c r="JP21" s="116"/>
      <c r="JQ21" s="116"/>
      <c r="JR21" s="116"/>
      <c r="JS21" s="116"/>
      <c r="JT21" s="116"/>
      <c r="JU21" s="116"/>
      <c r="JV21" s="116"/>
      <c r="JW21" s="116"/>
      <c r="JX21" s="116"/>
      <c r="JY21" s="116"/>
      <c r="JZ21" s="116"/>
      <c r="KA21" s="116"/>
      <c r="KB21" s="116"/>
      <c r="KC21" s="116"/>
      <c r="KD21" s="116"/>
      <c r="KE21" s="116"/>
      <c r="KF21" s="116"/>
      <c r="KG21" s="116"/>
      <c r="KH21" s="116"/>
      <c r="KI21" s="116"/>
      <c r="KJ21" s="116"/>
    </row>
    <row r="22" spans="1:296" s="5" customFormat="1" x14ac:dyDescent="0.3">
      <c r="A22" s="71" t="str">
        <f>IF('[1]PRODUCTO NACIONAL'!A62&lt;&gt;"",'[1]PRODUCTO NACIONAL'!A62,"")</f>
        <v>M59</v>
      </c>
      <c r="B22" s="72" t="str">
        <f>VLOOKUP(A22,'[1]PRODUCTO NACIONAL'!$A$4:$R$161,6,FALSE)</f>
        <v>PIKE LACOAST 20 PEI AZUL MARINO| OSCURO</v>
      </c>
      <c r="C22" s="73">
        <f>IFERROR(HLOOKUP(A22,[2]dimensiones_pdfs!$C$3:$Z$5,3,FALSE),0)</f>
        <v>0</v>
      </c>
      <c r="D22" s="107">
        <f>VLOOKUP(A22,'[1]PRODUCTO NACIONAL'!$A$4:$R$161,18,FALSE)</f>
        <v>5.5618400000000001</v>
      </c>
      <c r="E22" s="5">
        <f t="shared" si="0"/>
        <v>0</v>
      </c>
      <c r="F22" s="7"/>
      <c r="H22"/>
      <c r="I22" s="28"/>
      <c r="J22" s="39"/>
      <c r="K22" s="70"/>
      <c r="L22" s="75"/>
      <c r="M22" s="127"/>
      <c r="N22" s="77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  <c r="DT22" s="116"/>
      <c r="DU22" s="116"/>
      <c r="DV22" s="116"/>
      <c r="DW22" s="116"/>
      <c r="DX22" s="116"/>
      <c r="DY22" s="116"/>
      <c r="DZ22" s="116"/>
      <c r="EA22" s="116"/>
      <c r="EB22" s="116"/>
      <c r="EC22" s="116"/>
      <c r="ED22" s="116"/>
      <c r="EE22" s="116"/>
      <c r="EF22" s="116"/>
      <c r="EG22" s="116"/>
      <c r="EH22" s="116"/>
      <c r="EI22" s="116"/>
      <c r="EJ22" s="116"/>
      <c r="EK22" s="116"/>
      <c r="EL22" s="116"/>
      <c r="EM22" s="116"/>
      <c r="EN22" s="116"/>
      <c r="EO22" s="116"/>
      <c r="EP22" s="116"/>
      <c r="EQ22" s="116"/>
      <c r="ER22" s="116"/>
      <c r="ES22" s="116"/>
      <c r="ET22" s="116"/>
      <c r="EU22" s="116"/>
      <c r="EV22" s="116"/>
      <c r="EW22" s="116"/>
      <c r="EX22" s="116"/>
      <c r="EY22" s="116"/>
      <c r="EZ22" s="116"/>
      <c r="FA22" s="116"/>
      <c r="FB22" s="116"/>
      <c r="FC22" s="116"/>
      <c r="FD22" s="116"/>
      <c r="FE22" s="116"/>
      <c r="FF22" s="116"/>
      <c r="FG22" s="116"/>
      <c r="FH22" s="116"/>
      <c r="FI22" s="116"/>
      <c r="FJ22" s="116"/>
      <c r="FK22" s="116"/>
      <c r="FL22" s="116"/>
      <c r="FM22" s="116"/>
      <c r="FN22" s="116"/>
      <c r="FO22" s="116"/>
      <c r="FP22" s="116"/>
      <c r="FQ22" s="116"/>
      <c r="FR22" s="116"/>
      <c r="FS22" s="116"/>
      <c r="FT22" s="116"/>
      <c r="FU22" s="116"/>
      <c r="FV22" s="116"/>
      <c r="FW22" s="116"/>
      <c r="FX22" s="116"/>
      <c r="FY22" s="116"/>
      <c r="FZ22" s="116"/>
      <c r="GA22" s="116"/>
      <c r="GB22" s="116"/>
      <c r="GC22" s="116"/>
      <c r="GD22" s="116"/>
      <c r="GE22" s="116"/>
      <c r="GF22" s="116"/>
      <c r="GG22" s="116"/>
      <c r="GH22" s="116"/>
      <c r="GI22" s="116"/>
      <c r="GJ22" s="116"/>
      <c r="GK22" s="116"/>
      <c r="GL22" s="116"/>
      <c r="GM22" s="116"/>
      <c r="GN22" s="116"/>
      <c r="GO22" s="116"/>
      <c r="GP22" s="116"/>
      <c r="GQ22" s="116"/>
      <c r="GR22" s="116"/>
      <c r="GS22" s="116"/>
      <c r="GT22" s="116"/>
      <c r="GU22" s="116"/>
      <c r="GV22" s="116"/>
      <c r="GW22" s="116"/>
      <c r="GX22" s="116"/>
      <c r="GY22" s="116"/>
      <c r="GZ22" s="116"/>
      <c r="HA22" s="116"/>
      <c r="HB22" s="116"/>
      <c r="HC22" s="116"/>
      <c r="HD22" s="116"/>
      <c r="HE22" s="116"/>
      <c r="HF22" s="116"/>
      <c r="HG22" s="116"/>
      <c r="HH22" s="116"/>
      <c r="HI22" s="116"/>
      <c r="HJ22" s="116"/>
      <c r="HK22" s="116"/>
      <c r="HL22" s="116"/>
      <c r="HM22" s="116"/>
      <c r="HN22" s="116"/>
      <c r="HO22" s="116"/>
      <c r="HP22" s="116"/>
      <c r="HQ22" s="116"/>
      <c r="HR22" s="116"/>
      <c r="HS22" s="116"/>
      <c r="HT22" s="116"/>
      <c r="HU22" s="116"/>
      <c r="HV22" s="116"/>
      <c r="HW22" s="116"/>
      <c r="HX22" s="116"/>
      <c r="HY22" s="116"/>
      <c r="HZ22" s="116"/>
      <c r="IA22" s="116"/>
      <c r="IB22" s="116"/>
      <c r="IC22" s="116"/>
      <c r="ID22" s="116"/>
      <c r="IE22" s="116"/>
      <c r="IF22" s="116"/>
      <c r="IG22" s="116"/>
      <c r="IH22" s="116"/>
      <c r="II22" s="116"/>
      <c r="IJ22" s="116"/>
      <c r="IK22" s="116"/>
      <c r="IL22" s="116"/>
      <c r="IM22" s="116"/>
      <c r="IN22" s="116"/>
      <c r="IO22" s="116"/>
      <c r="IP22" s="116"/>
      <c r="IQ22" s="116"/>
      <c r="IR22" s="116"/>
      <c r="IS22" s="116"/>
      <c r="IT22" s="116"/>
      <c r="IU22" s="116"/>
      <c r="IV22" s="116"/>
      <c r="IW22" s="116"/>
      <c r="IX22" s="116"/>
      <c r="IY22" s="116"/>
      <c r="IZ22" s="116"/>
      <c r="JA22" s="116"/>
      <c r="JB22" s="116"/>
      <c r="JC22" s="116"/>
      <c r="JD22" s="116"/>
      <c r="JE22" s="116"/>
      <c r="JF22" s="116"/>
      <c r="JG22" s="116"/>
      <c r="JH22" s="116"/>
      <c r="JI22" s="116"/>
      <c r="JJ22" s="116"/>
      <c r="JK22" s="116"/>
      <c r="JL22" s="116"/>
      <c r="JM22" s="116"/>
      <c r="JN22" s="116"/>
      <c r="JO22" s="116"/>
      <c r="JP22" s="116"/>
      <c r="JQ22" s="116"/>
      <c r="JR22" s="116"/>
      <c r="JS22" s="116"/>
      <c r="JT22" s="116"/>
      <c r="JU22" s="116"/>
      <c r="JV22" s="116"/>
      <c r="JW22" s="116"/>
      <c r="JX22" s="116"/>
      <c r="JY22" s="116"/>
      <c r="JZ22" s="116"/>
      <c r="KA22" s="116"/>
      <c r="KB22" s="116"/>
      <c r="KC22" s="116"/>
      <c r="KD22" s="116"/>
      <c r="KE22" s="116"/>
      <c r="KF22" s="116"/>
      <c r="KG22" s="116"/>
      <c r="KH22" s="116"/>
      <c r="KI22" s="116"/>
      <c r="KJ22" s="116"/>
    </row>
    <row r="23" spans="1:296" s="5" customFormat="1" x14ac:dyDescent="0.3">
      <c r="A23" s="71" t="str">
        <f>IF('[1]PRODUCTO NACIONAL'!A21&lt;&gt;"",'[1]PRODUCTO NACIONAL'!A21,"")</f>
        <v>M18</v>
      </c>
      <c r="B23" s="72" t="str">
        <f>VLOOKUP(A23,'[1]PRODUCTO NACIONAL'!$A$4:$R$161,6,FALSE)</f>
        <v>RIBB 150TEX COLORES| POLIESTER</v>
      </c>
      <c r="C23" s="73">
        <f>IFERROR(HLOOKUP(A23,[2]dimensiones_pdfs!$C$3:$Z$5,3,FALSE),0)</f>
        <v>0</v>
      </c>
      <c r="D23" s="107">
        <f>VLOOKUP(A23,'[1]PRODUCTO NACIONAL'!$A$4:$R$161,18,FALSE)</f>
        <v>2.1063822222222219</v>
      </c>
      <c r="E23" s="5">
        <f t="shared" si="0"/>
        <v>0</v>
      </c>
      <c r="F23" s="22"/>
      <c r="G23" s="15"/>
      <c r="H23"/>
      <c r="I23" s="28"/>
      <c r="J23" s="39"/>
      <c r="K23" s="70"/>
      <c r="L23" s="75"/>
      <c r="M23" s="127"/>
      <c r="N23" s="77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  <c r="CF23" s="116"/>
      <c r="CG23" s="116"/>
      <c r="CH23" s="116"/>
      <c r="CI23" s="116"/>
      <c r="CJ23" s="116"/>
      <c r="CK23" s="116"/>
      <c r="CL23" s="116"/>
      <c r="CM23" s="116"/>
      <c r="CN23" s="116"/>
      <c r="CO23" s="116"/>
      <c r="CP23" s="116"/>
      <c r="CQ23" s="116"/>
      <c r="CR23" s="116"/>
      <c r="CS23" s="116"/>
      <c r="CT23" s="116"/>
      <c r="CU23" s="116"/>
      <c r="CV23" s="116"/>
      <c r="CW23" s="116"/>
      <c r="CX23" s="116"/>
      <c r="CY23" s="116"/>
      <c r="CZ23" s="116"/>
      <c r="DA23" s="116"/>
      <c r="DB23" s="116"/>
      <c r="DC23" s="116"/>
      <c r="DD23" s="116"/>
      <c r="DE23" s="116"/>
      <c r="DF23" s="116"/>
      <c r="DG23" s="116"/>
      <c r="DH23" s="116"/>
      <c r="DI23" s="116"/>
      <c r="DJ23" s="116"/>
      <c r="DK23" s="116"/>
      <c r="DL23" s="116"/>
      <c r="DM23" s="116"/>
      <c r="DN23" s="116"/>
      <c r="DO23" s="116"/>
      <c r="DP23" s="116"/>
      <c r="DQ23" s="116"/>
      <c r="DR23" s="116"/>
      <c r="DS23" s="116"/>
      <c r="DT23" s="116"/>
      <c r="DU23" s="116"/>
      <c r="DV23" s="116"/>
      <c r="DW23" s="116"/>
      <c r="DX23" s="116"/>
      <c r="DY23" s="116"/>
      <c r="DZ23" s="116"/>
      <c r="EA23" s="116"/>
      <c r="EB23" s="116"/>
      <c r="EC23" s="116"/>
      <c r="ED23" s="116"/>
      <c r="EE23" s="116"/>
      <c r="EF23" s="116"/>
      <c r="EG23" s="116"/>
      <c r="EH23" s="116"/>
      <c r="EI23" s="116"/>
      <c r="EJ23" s="116"/>
      <c r="EK23" s="116"/>
      <c r="EL23" s="116"/>
      <c r="EM23" s="116"/>
      <c r="EN23" s="116"/>
      <c r="EO23" s="116"/>
      <c r="EP23" s="116"/>
      <c r="EQ23" s="116"/>
      <c r="ER23" s="116"/>
      <c r="ES23" s="116"/>
      <c r="ET23" s="116"/>
      <c r="EU23" s="116"/>
      <c r="EV23" s="116"/>
      <c r="EW23" s="116"/>
      <c r="EX23" s="116"/>
      <c r="EY23" s="116"/>
      <c r="EZ23" s="116"/>
      <c r="FA23" s="116"/>
      <c r="FB23" s="116"/>
      <c r="FC23" s="116"/>
      <c r="FD23" s="116"/>
      <c r="FE23" s="116"/>
      <c r="FF23" s="116"/>
      <c r="FG23" s="116"/>
      <c r="FH23" s="116"/>
      <c r="FI23" s="116"/>
      <c r="FJ23" s="116"/>
      <c r="FK23" s="116"/>
      <c r="FL23" s="116"/>
      <c r="FM23" s="116"/>
      <c r="FN23" s="116"/>
      <c r="FO23" s="116"/>
      <c r="FP23" s="116"/>
      <c r="FQ23" s="116"/>
      <c r="FR23" s="116"/>
      <c r="FS23" s="116"/>
      <c r="FT23" s="116"/>
      <c r="FU23" s="116"/>
      <c r="FV23" s="116"/>
      <c r="FW23" s="116"/>
      <c r="FX23" s="116"/>
      <c r="FY23" s="116"/>
      <c r="FZ23" s="116"/>
      <c r="GA23" s="116"/>
      <c r="GB23" s="116"/>
      <c r="GC23" s="116"/>
      <c r="GD23" s="116"/>
      <c r="GE23" s="116"/>
      <c r="GF23" s="116"/>
      <c r="GG23" s="116"/>
      <c r="GH23" s="116"/>
      <c r="GI23" s="116"/>
      <c r="GJ23" s="116"/>
      <c r="GK23" s="116"/>
      <c r="GL23" s="116"/>
      <c r="GM23" s="116"/>
      <c r="GN23" s="116"/>
      <c r="GO23" s="116"/>
      <c r="GP23" s="116"/>
      <c r="GQ23" s="116"/>
      <c r="GR23" s="116"/>
      <c r="GS23" s="116"/>
      <c r="GT23" s="116"/>
      <c r="GU23" s="116"/>
      <c r="GV23" s="116"/>
      <c r="GW23" s="116"/>
      <c r="GX23" s="116"/>
      <c r="GY23" s="116"/>
      <c r="GZ23" s="116"/>
      <c r="HA23" s="116"/>
      <c r="HB23" s="116"/>
      <c r="HC23" s="116"/>
      <c r="HD23" s="116"/>
      <c r="HE23" s="116"/>
      <c r="HF23" s="116"/>
      <c r="HG23" s="116"/>
      <c r="HH23" s="116"/>
      <c r="HI23" s="116"/>
      <c r="HJ23" s="116"/>
      <c r="HK23" s="116"/>
      <c r="HL23" s="116"/>
      <c r="HM23" s="116"/>
      <c r="HN23" s="116"/>
      <c r="HO23" s="116"/>
      <c r="HP23" s="116"/>
      <c r="HQ23" s="116"/>
      <c r="HR23" s="116"/>
      <c r="HS23" s="116"/>
      <c r="HT23" s="116"/>
      <c r="HU23" s="116"/>
      <c r="HV23" s="116"/>
      <c r="HW23" s="116"/>
      <c r="HX23" s="116"/>
      <c r="HY23" s="116"/>
      <c r="HZ23" s="116"/>
      <c r="IA23" s="116"/>
      <c r="IB23" s="116"/>
      <c r="IC23" s="116"/>
      <c r="ID23" s="116"/>
      <c r="IE23" s="116"/>
      <c r="IF23" s="116"/>
      <c r="IG23" s="116"/>
      <c r="IH23" s="116"/>
      <c r="II23" s="116"/>
      <c r="IJ23" s="116"/>
      <c r="IK23" s="116"/>
      <c r="IL23" s="116"/>
      <c r="IM23" s="116"/>
      <c r="IN23" s="116"/>
      <c r="IO23" s="116"/>
      <c r="IP23" s="116"/>
      <c r="IQ23" s="116"/>
      <c r="IR23" s="116"/>
      <c r="IS23" s="116"/>
      <c r="IT23" s="116"/>
      <c r="IU23" s="116"/>
      <c r="IV23" s="116"/>
      <c r="IW23" s="116"/>
      <c r="IX23" s="116"/>
      <c r="IY23" s="116"/>
      <c r="IZ23" s="116"/>
      <c r="JA23" s="116"/>
      <c r="JB23" s="116"/>
      <c r="JC23" s="116"/>
      <c r="JD23" s="116"/>
      <c r="JE23" s="116"/>
      <c r="JF23" s="116"/>
      <c r="JG23" s="116"/>
      <c r="JH23" s="116"/>
      <c r="JI23" s="116"/>
      <c r="JJ23" s="116"/>
      <c r="JK23" s="116"/>
      <c r="JL23" s="116"/>
      <c r="JM23" s="116"/>
      <c r="JN23" s="116"/>
      <c r="JO23" s="116"/>
      <c r="JP23" s="116"/>
      <c r="JQ23" s="116"/>
      <c r="JR23" s="116"/>
      <c r="JS23" s="116"/>
      <c r="JT23" s="116"/>
      <c r="JU23" s="116"/>
      <c r="JV23" s="116"/>
      <c r="JW23" s="116"/>
      <c r="JX23" s="116"/>
      <c r="JY23" s="116"/>
      <c r="JZ23" s="116"/>
      <c r="KA23" s="116"/>
      <c r="KB23" s="116"/>
      <c r="KC23" s="116"/>
      <c r="KD23" s="116"/>
      <c r="KE23" s="116"/>
      <c r="KF23" s="116"/>
      <c r="KG23" s="116"/>
      <c r="KH23" s="116"/>
      <c r="KI23" s="116"/>
      <c r="KJ23" s="116"/>
    </row>
    <row r="24" spans="1:296" s="5" customFormat="1" x14ac:dyDescent="0.3">
      <c r="A24" s="71" t="str">
        <f>IF('[1]PRODUCTO NACIONAL'!A78&lt;&gt;"",'[1]PRODUCTO NACIONAL'!A78,"")</f>
        <v>M75</v>
      </c>
      <c r="B24" s="72" t="str">
        <f>VLOOKUP(A24,'[1]PRODUCTO NACIONAL'!$A$4:$R$161,6,FALSE)</f>
        <v>Ribb Lugano 100% POLIESTER</v>
      </c>
      <c r="C24" s="73">
        <f>IFERROR(HLOOKUP(A24,[2]dimensiones_pdfs!$C$3:$Z$5,3,FALSE),0)</f>
        <v>0</v>
      </c>
      <c r="D24" s="107">
        <f>VLOOKUP(A24,'[1]PRODUCTO NACIONAL'!$A$4:$R$161,18,FALSE)</f>
        <v>4.5377999999999989</v>
      </c>
      <c r="E24" s="5">
        <f t="shared" si="0"/>
        <v>0</v>
      </c>
      <c r="F24" s="22"/>
      <c r="H24"/>
      <c r="I24" s="28"/>
      <c r="J24" s="39"/>
      <c r="K24" s="70"/>
      <c r="L24" s="75"/>
      <c r="M24" s="127"/>
      <c r="N24" s="77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  <c r="CF24" s="116"/>
      <c r="CG24" s="116"/>
      <c r="CH24" s="116"/>
      <c r="CI24" s="116"/>
      <c r="CJ24" s="116"/>
      <c r="CK24" s="116"/>
      <c r="CL24" s="11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  <c r="CY24" s="116"/>
      <c r="CZ24" s="116"/>
      <c r="DA24" s="116"/>
      <c r="DB24" s="116"/>
      <c r="DC24" s="116"/>
      <c r="DD24" s="116"/>
      <c r="DE24" s="116"/>
      <c r="DF24" s="116"/>
      <c r="DG24" s="116"/>
      <c r="DH24" s="116"/>
      <c r="DI24" s="116"/>
      <c r="DJ24" s="116"/>
      <c r="DK24" s="116"/>
      <c r="DL24" s="116"/>
      <c r="DM24" s="116"/>
      <c r="DN24" s="116"/>
      <c r="DO24" s="116"/>
      <c r="DP24" s="116"/>
      <c r="DQ24" s="116"/>
      <c r="DR24" s="116"/>
      <c r="DS24" s="116"/>
      <c r="DT24" s="116"/>
      <c r="DU24" s="116"/>
      <c r="DV24" s="116"/>
      <c r="DW24" s="116"/>
      <c r="DX24" s="116"/>
      <c r="DY24" s="116"/>
      <c r="DZ24" s="116"/>
      <c r="EA24" s="116"/>
      <c r="EB24" s="116"/>
      <c r="EC24" s="116"/>
      <c r="ED24" s="116"/>
      <c r="EE24" s="116"/>
      <c r="EF24" s="116"/>
      <c r="EG24" s="116"/>
      <c r="EH24" s="116"/>
      <c r="EI24" s="116"/>
      <c r="EJ24" s="116"/>
      <c r="EK24" s="116"/>
      <c r="EL24" s="116"/>
      <c r="EM24" s="116"/>
      <c r="EN24" s="116"/>
      <c r="EO24" s="116"/>
      <c r="EP24" s="116"/>
      <c r="EQ24" s="116"/>
      <c r="ER24" s="116"/>
      <c r="ES24" s="116"/>
      <c r="ET24" s="116"/>
      <c r="EU24" s="116"/>
      <c r="EV24" s="116"/>
      <c r="EW24" s="116"/>
      <c r="EX24" s="116"/>
      <c r="EY24" s="116"/>
      <c r="EZ24" s="116"/>
      <c r="FA24" s="116"/>
      <c r="FB24" s="116"/>
      <c r="FC24" s="116"/>
      <c r="FD24" s="116"/>
      <c r="FE24" s="116"/>
      <c r="FF24" s="116"/>
      <c r="FG24" s="116"/>
      <c r="FH24" s="116"/>
      <c r="FI24" s="116"/>
      <c r="FJ24" s="116"/>
      <c r="FK24" s="116"/>
      <c r="FL24" s="116"/>
      <c r="FM24" s="116"/>
      <c r="FN24" s="116"/>
      <c r="FO24" s="116"/>
      <c r="FP24" s="116"/>
      <c r="FQ24" s="116"/>
      <c r="FR24" s="116"/>
      <c r="FS24" s="116"/>
      <c r="FT24" s="116"/>
      <c r="FU24" s="116"/>
      <c r="FV24" s="116"/>
      <c r="FW24" s="116"/>
      <c r="FX24" s="116"/>
      <c r="FY24" s="116"/>
      <c r="FZ24" s="116"/>
      <c r="GA24" s="116"/>
      <c r="GB24" s="116"/>
      <c r="GC24" s="116"/>
      <c r="GD24" s="116"/>
      <c r="GE24" s="116"/>
      <c r="GF24" s="116"/>
      <c r="GG24" s="116"/>
      <c r="GH24" s="116"/>
      <c r="GI24" s="116"/>
      <c r="GJ24" s="116"/>
      <c r="GK24" s="116"/>
      <c r="GL24" s="116"/>
      <c r="GM24" s="116"/>
      <c r="GN24" s="116"/>
      <c r="GO24" s="116"/>
      <c r="GP24" s="116"/>
      <c r="GQ24" s="116"/>
      <c r="GR24" s="116"/>
      <c r="GS24" s="116"/>
      <c r="GT24" s="116"/>
      <c r="GU24" s="116"/>
      <c r="GV24" s="116"/>
      <c r="GW24" s="116"/>
      <c r="GX24" s="116"/>
      <c r="GY24" s="116"/>
      <c r="GZ24" s="116"/>
      <c r="HA24" s="116"/>
      <c r="HB24" s="116"/>
      <c r="HC24" s="116"/>
      <c r="HD24" s="116"/>
      <c r="HE24" s="116"/>
      <c r="HF24" s="116"/>
      <c r="HG24" s="116"/>
      <c r="HH24" s="116"/>
      <c r="HI24" s="116"/>
      <c r="HJ24" s="116"/>
      <c r="HK24" s="116"/>
      <c r="HL24" s="116"/>
      <c r="HM24" s="116"/>
      <c r="HN24" s="116"/>
      <c r="HO24" s="116"/>
      <c r="HP24" s="116"/>
      <c r="HQ24" s="116"/>
      <c r="HR24" s="116"/>
      <c r="HS24" s="116"/>
      <c r="HT24" s="116"/>
      <c r="HU24" s="116"/>
      <c r="HV24" s="116"/>
      <c r="HW24" s="116"/>
      <c r="HX24" s="116"/>
      <c r="HY24" s="116"/>
      <c r="HZ24" s="116"/>
      <c r="IA24" s="116"/>
      <c r="IB24" s="116"/>
      <c r="IC24" s="116"/>
      <c r="ID24" s="116"/>
      <c r="IE24" s="116"/>
      <c r="IF24" s="116"/>
      <c r="IG24" s="116"/>
      <c r="IH24" s="116"/>
      <c r="II24" s="116"/>
      <c r="IJ24" s="116"/>
      <c r="IK24" s="116"/>
      <c r="IL24" s="116"/>
      <c r="IM24" s="116"/>
      <c r="IN24" s="116"/>
      <c r="IO24" s="116"/>
      <c r="IP24" s="116"/>
      <c r="IQ24" s="116"/>
      <c r="IR24" s="116"/>
      <c r="IS24" s="116"/>
      <c r="IT24" s="116"/>
      <c r="IU24" s="116"/>
      <c r="IV24" s="116"/>
      <c r="IW24" s="116"/>
      <c r="IX24" s="116"/>
      <c r="IY24" s="116"/>
      <c r="IZ24" s="116"/>
      <c r="JA24" s="116"/>
      <c r="JB24" s="116"/>
      <c r="JC24" s="116"/>
      <c r="JD24" s="116"/>
      <c r="JE24" s="116"/>
      <c r="JF24" s="116"/>
      <c r="JG24" s="116"/>
      <c r="JH24" s="116"/>
      <c r="JI24" s="116"/>
      <c r="JJ24" s="116"/>
      <c r="JK24" s="116"/>
      <c r="JL24" s="116"/>
      <c r="JM24" s="116"/>
      <c r="JN24" s="116"/>
      <c r="JO24" s="116"/>
      <c r="JP24" s="116"/>
      <c r="JQ24" s="116"/>
      <c r="JR24" s="116"/>
      <c r="JS24" s="116"/>
      <c r="JT24" s="116"/>
      <c r="JU24" s="116"/>
      <c r="JV24" s="116"/>
      <c r="JW24" s="116"/>
      <c r="JX24" s="116"/>
      <c r="JY24" s="116"/>
      <c r="JZ24" s="116"/>
      <c r="KA24" s="116"/>
      <c r="KB24" s="116"/>
      <c r="KC24" s="116"/>
      <c r="KD24" s="116"/>
      <c r="KE24" s="116"/>
      <c r="KF24" s="116"/>
      <c r="KG24" s="116"/>
      <c r="KH24" s="116"/>
      <c r="KI24" s="116"/>
      <c r="KJ24" s="116"/>
    </row>
    <row r="25" spans="1:296" s="5" customFormat="1" x14ac:dyDescent="0.3">
      <c r="A25" s="71" t="str">
        <f>IF('[1]PRODUCTO NACIONAL'!A30&lt;&gt;"",'[1]PRODUCTO NACIONAL'!A30,"")</f>
        <v>M27</v>
      </c>
      <c r="B25" s="72" t="str">
        <f>VLOOKUP(A25,'[1]PRODUCTO NACIONAL'!$A$4:$R$161,6,FALSE)</f>
        <v>VIOTO PESADA BLANCA|NEGRO|NARANJA FOSFORESCENTE</v>
      </c>
      <c r="C25" s="73">
        <f>IFERROR(HLOOKUP(A25,[2]dimensiones_pdfs!$C$3:$Z$5,3,FALSE),0)</f>
        <v>0</v>
      </c>
      <c r="D25" s="107">
        <f>VLOOKUP(A25,'[1]PRODUCTO NACIONAL'!$A$4:$R$161,18,FALSE)</f>
        <v>1.9499894999999998</v>
      </c>
      <c r="E25" s="5">
        <f t="shared" si="0"/>
        <v>0</v>
      </c>
      <c r="F25" s="22"/>
      <c r="H25" t="s">
        <v>40</v>
      </c>
      <c r="I25" s="28"/>
      <c r="J25" s="39"/>
      <c r="K25" s="70"/>
      <c r="L25" s="75"/>
      <c r="M25" s="127"/>
      <c r="N25" s="77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  <c r="CF25" s="116"/>
      <c r="CG25" s="116"/>
      <c r="CH25" s="116"/>
      <c r="CI25" s="116"/>
      <c r="CJ25" s="116"/>
      <c r="CK25" s="116"/>
      <c r="CL25" s="116"/>
      <c r="CM25" s="116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6"/>
      <c r="DA25" s="116"/>
      <c r="DB25" s="116"/>
      <c r="DC25" s="116"/>
      <c r="DD25" s="116"/>
      <c r="DE25" s="116"/>
      <c r="DF25" s="116"/>
      <c r="DG25" s="116"/>
      <c r="DH25" s="116"/>
      <c r="DI25" s="116"/>
      <c r="DJ25" s="116"/>
      <c r="DK25" s="116"/>
      <c r="DL25" s="116"/>
      <c r="DM25" s="116"/>
      <c r="DN25" s="116"/>
      <c r="DO25" s="116"/>
      <c r="DP25" s="116"/>
      <c r="DQ25" s="116"/>
      <c r="DR25" s="116"/>
      <c r="DS25" s="116"/>
      <c r="DT25" s="116"/>
      <c r="DU25" s="116"/>
      <c r="DV25" s="116"/>
      <c r="DW25" s="116"/>
      <c r="DX25" s="116"/>
      <c r="DY25" s="116"/>
      <c r="DZ25" s="116"/>
      <c r="EA25" s="116"/>
      <c r="EB25" s="116"/>
      <c r="EC25" s="116"/>
      <c r="ED25" s="116"/>
      <c r="EE25" s="116"/>
      <c r="EF25" s="116"/>
      <c r="EG25" s="116"/>
      <c r="EH25" s="116"/>
      <c r="EI25" s="116"/>
      <c r="EJ25" s="116"/>
      <c r="EK25" s="116"/>
      <c r="EL25" s="116"/>
      <c r="EM25" s="116"/>
      <c r="EN25" s="116"/>
      <c r="EO25" s="116"/>
      <c r="EP25" s="116"/>
      <c r="EQ25" s="116"/>
      <c r="ER25" s="116"/>
      <c r="ES25" s="116"/>
      <c r="ET25" s="116"/>
      <c r="EU25" s="116"/>
      <c r="EV25" s="116"/>
      <c r="EW25" s="116"/>
      <c r="EX25" s="116"/>
      <c r="EY25" s="116"/>
      <c r="EZ25" s="116"/>
      <c r="FA25" s="116"/>
      <c r="FB25" s="116"/>
      <c r="FC25" s="116"/>
      <c r="FD25" s="116"/>
      <c r="FE25" s="116"/>
      <c r="FF25" s="116"/>
      <c r="FG25" s="116"/>
      <c r="FH25" s="116"/>
      <c r="FI25" s="116"/>
      <c r="FJ25" s="116"/>
      <c r="FK25" s="116"/>
      <c r="FL25" s="116"/>
      <c r="FM25" s="116"/>
      <c r="FN25" s="116"/>
      <c r="FO25" s="116"/>
      <c r="FP25" s="116"/>
      <c r="FQ25" s="116"/>
      <c r="FR25" s="116"/>
      <c r="FS25" s="116"/>
      <c r="FT25" s="116"/>
      <c r="FU25" s="116"/>
      <c r="FV25" s="116"/>
      <c r="FW25" s="116"/>
      <c r="FX25" s="116"/>
      <c r="FY25" s="116"/>
      <c r="FZ25" s="116"/>
      <c r="GA25" s="116"/>
      <c r="GB25" s="116"/>
      <c r="GC25" s="116"/>
      <c r="GD25" s="116"/>
      <c r="GE25" s="116"/>
      <c r="GF25" s="116"/>
      <c r="GG25" s="116"/>
      <c r="GH25" s="116"/>
      <c r="GI25" s="116"/>
      <c r="GJ25" s="116"/>
      <c r="GK25" s="116"/>
      <c r="GL25" s="116"/>
      <c r="GM25" s="116"/>
      <c r="GN25" s="116"/>
      <c r="GO25" s="116"/>
      <c r="GP25" s="116"/>
      <c r="GQ25" s="116"/>
      <c r="GR25" s="116"/>
      <c r="GS25" s="116"/>
      <c r="GT25" s="116"/>
      <c r="GU25" s="116"/>
      <c r="GV25" s="116"/>
      <c r="GW25" s="116"/>
      <c r="GX25" s="116"/>
      <c r="GY25" s="116"/>
      <c r="GZ25" s="116"/>
      <c r="HA25" s="116"/>
      <c r="HB25" s="116"/>
      <c r="HC25" s="116"/>
      <c r="HD25" s="116"/>
      <c r="HE25" s="116"/>
      <c r="HF25" s="116"/>
      <c r="HG25" s="116"/>
      <c r="HH25" s="116"/>
      <c r="HI25" s="116"/>
      <c r="HJ25" s="116"/>
      <c r="HK25" s="116"/>
      <c r="HL25" s="116"/>
      <c r="HM25" s="116"/>
      <c r="HN25" s="116"/>
      <c r="HO25" s="116"/>
      <c r="HP25" s="116"/>
      <c r="HQ25" s="116"/>
      <c r="HR25" s="116"/>
      <c r="HS25" s="116"/>
      <c r="HT25" s="116"/>
      <c r="HU25" s="116"/>
      <c r="HV25" s="116"/>
      <c r="HW25" s="116"/>
      <c r="HX25" s="116"/>
      <c r="HY25" s="116"/>
      <c r="HZ25" s="116"/>
      <c r="IA25" s="116"/>
      <c r="IB25" s="116"/>
      <c r="IC25" s="116"/>
      <c r="ID25" s="116"/>
      <c r="IE25" s="116"/>
      <c r="IF25" s="116"/>
      <c r="IG25" s="116"/>
      <c r="IH25" s="116"/>
      <c r="II25" s="116"/>
      <c r="IJ25" s="116"/>
      <c r="IK25" s="116"/>
      <c r="IL25" s="116"/>
      <c r="IM25" s="116"/>
      <c r="IN25" s="116"/>
      <c r="IO25" s="116"/>
      <c r="IP25" s="116"/>
      <c r="IQ25" s="116"/>
      <c r="IR25" s="116"/>
      <c r="IS25" s="116"/>
      <c r="IT25" s="116"/>
      <c r="IU25" s="116"/>
      <c r="IV25" s="116"/>
      <c r="IW25" s="116"/>
      <c r="IX25" s="116"/>
      <c r="IY25" s="116"/>
      <c r="IZ25" s="116"/>
      <c r="JA25" s="116"/>
      <c r="JB25" s="116"/>
      <c r="JC25" s="116"/>
      <c r="JD25" s="116"/>
      <c r="JE25" s="116"/>
      <c r="JF25" s="116"/>
      <c r="JG25" s="116"/>
      <c r="JH25" s="116"/>
      <c r="JI25" s="116"/>
      <c r="JJ25" s="116"/>
      <c r="JK25" s="116"/>
      <c r="JL25" s="116"/>
      <c r="JM25" s="116"/>
      <c r="JN25" s="116"/>
      <c r="JO25" s="116"/>
      <c r="JP25" s="116"/>
      <c r="JQ25" s="116"/>
      <c r="JR25" s="116"/>
      <c r="JS25" s="116"/>
      <c r="JT25" s="116"/>
      <c r="JU25" s="116"/>
      <c r="JV25" s="116"/>
      <c r="JW25" s="116"/>
      <c r="JX25" s="116"/>
      <c r="JY25" s="116"/>
      <c r="JZ25" s="116"/>
      <c r="KA25" s="116"/>
      <c r="KB25" s="116"/>
      <c r="KC25" s="116"/>
      <c r="KD25" s="116"/>
      <c r="KE25" s="116"/>
      <c r="KF25" s="116"/>
      <c r="KG25" s="116"/>
      <c r="KH25" s="116"/>
      <c r="KI25" s="116"/>
      <c r="KJ25" s="116"/>
    </row>
    <row r="26" spans="1:296" s="5" customFormat="1" x14ac:dyDescent="0.3">
      <c r="A26" s="71" t="str">
        <f>IF('[1]PRODUCTO NACIONAL'!A22&lt;&gt;"",'[1]PRODUCTO NACIONAL'!A22,"")</f>
        <v>M19</v>
      </c>
      <c r="B26" s="72" t="str">
        <f>VLOOKUP(A26,'[1]PRODUCTO NACIONAL'!$A$4:$R$161,6,FALSE)</f>
        <v>RIVER TEX NEGRO|COLORES</v>
      </c>
      <c r="C26" s="73">
        <f>IFERROR(HLOOKUP(A26,[2]dimensiones_pdfs!$C$3:$Z$5,3,FALSE),0)</f>
        <v>0</v>
      </c>
      <c r="D26" s="107">
        <f>VLOOKUP(A26,'[1]PRODUCTO NACIONAL'!$A$4:$R$161,18,FALSE)</f>
        <v>2.4101473684210521</v>
      </c>
      <c r="E26" s="5">
        <f t="shared" si="0"/>
        <v>0</v>
      </c>
      <c r="F26" s="22"/>
      <c r="H26"/>
      <c r="I26" s="28"/>
      <c r="J26" s="39"/>
      <c r="K26" s="70"/>
      <c r="L26" s="75"/>
      <c r="M26" s="127"/>
      <c r="N26" s="77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  <c r="CF26" s="116"/>
      <c r="CG26" s="116"/>
      <c r="CH26" s="116"/>
      <c r="CI26" s="116"/>
      <c r="CJ26" s="116"/>
      <c r="CK26" s="116"/>
      <c r="CL26" s="116"/>
      <c r="CM26" s="116"/>
      <c r="CN26" s="116"/>
      <c r="CO26" s="116"/>
      <c r="CP26" s="116"/>
      <c r="CQ26" s="116"/>
      <c r="CR26" s="116"/>
      <c r="CS26" s="116"/>
      <c r="CT26" s="116"/>
      <c r="CU26" s="116"/>
      <c r="CV26" s="116"/>
      <c r="CW26" s="116"/>
      <c r="CX26" s="116"/>
      <c r="CY26" s="116"/>
      <c r="CZ26" s="116"/>
      <c r="DA26" s="116"/>
      <c r="DB26" s="116"/>
      <c r="DC26" s="116"/>
      <c r="DD26" s="116"/>
      <c r="DE26" s="116"/>
      <c r="DF26" s="116"/>
      <c r="DG26" s="116"/>
      <c r="DH26" s="116"/>
      <c r="DI26" s="116"/>
      <c r="DJ26" s="116"/>
      <c r="DK26" s="116"/>
      <c r="DL26" s="116"/>
      <c r="DM26" s="116"/>
      <c r="DN26" s="116"/>
      <c r="DO26" s="116"/>
      <c r="DP26" s="116"/>
      <c r="DQ26" s="116"/>
      <c r="DR26" s="116"/>
      <c r="DS26" s="116"/>
      <c r="DT26" s="116"/>
      <c r="DU26" s="116"/>
      <c r="DV26" s="116"/>
      <c r="DW26" s="116"/>
      <c r="DX26" s="116"/>
      <c r="DY26" s="116"/>
      <c r="DZ26" s="116"/>
      <c r="EA26" s="116"/>
      <c r="EB26" s="116"/>
      <c r="EC26" s="116"/>
      <c r="ED26" s="116"/>
      <c r="EE26" s="116"/>
      <c r="EF26" s="116"/>
      <c r="EG26" s="116"/>
      <c r="EH26" s="116"/>
      <c r="EI26" s="116"/>
      <c r="EJ26" s="116"/>
      <c r="EK26" s="116"/>
      <c r="EL26" s="116"/>
      <c r="EM26" s="116"/>
      <c r="EN26" s="116"/>
      <c r="EO26" s="116"/>
      <c r="EP26" s="116"/>
      <c r="EQ26" s="116"/>
      <c r="ER26" s="116"/>
      <c r="ES26" s="116"/>
      <c r="ET26" s="116"/>
      <c r="EU26" s="116"/>
      <c r="EV26" s="116"/>
      <c r="EW26" s="116"/>
      <c r="EX26" s="116"/>
      <c r="EY26" s="116"/>
      <c r="EZ26" s="116"/>
      <c r="FA26" s="116"/>
      <c r="FB26" s="116"/>
      <c r="FC26" s="116"/>
      <c r="FD26" s="116"/>
      <c r="FE26" s="116"/>
      <c r="FF26" s="116"/>
      <c r="FG26" s="116"/>
      <c r="FH26" s="116"/>
      <c r="FI26" s="116"/>
      <c r="FJ26" s="116"/>
      <c r="FK26" s="116"/>
      <c r="FL26" s="116"/>
      <c r="FM26" s="116"/>
      <c r="FN26" s="116"/>
      <c r="FO26" s="116"/>
      <c r="FP26" s="116"/>
      <c r="FQ26" s="116"/>
      <c r="FR26" s="116"/>
      <c r="FS26" s="116"/>
      <c r="FT26" s="116"/>
      <c r="FU26" s="116"/>
      <c r="FV26" s="116"/>
      <c r="FW26" s="116"/>
      <c r="FX26" s="116"/>
      <c r="FY26" s="116"/>
      <c r="FZ26" s="116"/>
      <c r="GA26" s="116"/>
      <c r="GB26" s="116"/>
      <c r="GC26" s="116"/>
      <c r="GD26" s="116"/>
      <c r="GE26" s="116"/>
      <c r="GF26" s="116"/>
      <c r="GG26" s="116"/>
      <c r="GH26" s="116"/>
      <c r="GI26" s="116"/>
      <c r="GJ26" s="116"/>
      <c r="GK26" s="116"/>
      <c r="GL26" s="116"/>
      <c r="GM26" s="116"/>
      <c r="GN26" s="116"/>
      <c r="GO26" s="116"/>
      <c r="GP26" s="116"/>
      <c r="GQ26" s="116"/>
      <c r="GR26" s="116"/>
      <c r="GS26" s="116"/>
      <c r="GT26" s="116"/>
      <c r="GU26" s="116"/>
      <c r="GV26" s="116"/>
      <c r="GW26" s="116"/>
      <c r="GX26" s="116"/>
      <c r="GY26" s="116"/>
      <c r="GZ26" s="116"/>
      <c r="HA26" s="116"/>
      <c r="HB26" s="116"/>
      <c r="HC26" s="116"/>
      <c r="HD26" s="116"/>
      <c r="HE26" s="116"/>
      <c r="HF26" s="116"/>
      <c r="HG26" s="116"/>
      <c r="HH26" s="116"/>
      <c r="HI26" s="116"/>
      <c r="HJ26" s="116"/>
      <c r="HK26" s="116"/>
      <c r="HL26" s="116"/>
      <c r="HM26" s="116"/>
      <c r="HN26" s="116"/>
      <c r="HO26" s="116"/>
      <c r="HP26" s="116"/>
      <c r="HQ26" s="116"/>
      <c r="HR26" s="116"/>
      <c r="HS26" s="116"/>
      <c r="HT26" s="116"/>
      <c r="HU26" s="116"/>
      <c r="HV26" s="116"/>
      <c r="HW26" s="116"/>
      <c r="HX26" s="116"/>
      <c r="HY26" s="116"/>
      <c r="HZ26" s="116"/>
      <c r="IA26" s="116"/>
      <c r="IB26" s="116"/>
      <c r="IC26" s="116"/>
      <c r="ID26" s="116"/>
      <c r="IE26" s="116"/>
      <c r="IF26" s="116"/>
      <c r="IG26" s="116"/>
      <c r="IH26" s="116"/>
      <c r="II26" s="116"/>
      <c r="IJ26" s="116"/>
      <c r="IK26" s="116"/>
      <c r="IL26" s="116"/>
      <c r="IM26" s="116"/>
      <c r="IN26" s="116"/>
      <c r="IO26" s="116"/>
      <c r="IP26" s="116"/>
      <c r="IQ26" s="116"/>
      <c r="IR26" s="116"/>
      <c r="IS26" s="116"/>
      <c r="IT26" s="116"/>
      <c r="IU26" s="116"/>
      <c r="IV26" s="116"/>
      <c r="IW26" s="116"/>
      <c r="IX26" s="116"/>
      <c r="IY26" s="116"/>
      <c r="IZ26" s="116"/>
      <c r="JA26" s="116"/>
      <c r="JB26" s="116"/>
      <c r="JC26" s="116"/>
      <c r="JD26" s="116"/>
      <c r="JE26" s="116"/>
      <c r="JF26" s="116"/>
      <c r="JG26" s="116"/>
      <c r="JH26" s="116"/>
      <c r="JI26" s="116"/>
      <c r="JJ26" s="116"/>
      <c r="JK26" s="116"/>
      <c r="JL26" s="116"/>
      <c r="JM26" s="116"/>
      <c r="JN26" s="116"/>
      <c r="JO26" s="116"/>
      <c r="JP26" s="116"/>
      <c r="JQ26" s="116"/>
      <c r="JR26" s="116"/>
      <c r="JS26" s="116"/>
      <c r="JT26" s="116"/>
      <c r="JU26" s="116"/>
      <c r="JV26" s="116"/>
      <c r="JW26" s="116"/>
      <c r="JX26" s="116"/>
      <c r="JY26" s="116"/>
      <c r="JZ26" s="116"/>
      <c r="KA26" s="116"/>
      <c r="KB26" s="116"/>
      <c r="KC26" s="116"/>
      <c r="KD26" s="116"/>
      <c r="KE26" s="116"/>
      <c r="KF26" s="116"/>
      <c r="KG26" s="116"/>
      <c r="KH26" s="116"/>
      <c r="KI26" s="116"/>
      <c r="KJ26" s="116"/>
    </row>
    <row r="27" spans="1:296" s="5" customFormat="1" x14ac:dyDescent="0.3">
      <c r="A27" s="71" t="str">
        <f>IF('[1]PRODUCTO NACIONAL'!A15&lt;&gt;"",'[1]PRODUCTO NACIONAL'!A15,"")</f>
        <v>M12</v>
      </c>
      <c r="B27" s="72" t="str">
        <f>VLOOKUP(A27,'[1]PRODUCTO NACIONAL'!$A$4:$R$161,6,FALSE)</f>
        <v>LINO JARUBA</v>
      </c>
      <c r="C27" s="73">
        <f>IFERROR(HLOOKUP(A27,[2]dimensiones_pdfs!$C$3:$Z$5,3,FALSE),0)</f>
        <v>0</v>
      </c>
      <c r="D27" s="107">
        <f>VLOOKUP(A27,'[1]PRODUCTO NACIONAL'!$A$4:$R$161,18,FALSE)</f>
        <v>1.8904999999999998</v>
      </c>
      <c r="E27" s="5">
        <f t="shared" si="0"/>
        <v>0</v>
      </c>
      <c r="F27" s="22"/>
      <c r="H27"/>
      <c r="I27" s="28"/>
      <c r="J27" s="39"/>
      <c r="K27" s="70"/>
      <c r="L27" s="75"/>
      <c r="M27" s="127"/>
      <c r="N27" s="77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  <c r="CF27" s="116"/>
      <c r="CG27" s="116"/>
      <c r="CH27" s="116"/>
      <c r="CI27" s="116"/>
      <c r="CJ27" s="116"/>
      <c r="CK27" s="116"/>
      <c r="CL27" s="116"/>
      <c r="CM27" s="116"/>
      <c r="CN27" s="116"/>
      <c r="CO27" s="116"/>
      <c r="CP27" s="116"/>
      <c r="CQ27" s="116"/>
      <c r="CR27" s="116"/>
      <c r="CS27" s="116"/>
      <c r="CT27" s="116"/>
      <c r="CU27" s="116"/>
      <c r="CV27" s="116"/>
      <c r="CW27" s="116"/>
      <c r="CX27" s="116"/>
      <c r="CY27" s="116"/>
      <c r="CZ27" s="116"/>
      <c r="DA27" s="116"/>
      <c r="DB27" s="116"/>
      <c r="DC27" s="116"/>
      <c r="DD27" s="116"/>
      <c r="DE27" s="116"/>
      <c r="DF27" s="116"/>
      <c r="DG27" s="116"/>
      <c r="DH27" s="116"/>
      <c r="DI27" s="116"/>
      <c r="DJ27" s="116"/>
      <c r="DK27" s="116"/>
      <c r="DL27" s="116"/>
      <c r="DM27" s="116"/>
      <c r="DN27" s="116"/>
      <c r="DO27" s="116"/>
      <c r="DP27" s="116"/>
      <c r="DQ27" s="116"/>
      <c r="DR27" s="116"/>
      <c r="DS27" s="116"/>
      <c r="DT27" s="116"/>
      <c r="DU27" s="116"/>
      <c r="DV27" s="116"/>
      <c r="DW27" s="116"/>
      <c r="DX27" s="116"/>
      <c r="DY27" s="116"/>
      <c r="DZ27" s="116"/>
      <c r="EA27" s="116"/>
      <c r="EB27" s="116"/>
      <c r="EC27" s="116"/>
      <c r="ED27" s="116"/>
      <c r="EE27" s="116"/>
      <c r="EF27" s="116"/>
      <c r="EG27" s="116"/>
      <c r="EH27" s="116"/>
      <c r="EI27" s="116"/>
      <c r="EJ27" s="116"/>
      <c r="EK27" s="116"/>
      <c r="EL27" s="116"/>
      <c r="EM27" s="116"/>
      <c r="EN27" s="116"/>
      <c r="EO27" s="116"/>
      <c r="EP27" s="116"/>
      <c r="EQ27" s="116"/>
      <c r="ER27" s="116"/>
      <c r="ES27" s="116"/>
      <c r="ET27" s="116"/>
      <c r="EU27" s="116"/>
      <c r="EV27" s="116"/>
      <c r="EW27" s="116"/>
      <c r="EX27" s="116"/>
      <c r="EY27" s="116"/>
      <c r="EZ27" s="116"/>
      <c r="FA27" s="116"/>
      <c r="FB27" s="116"/>
      <c r="FC27" s="116"/>
      <c r="FD27" s="116"/>
      <c r="FE27" s="116"/>
      <c r="FF27" s="116"/>
      <c r="FG27" s="116"/>
      <c r="FH27" s="116"/>
      <c r="FI27" s="116"/>
      <c r="FJ27" s="116"/>
      <c r="FK27" s="116"/>
      <c r="FL27" s="116"/>
      <c r="FM27" s="116"/>
      <c r="FN27" s="116"/>
      <c r="FO27" s="116"/>
      <c r="FP27" s="116"/>
      <c r="FQ27" s="116"/>
      <c r="FR27" s="116"/>
      <c r="FS27" s="116"/>
      <c r="FT27" s="116"/>
      <c r="FU27" s="116"/>
      <c r="FV27" s="116"/>
      <c r="FW27" s="116"/>
      <c r="FX27" s="116"/>
      <c r="FY27" s="116"/>
      <c r="FZ27" s="116"/>
      <c r="GA27" s="116"/>
      <c r="GB27" s="116"/>
      <c r="GC27" s="116"/>
      <c r="GD27" s="116"/>
      <c r="GE27" s="116"/>
      <c r="GF27" s="116"/>
      <c r="GG27" s="116"/>
      <c r="GH27" s="116"/>
      <c r="GI27" s="116"/>
      <c r="GJ27" s="116"/>
      <c r="GK27" s="116"/>
      <c r="GL27" s="116"/>
      <c r="GM27" s="116"/>
      <c r="GN27" s="116"/>
      <c r="GO27" s="116"/>
      <c r="GP27" s="116"/>
      <c r="GQ27" s="116"/>
      <c r="GR27" s="116"/>
      <c r="GS27" s="116"/>
      <c r="GT27" s="116"/>
      <c r="GU27" s="116"/>
      <c r="GV27" s="116"/>
      <c r="GW27" s="116"/>
      <c r="GX27" s="116"/>
      <c r="GY27" s="116"/>
      <c r="GZ27" s="116"/>
      <c r="HA27" s="116"/>
      <c r="HB27" s="116"/>
      <c r="HC27" s="116"/>
      <c r="HD27" s="116"/>
      <c r="HE27" s="116"/>
      <c r="HF27" s="116"/>
      <c r="HG27" s="116"/>
      <c r="HH27" s="116"/>
      <c r="HI27" s="116"/>
      <c r="HJ27" s="116"/>
      <c r="HK27" s="116"/>
      <c r="HL27" s="116"/>
      <c r="HM27" s="116"/>
      <c r="HN27" s="116"/>
      <c r="HO27" s="116"/>
      <c r="HP27" s="116"/>
      <c r="HQ27" s="116"/>
      <c r="HR27" s="116"/>
      <c r="HS27" s="116"/>
      <c r="HT27" s="116"/>
      <c r="HU27" s="116"/>
      <c r="HV27" s="116"/>
      <c r="HW27" s="116"/>
      <c r="HX27" s="116"/>
      <c r="HY27" s="116"/>
      <c r="HZ27" s="116"/>
      <c r="IA27" s="116"/>
      <c r="IB27" s="116"/>
      <c r="IC27" s="116"/>
      <c r="ID27" s="116"/>
      <c r="IE27" s="116"/>
      <c r="IF27" s="116"/>
      <c r="IG27" s="116"/>
      <c r="IH27" s="116"/>
      <c r="II27" s="116"/>
      <c r="IJ27" s="116"/>
      <c r="IK27" s="116"/>
      <c r="IL27" s="116"/>
      <c r="IM27" s="116"/>
      <c r="IN27" s="116"/>
      <c r="IO27" s="116"/>
      <c r="IP27" s="116"/>
      <c r="IQ27" s="116"/>
      <c r="IR27" s="116"/>
      <c r="IS27" s="116"/>
      <c r="IT27" s="116"/>
      <c r="IU27" s="116"/>
      <c r="IV27" s="116"/>
      <c r="IW27" s="116"/>
      <c r="IX27" s="116"/>
      <c r="IY27" s="116"/>
      <c r="IZ27" s="116"/>
      <c r="JA27" s="116"/>
      <c r="JB27" s="116"/>
      <c r="JC27" s="116"/>
      <c r="JD27" s="116"/>
      <c r="JE27" s="116"/>
      <c r="JF27" s="116"/>
      <c r="JG27" s="116"/>
      <c r="JH27" s="116"/>
      <c r="JI27" s="116"/>
      <c r="JJ27" s="116"/>
      <c r="JK27" s="116"/>
      <c r="JL27" s="116"/>
      <c r="JM27" s="116"/>
      <c r="JN27" s="116"/>
      <c r="JO27" s="116"/>
      <c r="JP27" s="116"/>
      <c r="JQ27" s="116"/>
      <c r="JR27" s="116"/>
      <c r="JS27" s="116"/>
      <c r="JT27" s="116"/>
      <c r="JU27" s="116"/>
      <c r="JV27" s="116"/>
      <c r="JW27" s="116"/>
      <c r="JX27" s="116"/>
      <c r="JY27" s="116"/>
      <c r="JZ27" s="116"/>
      <c r="KA27" s="116"/>
      <c r="KB27" s="116"/>
      <c r="KC27" s="116"/>
      <c r="KD27" s="116"/>
      <c r="KE27" s="116"/>
      <c r="KF27" s="116"/>
      <c r="KG27" s="116"/>
      <c r="KH27" s="116"/>
      <c r="KI27" s="116"/>
      <c r="KJ27" s="116"/>
    </row>
    <row r="28" spans="1:296" s="5" customFormat="1" x14ac:dyDescent="0.3">
      <c r="A28" s="71" t="str">
        <f>+'[1]PRODUCTO NACIONAL'!$A$4</f>
        <v>M1</v>
      </c>
      <c r="B28" s="72" t="str">
        <f>VLOOKUP(A28,'[1]PRODUCTO NACIONAL'!$A$4:$R$161,6,FALSE)</f>
        <v>NYLON</v>
      </c>
      <c r="C28" s="73">
        <f>IFERROR(HLOOKUP(A28,[2]dimensiones_pdfs!$C$3:$Z$5,3,FALSE),0)</f>
        <v>0</v>
      </c>
      <c r="D28" s="107">
        <f>VLOOKUP(A28,'[1]PRODUCTO NACIONAL'!$A$4:$R$161,18,FALSE)</f>
        <v>1.7899899999999995</v>
      </c>
      <c r="E28" s="5">
        <f t="shared" si="0"/>
        <v>0</v>
      </c>
      <c r="F28" s="22"/>
      <c r="H28"/>
      <c r="I28" s="28"/>
      <c r="J28" s="39"/>
      <c r="K28" s="70"/>
      <c r="L28" s="75"/>
      <c r="M28" s="127"/>
      <c r="N28" s="77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6"/>
      <c r="CI28" s="116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/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  <c r="DM28" s="116"/>
      <c r="DN28" s="116"/>
      <c r="DO28" s="116"/>
      <c r="DP28" s="116"/>
      <c r="DQ28" s="116"/>
      <c r="DR28" s="116"/>
      <c r="DS28" s="116"/>
      <c r="DT28" s="116"/>
      <c r="DU28" s="116"/>
      <c r="DV28" s="116"/>
      <c r="DW28" s="116"/>
      <c r="DX28" s="116"/>
      <c r="DY28" s="116"/>
      <c r="DZ28" s="116"/>
      <c r="EA28" s="116"/>
      <c r="EB28" s="116"/>
      <c r="EC28" s="116"/>
      <c r="ED28" s="116"/>
      <c r="EE28" s="116"/>
      <c r="EF28" s="116"/>
      <c r="EG28" s="116"/>
      <c r="EH28" s="116"/>
      <c r="EI28" s="116"/>
      <c r="EJ28" s="116"/>
      <c r="EK28" s="116"/>
      <c r="EL28" s="116"/>
      <c r="EM28" s="116"/>
      <c r="EN28" s="116"/>
      <c r="EO28" s="116"/>
      <c r="EP28" s="116"/>
      <c r="EQ28" s="116"/>
      <c r="ER28" s="116"/>
      <c r="ES28" s="116"/>
      <c r="ET28" s="116"/>
      <c r="EU28" s="116"/>
      <c r="EV28" s="116"/>
      <c r="EW28" s="116"/>
      <c r="EX28" s="116"/>
      <c r="EY28" s="116"/>
      <c r="EZ28" s="116"/>
      <c r="FA28" s="116"/>
      <c r="FB28" s="116"/>
      <c r="FC28" s="116"/>
      <c r="FD28" s="116"/>
      <c r="FE28" s="116"/>
      <c r="FF28" s="116"/>
      <c r="FG28" s="116"/>
      <c r="FH28" s="116"/>
      <c r="FI28" s="116"/>
      <c r="FJ28" s="116"/>
      <c r="FK28" s="116"/>
      <c r="FL28" s="116"/>
      <c r="FM28" s="116"/>
      <c r="FN28" s="116"/>
      <c r="FO28" s="116"/>
      <c r="FP28" s="116"/>
      <c r="FQ28" s="116"/>
      <c r="FR28" s="116"/>
      <c r="FS28" s="116"/>
      <c r="FT28" s="116"/>
      <c r="FU28" s="116"/>
      <c r="FV28" s="116"/>
      <c r="FW28" s="116"/>
      <c r="FX28" s="116"/>
      <c r="FY28" s="116"/>
      <c r="FZ28" s="116"/>
      <c r="GA28" s="116"/>
      <c r="GB28" s="116"/>
      <c r="GC28" s="116"/>
      <c r="GD28" s="116"/>
      <c r="GE28" s="116"/>
      <c r="GF28" s="116"/>
      <c r="GG28" s="116"/>
      <c r="GH28" s="116"/>
      <c r="GI28" s="116"/>
      <c r="GJ28" s="116"/>
      <c r="GK28" s="116"/>
      <c r="GL28" s="116"/>
      <c r="GM28" s="116"/>
      <c r="GN28" s="116"/>
      <c r="GO28" s="116"/>
      <c r="GP28" s="116"/>
      <c r="GQ28" s="116"/>
      <c r="GR28" s="116"/>
      <c r="GS28" s="116"/>
      <c r="GT28" s="116"/>
      <c r="GU28" s="116"/>
      <c r="GV28" s="116"/>
      <c r="GW28" s="116"/>
      <c r="GX28" s="116"/>
      <c r="GY28" s="116"/>
      <c r="GZ28" s="116"/>
      <c r="HA28" s="116"/>
      <c r="HB28" s="116"/>
      <c r="HC28" s="116"/>
      <c r="HD28" s="116"/>
      <c r="HE28" s="116"/>
      <c r="HF28" s="116"/>
      <c r="HG28" s="116"/>
      <c r="HH28" s="116"/>
      <c r="HI28" s="116"/>
      <c r="HJ28" s="116"/>
      <c r="HK28" s="116"/>
      <c r="HL28" s="116"/>
      <c r="HM28" s="116"/>
      <c r="HN28" s="116"/>
      <c r="HO28" s="116"/>
      <c r="HP28" s="116"/>
      <c r="HQ28" s="116"/>
      <c r="HR28" s="116"/>
      <c r="HS28" s="116"/>
      <c r="HT28" s="116"/>
      <c r="HU28" s="116"/>
      <c r="HV28" s="116"/>
      <c r="HW28" s="116"/>
      <c r="HX28" s="116"/>
      <c r="HY28" s="116"/>
      <c r="HZ28" s="116"/>
      <c r="IA28" s="116"/>
      <c r="IB28" s="116"/>
      <c r="IC28" s="116"/>
      <c r="ID28" s="116"/>
      <c r="IE28" s="116"/>
      <c r="IF28" s="116"/>
      <c r="IG28" s="116"/>
      <c r="IH28" s="116"/>
      <c r="II28" s="116"/>
      <c r="IJ28" s="116"/>
      <c r="IK28" s="116"/>
      <c r="IL28" s="116"/>
      <c r="IM28" s="116"/>
      <c r="IN28" s="116"/>
      <c r="IO28" s="116"/>
      <c r="IP28" s="116"/>
      <c r="IQ28" s="116"/>
      <c r="IR28" s="116"/>
      <c r="IS28" s="116"/>
      <c r="IT28" s="116"/>
      <c r="IU28" s="116"/>
      <c r="IV28" s="116"/>
      <c r="IW28" s="116"/>
      <c r="IX28" s="116"/>
      <c r="IY28" s="116"/>
      <c r="IZ28" s="116"/>
      <c r="JA28" s="116"/>
      <c r="JB28" s="116"/>
      <c r="JC28" s="116"/>
      <c r="JD28" s="116"/>
      <c r="JE28" s="116"/>
      <c r="JF28" s="116"/>
      <c r="JG28" s="116"/>
      <c r="JH28" s="116"/>
      <c r="JI28" s="116"/>
      <c r="JJ28" s="116"/>
      <c r="JK28" s="116"/>
      <c r="JL28" s="116"/>
      <c r="JM28" s="116"/>
      <c r="JN28" s="116"/>
      <c r="JO28" s="116"/>
      <c r="JP28" s="116"/>
      <c r="JQ28" s="116"/>
      <c r="JR28" s="116"/>
      <c r="JS28" s="116"/>
      <c r="JT28" s="116"/>
      <c r="JU28" s="116"/>
      <c r="JV28" s="116"/>
      <c r="JW28" s="116"/>
      <c r="JX28" s="116"/>
      <c r="JY28" s="116"/>
      <c r="JZ28" s="116"/>
      <c r="KA28" s="116"/>
      <c r="KB28" s="116"/>
      <c r="KC28" s="116"/>
      <c r="KD28" s="116"/>
      <c r="KE28" s="116"/>
      <c r="KF28" s="116"/>
      <c r="KG28" s="116"/>
      <c r="KH28" s="116"/>
      <c r="KI28" s="116"/>
      <c r="KJ28" s="116"/>
    </row>
    <row r="29" spans="1:296" s="5" customFormat="1" x14ac:dyDescent="0.3">
      <c r="A29" s="71" t="s">
        <v>105</v>
      </c>
      <c r="B29" s="72" t="str">
        <f>VLOOKUP(A29,'[1]PRODUCTO NACIONAL'!$A$4:$R$161,6,FALSE)</f>
        <v>D2008 Rollo Jersy Spandex 1.80m x 275gr</v>
      </c>
      <c r="C29" s="73">
        <f>IFERROR(HLOOKUP(A29,[2]dimensiones_pdfs!$C$3:$Z$5,3,FALSE),0)</f>
        <v>0</v>
      </c>
      <c r="D29" s="107">
        <f>VLOOKUP(A29,'[1]PRODUCTO NACIONAL'!$A$4:$R$161,18,FALSE)</f>
        <v>3.4782608695652177</v>
      </c>
      <c r="E29" s="5">
        <f t="shared" si="0"/>
        <v>0</v>
      </c>
      <c r="F29" s="22"/>
      <c r="H29"/>
      <c r="I29" s="28"/>
      <c r="J29" s="39"/>
      <c r="K29" s="70"/>
      <c r="L29" s="75"/>
      <c r="M29" s="127"/>
      <c r="N29" s="77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  <c r="CF29" s="116"/>
      <c r="CG29" s="116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6"/>
      <c r="DE29" s="116"/>
      <c r="DF29" s="116"/>
      <c r="DG29" s="116"/>
      <c r="DH29" s="116"/>
      <c r="DI29" s="116"/>
      <c r="DJ29" s="116"/>
      <c r="DK29" s="116"/>
      <c r="DL29" s="116"/>
      <c r="DM29" s="116"/>
      <c r="DN29" s="116"/>
      <c r="DO29" s="116"/>
      <c r="DP29" s="116"/>
      <c r="DQ29" s="116"/>
      <c r="DR29" s="116"/>
      <c r="DS29" s="116"/>
      <c r="DT29" s="116"/>
      <c r="DU29" s="116"/>
      <c r="DV29" s="116"/>
      <c r="DW29" s="116"/>
      <c r="DX29" s="116"/>
      <c r="DY29" s="116"/>
      <c r="DZ29" s="116"/>
      <c r="EA29" s="116"/>
      <c r="EB29" s="116"/>
      <c r="EC29" s="116"/>
      <c r="ED29" s="116"/>
      <c r="EE29" s="116"/>
      <c r="EF29" s="116"/>
      <c r="EG29" s="116"/>
      <c r="EH29" s="116"/>
      <c r="EI29" s="116"/>
      <c r="EJ29" s="116"/>
      <c r="EK29" s="116"/>
      <c r="EL29" s="116"/>
      <c r="EM29" s="116"/>
      <c r="EN29" s="116"/>
      <c r="EO29" s="116"/>
      <c r="EP29" s="116"/>
      <c r="EQ29" s="116"/>
      <c r="ER29" s="116"/>
      <c r="ES29" s="116"/>
      <c r="ET29" s="116"/>
      <c r="EU29" s="116"/>
      <c r="EV29" s="116"/>
      <c r="EW29" s="116"/>
      <c r="EX29" s="116"/>
      <c r="EY29" s="116"/>
      <c r="EZ29" s="116"/>
      <c r="FA29" s="116"/>
      <c r="FB29" s="116"/>
      <c r="FC29" s="116"/>
      <c r="FD29" s="116"/>
      <c r="FE29" s="116"/>
      <c r="FF29" s="116"/>
      <c r="FG29" s="116"/>
      <c r="FH29" s="116"/>
      <c r="FI29" s="116"/>
      <c r="FJ29" s="116"/>
      <c r="FK29" s="116"/>
      <c r="FL29" s="116"/>
      <c r="FM29" s="116"/>
      <c r="FN29" s="116"/>
      <c r="FO29" s="116"/>
      <c r="FP29" s="116"/>
      <c r="FQ29" s="116"/>
      <c r="FR29" s="116"/>
      <c r="FS29" s="116"/>
      <c r="FT29" s="116"/>
      <c r="FU29" s="116"/>
      <c r="FV29" s="116"/>
      <c r="FW29" s="116"/>
      <c r="FX29" s="116"/>
      <c r="FY29" s="116"/>
      <c r="FZ29" s="116"/>
      <c r="GA29" s="116"/>
      <c r="GB29" s="116"/>
      <c r="GC29" s="116"/>
      <c r="GD29" s="116"/>
      <c r="GE29" s="116"/>
      <c r="GF29" s="116"/>
      <c r="GG29" s="116"/>
      <c r="GH29" s="116"/>
      <c r="GI29" s="116"/>
      <c r="GJ29" s="116"/>
      <c r="GK29" s="116"/>
      <c r="GL29" s="116"/>
      <c r="GM29" s="116"/>
      <c r="GN29" s="116"/>
      <c r="GO29" s="116"/>
      <c r="GP29" s="116"/>
      <c r="GQ29" s="116"/>
      <c r="GR29" s="116"/>
      <c r="GS29" s="116"/>
      <c r="GT29" s="116"/>
      <c r="GU29" s="116"/>
      <c r="GV29" s="116"/>
      <c r="GW29" s="116"/>
      <c r="GX29" s="116"/>
      <c r="GY29" s="116"/>
      <c r="GZ29" s="116"/>
      <c r="HA29" s="116"/>
      <c r="HB29" s="116"/>
      <c r="HC29" s="116"/>
      <c r="HD29" s="116"/>
      <c r="HE29" s="116"/>
      <c r="HF29" s="116"/>
      <c r="HG29" s="116"/>
      <c r="HH29" s="116"/>
      <c r="HI29" s="116"/>
      <c r="HJ29" s="116"/>
      <c r="HK29" s="116"/>
      <c r="HL29" s="116"/>
      <c r="HM29" s="116"/>
      <c r="HN29" s="116"/>
      <c r="HO29" s="116"/>
      <c r="HP29" s="116"/>
      <c r="HQ29" s="116"/>
      <c r="HR29" s="116"/>
      <c r="HS29" s="116"/>
      <c r="HT29" s="116"/>
      <c r="HU29" s="116"/>
      <c r="HV29" s="116"/>
      <c r="HW29" s="116"/>
      <c r="HX29" s="116"/>
      <c r="HY29" s="116"/>
      <c r="HZ29" s="116"/>
      <c r="IA29" s="116"/>
      <c r="IB29" s="116"/>
      <c r="IC29" s="116"/>
      <c r="ID29" s="116"/>
      <c r="IE29" s="116"/>
      <c r="IF29" s="116"/>
      <c r="IG29" s="116"/>
      <c r="IH29" s="116"/>
      <c r="II29" s="116"/>
      <c r="IJ29" s="116"/>
      <c r="IK29" s="116"/>
      <c r="IL29" s="116"/>
      <c r="IM29" s="116"/>
      <c r="IN29" s="116"/>
      <c r="IO29" s="116"/>
      <c r="IP29" s="116"/>
      <c r="IQ29" s="116"/>
      <c r="IR29" s="116"/>
      <c r="IS29" s="116"/>
      <c r="IT29" s="116"/>
      <c r="IU29" s="116"/>
      <c r="IV29" s="116"/>
      <c r="IW29" s="116"/>
      <c r="IX29" s="116"/>
      <c r="IY29" s="116"/>
      <c r="IZ29" s="116"/>
      <c r="JA29" s="116"/>
      <c r="JB29" s="116"/>
      <c r="JC29" s="116"/>
      <c r="JD29" s="116"/>
      <c r="JE29" s="116"/>
      <c r="JF29" s="116"/>
      <c r="JG29" s="116"/>
      <c r="JH29" s="116"/>
      <c r="JI29" s="116"/>
      <c r="JJ29" s="116"/>
      <c r="JK29" s="116"/>
      <c r="JL29" s="116"/>
      <c r="JM29" s="116"/>
      <c r="JN29" s="116"/>
      <c r="JO29" s="116"/>
      <c r="JP29" s="116"/>
      <c r="JQ29" s="116"/>
      <c r="JR29" s="116"/>
      <c r="JS29" s="116"/>
      <c r="JT29" s="116"/>
      <c r="JU29" s="116"/>
      <c r="JV29" s="116"/>
      <c r="JW29" s="116"/>
      <c r="JX29" s="116"/>
      <c r="JY29" s="116"/>
      <c r="JZ29" s="116"/>
      <c r="KA29" s="116"/>
      <c r="KB29" s="116"/>
      <c r="KC29" s="116"/>
      <c r="KD29" s="116"/>
      <c r="KE29" s="116"/>
      <c r="KF29" s="116"/>
      <c r="KG29" s="116"/>
      <c r="KH29" s="116"/>
      <c r="KI29" s="116"/>
      <c r="KJ29" s="116"/>
    </row>
    <row r="30" spans="1:296" s="5" customFormat="1" x14ac:dyDescent="0.3">
      <c r="A30" s="71" t="s">
        <v>106</v>
      </c>
      <c r="B30" s="72" t="str">
        <f>VLOOKUP(A30,'[1]PRODUCTO NACIONAL'!$A$4:$R$161,6,FALSE)</f>
        <v>NICO SPORT|BLANCO</v>
      </c>
      <c r="C30" s="73">
        <f>IFERROR(HLOOKUP(A30,[2]dimensiones_pdfs!$C$3:$Z$5,3,FALSE),0)</f>
        <v>0</v>
      </c>
      <c r="D30" s="107">
        <f>VLOOKUP(A30,'[1]PRODUCTO NACIONAL'!$A$4:$R$161,18,FALSE)</f>
        <v>2.3160000000000003</v>
      </c>
      <c r="E30" s="5">
        <f t="shared" si="0"/>
        <v>0</v>
      </c>
      <c r="F30" s="22"/>
      <c r="H30"/>
      <c r="I30" s="28"/>
      <c r="J30" s="39"/>
      <c r="K30" s="70"/>
      <c r="L30" s="75"/>
      <c r="M30" s="127"/>
      <c r="N30" s="77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  <c r="CG30" s="116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  <c r="DM30" s="116"/>
      <c r="DN30" s="116"/>
      <c r="DO30" s="116"/>
      <c r="DP30" s="116"/>
      <c r="DQ30" s="116"/>
      <c r="DR30" s="116"/>
      <c r="DS30" s="116"/>
      <c r="DT30" s="116"/>
      <c r="DU30" s="116"/>
      <c r="DV30" s="116"/>
      <c r="DW30" s="116"/>
      <c r="DX30" s="116"/>
      <c r="DY30" s="116"/>
      <c r="DZ30" s="116"/>
      <c r="EA30" s="116"/>
      <c r="EB30" s="116"/>
      <c r="EC30" s="116"/>
      <c r="ED30" s="116"/>
      <c r="EE30" s="116"/>
      <c r="EF30" s="116"/>
      <c r="EG30" s="116"/>
      <c r="EH30" s="116"/>
      <c r="EI30" s="116"/>
      <c r="EJ30" s="116"/>
      <c r="EK30" s="116"/>
      <c r="EL30" s="116"/>
      <c r="EM30" s="116"/>
      <c r="EN30" s="116"/>
      <c r="EO30" s="116"/>
      <c r="EP30" s="116"/>
      <c r="EQ30" s="116"/>
      <c r="ER30" s="116"/>
      <c r="ES30" s="116"/>
      <c r="ET30" s="116"/>
      <c r="EU30" s="116"/>
      <c r="EV30" s="116"/>
      <c r="EW30" s="116"/>
      <c r="EX30" s="116"/>
      <c r="EY30" s="116"/>
      <c r="EZ30" s="116"/>
      <c r="FA30" s="116"/>
      <c r="FB30" s="116"/>
      <c r="FC30" s="116"/>
      <c r="FD30" s="116"/>
      <c r="FE30" s="116"/>
      <c r="FF30" s="116"/>
      <c r="FG30" s="116"/>
      <c r="FH30" s="116"/>
      <c r="FI30" s="116"/>
      <c r="FJ30" s="116"/>
      <c r="FK30" s="116"/>
      <c r="FL30" s="116"/>
      <c r="FM30" s="116"/>
      <c r="FN30" s="116"/>
      <c r="FO30" s="116"/>
      <c r="FP30" s="116"/>
      <c r="FQ30" s="116"/>
      <c r="FR30" s="116"/>
      <c r="FS30" s="116"/>
      <c r="FT30" s="116"/>
      <c r="FU30" s="116"/>
      <c r="FV30" s="116"/>
      <c r="FW30" s="116"/>
      <c r="FX30" s="116"/>
      <c r="FY30" s="116"/>
      <c r="FZ30" s="116"/>
      <c r="GA30" s="116"/>
      <c r="GB30" s="116"/>
      <c r="GC30" s="116"/>
      <c r="GD30" s="116"/>
      <c r="GE30" s="116"/>
      <c r="GF30" s="116"/>
      <c r="GG30" s="116"/>
      <c r="GH30" s="116"/>
      <c r="GI30" s="116"/>
      <c r="GJ30" s="116"/>
      <c r="GK30" s="116"/>
      <c r="GL30" s="116"/>
      <c r="GM30" s="116"/>
      <c r="GN30" s="116"/>
      <c r="GO30" s="116"/>
      <c r="GP30" s="116"/>
      <c r="GQ30" s="116"/>
      <c r="GR30" s="116"/>
      <c r="GS30" s="116"/>
      <c r="GT30" s="116"/>
      <c r="GU30" s="116"/>
      <c r="GV30" s="116"/>
      <c r="GW30" s="116"/>
      <c r="GX30" s="116"/>
      <c r="GY30" s="116"/>
      <c r="GZ30" s="116"/>
      <c r="HA30" s="116"/>
      <c r="HB30" s="116"/>
      <c r="HC30" s="116"/>
      <c r="HD30" s="116"/>
      <c r="HE30" s="116"/>
      <c r="HF30" s="116"/>
      <c r="HG30" s="116"/>
      <c r="HH30" s="116"/>
      <c r="HI30" s="116"/>
      <c r="HJ30" s="116"/>
      <c r="HK30" s="116"/>
      <c r="HL30" s="116"/>
      <c r="HM30" s="116"/>
      <c r="HN30" s="116"/>
      <c r="HO30" s="116"/>
      <c r="HP30" s="116"/>
      <c r="HQ30" s="116"/>
      <c r="HR30" s="116"/>
      <c r="HS30" s="116"/>
      <c r="HT30" s="116"/>
      <c r="HU30" s="116"/>
      <c r="HV30" s="116"/>
      <c r="HW30" s="116"/>
      <c r="HX30" s="116"/>
      <c r="HY30" s="116"/>
      <c r="HZ30" s="116"/>
      <c r="IA30" s="116"/>
      <c r="IB30" s="116"/>
      <c r="IC30" s="116"/>
      <c r="ID30" s="116"/>
      <c r="IE30" s="116"/>
      <c r="IF30" s="116"/>
      <c r="IG30" s="116"/>
      <c r="IH30" s="116"/>
      <c r="II30" s="116"/>
      <c r="IJ30" s="116"/>
      <c r="IK30" s="116"/>
      <c r="IL30" s="116"/>
      <c r="IM30" s="116"/>
      <c r="IN30" s="116"/>
      <c r="IO30" s="116"/>
      <c r="IP30" s="116"/>
      <c r="IQ30" s="116"/>
      <c r="IR30" s="116"/>
      <c r="IS30" s="116"/>
      <c r="IT30" s="116"/>
      <c r="IU30" s="116"/>
      <c r="IV30" s="116"/>
      <c r="IW30" s="116"/>
      <c r="IX30" s="116"/>
      <c r="IY30" s="116"/>
      <c r="IZ30" s="116"/>
      <c r="JA30" s="116"/>
      <c r="JB30" s="116"/>
      <c r="JC30" s="116"/>
      <c r="JD30" s="116"/>
      <c r="JE30" s="116"/>
      <c r="JF30" s="116"/>
      <c r="JG30" s="116"/>
      <c r="JH30" s="116"/>
      <c r="JI30" s="116"/>
      <c r="JJ30" s="116"/>
      <c r="JK30" s="116"/>
      <c r="JL30" s="116"/>
      <c r="JM30" s="116"/>
      <c r="JN30" s="116"/>
      <c r="JO30" s="116"/>
      <c r="JP30" s="116"/>
      <c r="JQ30" s="116"/>
      <c r="JR30" s="116"/>
      <c r="JS30" s="116"/>
      <c r="JT30" s="116"/>
      <c r="JU30" s="116"/>
      <c r="JV30" s="116"/>
      <c r="JW30" s="116"/>
      <c r="JX30" s="116"/>
      <c r="JY30" s="116"/>
      <c r="JZ30" s="116"/>
      <c r="KA30" s="116"/>
      <c r="KB30" s="116"/>
      <c r="KC30" s="116"/>
      <c r="KD30" s="116"/>
      <c r="KE30" s="116"/>
      <c r="KF30" s="116"/>
      <c r="KG30" s="116"/>
      <c r="KH30" s="116"/>
      <c r="KI30" s="116"/>
      <c r="KJ30" s="116"/>
    </row>
    <row r="31" spans="1:296" s="5" customFormat="1" x14ac:dyDescent="0.3">
      <c r="A31" s="71" t="s">
        <v>107</v>
      </c>
      <c r="B31" s="72" t="str">
        <f>VLOOKUP(A31,'[1]PRODUCTO NACIONAL'!$A$4:$R$161,6,FALSE)</f>
        <v>MURRAY|BLANCA</v>
      </c>
      <c r="C31" s="73">
        <f>IFERROR(HLOOKUP(A31,[2]dimensiones_pdfs!$C$3:$Z$5,3,FALSE),0)</f>
        <v>0</v>
      </c>
      <c r="D31" s="107">
        <f>VLOOKUP(A31,'[1]PRODUCTO NACIONAL'!$A$4:$R$161,18,FALSE)</f>
        <v>2.2825013023320428</v>
      </c>
      <c r="E31" s="5">
        <f t="shared" si="0"/>
        <v>0</v>
      </c>
      <c r="F31" s="22"/>
      <c r="H31"/>
      <c r="I31" s="28"/>
      <c r="J31" s="39"/>
      <c r="K31" s="70"/>
      <c r="L31" s="75"/>
      <c r="M31" s="127"/>
      <c r="N31" s="77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6"/>
      <c r="CG31" s="116"/>
      <c r="CH31" s="116"/>
      <c r="CI31" s="116"/>
      <c r="CJ31" s="116"/>
      <c r="CK31" s="116"/>
      <c r="CL31" s="116"/>
      <c r="CM31" s="116"/>
      <c r="CN31" s="116"/>
      <c r="CO31" s="116"/>
      <c r="CP31" s="116"/>
      <c r="CQ31" s="116"/>
      <c r="CR31" s="116"/>
      <c r="CS31" s="116"/>
      <c r="CT31" s="116"/>
      <c r="CU31" s="116"/>
      <c r="CV31" s="116"/>
      <c r="CW31" s="116"/>
      <c r="CX31" s="116"/>
      <c r="CY31" s="116"/>
      <c r="CZ31" s="116"/>
      <c r="DA31" s="116"/>
      <c r="DB31" s="116"/>
      <c r="DC31" s="116"/>
      <c r="DD31" s="116"/>
      <c r="DE31" s="116"/>
      <c r="DF31" s="116"/>
      <c r="DG31" s="116"/>
      <c r="DH31" s="116"/>
      <c r="DI31" s="116"/>
      <c r="DJ31" s="116"/>
      <c r="DK31" s="116"/>
      <c r="DL31" s="116"/>
      <c r="DM31" s="116"/>
      <c r="DN31" s="116"/>
      <c r="DO31" s="116"/>
      <c r="DP31" s="116"/>
      <c r="DQ31" s="116"/>
      <c r="DR31" s="116"/>
      <c r="DS31" s="116"/>
      <c r="DT31" s="116"/>
      <c r="DU31" s="116"/>
      <c r="DV31" s="116"/>
      <c r="DW31" s="116"/>
      <c r="DX31" s="116"/>
      <c r="DY31" s="116"/>
      <c r="DZ31" s="116"/>
      <c r="EA31" s="116"/>
      <c r="EB31" s="116"/>
      <c r="EC31" s="116"/>
      <c r="ED31" s="116"/>
      <c r="EE31" s="116"/>
      <c r="EF31" s="116"/>
      <c r="EG31" s="116"/>
      <c r="EH31" s="116"/>
      <c r="EI31" s="116"/>
      <c r="EJ31" s="116"/>
      <c r="EK31" s="116"/>
      <c r="EL31" s="116"/>
      <c r="EM31" s="116"/>
      <c r="EN31" s="116"/>
      <c r="EO31" s="116"/>
      <c r="EP31" s="116"/>
      <c r="EQ31" s="116"/>
      <c r="ER31" s="116"/>
      <c r="ES31" s="116"/>
      <c r="ET31" s="116"/>
      <c r="EU31" s="116"/>
      <c r="EV31" s="116"/>
      <c r="EW31" s="116"/>
      <c r="EX31" s="116"/>
      <c r="EY31" s="116"/>
      <c r="EZ31" s="116"/>
      <c r="FA31" s="116"/>
      <c r="FB31" s="116"/>
      <c r="FC31" s="116"/>
      <c r="FD31" s="116"/>
      <c r="FE31" s="116"/>
      <c r="FF31" s="116"/>
      <c r="FG31" s="116"/>
      <c r="FH31" s="116"/>
      <c r="FI31" s="116"/>
      <c r="FJ31" s="116"/>
      <c r="FK31" s="116"/>
      <c r="FL31" s="116"/>
      <c r="FM31" s="116"/>
      <c r="FN31" s="116"/>
      <c r="FO31" s="116"/>
      <c r="FP31" s="116"/>
      <c r="FQ31" s="116"/>
      <c r="FR31" s="116"/>
      <c r="FS31" s="116"/>
      <c r="FT31" s="116"/>
      <c r="FU31" s="116"/>
      <c r="FV31" s="116"/>
      <c r="FW31" s="116"/>
      <c r="FX31" s="116"/>
      <c r="FY31" s="116"/>
      <c r="FZ31" s="116"/>
      <c r="GA31" s="116"/>
      <c r="GB31" s="116"/>
      <c r="GC31" s="116"/>
      <c r="GD31" s="116"/>
      <c r="GE31" s="116"/>
      <c r="GF31" s="116"/>
      <c r="GG31" s="116"/>
      <c r="GH31" s="116"/>
      <c r="GI31" s="116"/>
      <c r="GJ31" s="116"/>
      <c r="GK31" s="116"/>
      <c r="GL31" s="116"/>
      <c r="GM31" s="116"/>
      <c r="GN31" s="116"/>
      <c r="GO31" s="116"/>
      <c r="GP31" s="116"/>
      <c r="GQ31" s="116"/>
      <c r="GR31" s="116"/>
      <c r="GS31" s="116"/>
      <c r="GT31" s="116"/>
      <c r="GU31" s="116"/>
      <c r="GV31" s="116"/>
      <c r="GW31" s="116"/>
      <c r="GX31" s="116"/>
      <c r="GY31" s="116"/>
      <c r="GZ31" s="116"/>
      <c r="HA31" s="116"/>
      <c r="HB31" s="116"/>
      <c r="HC31" s="116"/>
      <c r="HD31" s="116"/>
      <c r="HE31" s="116"/>
      <c r="HF31" s="116"/>
      <c r="HG31" s="116"/>
      <c r="HH31" s="116"/>
      <c r="HI31" s="116"/>
      <c r="HJ31" s="116"/>
      <c r="HK31" s="116"/>
      <c r="HL31" s="116"/>
      <c r="HM31" s="116"/>
      <c r="HN31" s="116"/>
      <c r="HO31" s="116"/>
      <c r="HP31" s="116"/>
      <c r="HQ31" s="116"/>
      <c r="HR31" s="116"/>
      <c r="HS31" s="116"/>
      <c r="HT31" s="116"/>
      <c r="HU31" s="116"/>
      <c r="HV31" s="116"/>
      <c r="HW31" s="116"/>
      <c r="HX31" s="116"/>
      <c r="HY31" s="116"/>
      <c r="HZ31" s="116"/>
      <c r="IA31" s="116"/>
      <c r="IB31" s="116"/>
      <c r="IC31" s="116"/>
      <c r="ID31" s="116"/>
      <c r="IE31" s="116"/>
      <c r="IF31" s="116"/>
      <c r="IG31" s="116"/>
      <c r="IH31" s="116"/>
      <c r="II31" s="116"/>
      <c r="IJ31" s="116"/>
      <c r="IK31" s="116"/>
      <c r="IL31" s="116"/>
      <c r="IM31" s="116"/>
      <c r="IN31" s="116"/>
      <c r="IO31" s="116"/>
      <c r="IP31" s="116"/>
      <c r="IQ31" s="116"/>
      <c r="IR31" s="116"/>
      <c r="IS31" s="116"/>
      <c r="IT31" s="116"/>
      <c r="IU31" s="116"/>
      <c r="IV31" s="116"/>
      <c r="IW31" s="116"/>
      <c r="IX31" s="116"/>
      <c r="IY31" s="116"/>
      <c r="IZ31" s="116"/>
      <c r="JA31" s="116"/>
      <c r="JB31" s="116"/>
      <c r="JC31" s="116"/>
      <c r="JD31" s="116"/>
      <c r="JE31" s="116"/>
      <c r="JF31" s="116"/>
      <c r="JG31" s="116"/>
      <c r="JH31" s="116"/>
      <c r="JI31" s="116"/>
      <c r="JJ31" s="116"/>
      <c r="JK31" s="116"/>
      <c r="JL31" s="116"/>
      <c r="JM31" s="116"/>
      <c r="JN31" s="116"/>
      <c r="JO31" s="116"/>
      <c r="JP31" s="116"/>
      <c r="JQ31" s="116"/>
      <c r="JR31" s="116"/>
      <c r="JS31" s="116"/>
      <c r="JT31" s="116"/>
      <c r="JU31" s="116"/>
      <c r="JV31" s="116"/>
      <c r="JW31" s="116"/>
      <c r="JX31" s="116"/>
      <c r="JY31" s="116"/>
      <c r="JZ31" s="116"/>
      <c r="KA31" s="116"/>
      <c r="KB31" s="116"/>
      <c r="KC31" s="116"/>
      <c r="KD31" s="116"/>
      <c r="KE31" s="116"/>
      <c r="KF31" s="116"/>
      <c r="KG31" s="116"/>
      <c r="KH31" s="116"/>
      <c r="KI31" s="116"/>
      <c r="KJ31" s="116"/>
    </row>
    <row r="32" spans="1:296" s="5" customFormat="1" x14ac:dyDescent="0.3">
      <c r="A32" s="71" t="s">
        <v>108</v>
      </c>
      <c r="B32" s="72" t="str">
        <f>VLOOKUP(A32,'[1]PRODUCTO NACIONAL'!$A$4:$R$161,6,FALSE)</f>
        <v>Rollo de Galeon 150 ancho</v>
      </c>
      <c r="C32" s="73">
        <f>IFERROR(HLOOKUP(A32,[2]dimensiones_pdfs!$C$3:$Z$5,3,FALSE),0)</f>
        <v>1.770000139075681</v>
      </c>
      <c r="D32" s="107">
        <f>VLOOKUP(A32,'[1]PRODUCTO NACIONAL'!$A$4:$R$161,18,FALSE)</f>
        <v>0.77499999999999991</v>
      </c>
      <c r="E32" s="5">
        <f t="shared" si="0"/>
        <v>-1.3717501077836527</v>
      </c>
      <c r="F32" s="22"/>
      <c r="H32"/>
      <c r="I32" s="28"/>
      <c r="J32" s="39"/>
      <c r="K32" s="70"/>
      <c r="L32" s="75"/>
      <c r="M32" s="127"/>
      <c r="N32" s="77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  <c r="DM32" s="116"/>
      <c r="DN32" s="116"/>
      <c r="DO32" s="116"/>
      <c r="DP32" s="116"/>
      <c r="DQ32" s="116"/>
      <c r="DR32" s="116"/>
      <c r="DS32" s="116"/>
      <c r="DT32" s="116"/>
      <c r="DU32" s="116"/>
      <c r="DV32" s="116"/>
      <c r="DW32" s="116"/>
      <c r="DX32" s="116"/>
      <c r="DY32" s="116"/>
      <c r="DZ32" s="116"/>
      <c r="EA32" s="116"/>
      <c r="EB32" s="116"/>
      <c r="EC32" s="116"/>
      <c r="ED32" s="116"/>
      <c r="EE32" s="116"/>
      <c r="EF32" s="116"/>
      <c r="EG32" s="116"/>
      <c r="EH32" s="116"/>
      <c r="EI32" s="116"/>
      <c r="EJ32" s="116"/>
      <c r="EK32" s="116"/>
      <c r="EL32" s="116"/>
      <c r="EM32" s="116"/>
      <c r="EN32" s="116"/>
      <c r="EO32" s="116"/>
      <c r="EP32" s="116"/>
      <c r="EQ32" s="116"/>
      <c r="ER32" s="116"/>
      <c r="ES32" s="116"/>
      <c r="ET32" s="116"/>
      <c r="EU32" s="116"/>
      <c r="EV32" s="116"/>
      <c r="EW32" s="116"/>
      <c r="EX32" s="116"/>
      <c r="EY32" s="116"/>
      <c r="EZ32" s="116"/>
      <c r="FA32" s="116"/>
      <c r="FB32" s="116"/>
      <c r="FC32" s="116"/>
      <c r="FD32" s="116"/>
      <c r="FE32" s="116"/>
      <c r="FF32" s="116"/>
      <c r="FG32" s="116"/>
      <c r="FH32" s="116"/>
      <c r="FI32" s="116"/>
      <c r="FJ32" s="116"/>
      <c r="FK32" s="116"/>
      <c r="FL32" s="116"/>
      <c r="FM32" s="116"/>
      <c r="FN32" s="116"/>
      <c r="FO32" s="116"/>
      <c r="FP32" s="116"/>
      <c r="FQ32" s="116"/>
      <c r="FR32" s="116"/>
      <c r="FS32" s="116"/>
      <c r="FT32" s="116"/>
      <c r="FU32" s="116"/>
      <c r="FV32" s="116"/>
      <c r="FW32" s="116"/>
      <c r="FX32" s="116"/>
      <c r="FY32" s="116"/>
      <c r="FZ32" s="116"/>
      <c r="GA32" s="116"/>
      <c r="GB32" s="116"/>
      <c r="GC32" s="116"/>
      <c r="GD32" s="116"/>
      <c r="GE32" s="116"/>
      <c r="GF32" s="116"/>
      <c r="GG32" s="116"/>
      <c r="GH32" s="116"/>
      <c r="GI32" s="116"/>
      <c r="GJ32" s="116"/>
      <c r="GK32" s="116"/>
      <c r="GL32" s="116"/>
      <c r="GM32" s="116"/>
      <c r="GN32" s="116"/>
      <c r="GO32" s="116"/>
      <c r="GP32" s="116"/>
      <c r="GQ32" s="116"/>
      <c r="GR32" s="116"/>
      <c r="GS32" s="116"/>
      <c r="GT32" s="116"/>
      <c r="GU32" s="116"/>
      <c r="GV32" s="116"/>
      <c r="GW32" s="116"/>
      <c r="GX32" s="116"/>
      <c r="GY32" s="116"/>
      <c r="GZ32" s="116"/>
      <c r="HA32" s="116"/>
      <c r="HB32" s="116"/>
      <c r="HC32" s="116"/>
      <c r="HD32" s="116"/>
      <c r="HE32" s="116"/>
      <c r="HF32" s="116"/>
      <c r="HG32" s="116"/>
      <c r="HH32" s="116"/>
      <c r="HI32" s="116"/>
      <c r="HJ32" s="116"/>
      <c r="HK32" s="116"/>
      <c r="HL32" s="116"/>
      <c r="HM32" s="116"/>
      <c r="HN32" s="116"/>
      <c r="HO32" s="116"/>
      <c r="HP32" s="116"/>
      <c r="HQ32" s="116"/>
      <c r="HR32" s="116"/>
      <c r="HS32" s="116"/>
      <c r="HT32" s="116"/>
      <c r="HU32" s="116"/>
      <c r="HV32" s="116"/>
      <c r="HW32" s="116"/>
      <c r="HX32" s="116"/>
      <c r="HY32" s="116"/>
      <c r="HZ32" s="116"/>
      <c r="IA32" s="116"/>
      <c r="IB32" s="116"/>
      <c r="IC32" s="116"/>
      <c r="ID32" s="116"/>
      <c r="IE32" s="116"/>
      <c r="IF32" s="116"/>
      <c r="IG32" s="116"/>
      <c r="IH32" s="116"/>
      <c r="II32" s="116"/>
      <c r="IJ32" s="116"/>
      <c r="IK32" s="116"/>
      <c r="IL32" s="116"/>
      <c r="IM32" s="116"/>
      <c r="IN32" s="116"/>
      <c r="IO32" s="116"/>
      <c r="IP32" s="116"/>
      <c r="IQ32" s="116"/>
      <c r="IR32" s="116"/>
      <c r="IS32" s="116"/>
      <c r="IT32" s="116"/>
      <c r="IU32" s="116"/>
      <c r="IV32" s="116"/>
      <c r="IW32" s="116"/>
      <c r="IX32" s="116"/>
      <c r="IY32" s="116"/>
      <c r="IZ32" s="116"/>
      <c r="JA32" s="116"/>
      <c r="JB32" s="116"/>
      <c r="JC32" s="116"/>
      <c r="JD32" s="116"/>
      <c r="JE32" s="116"/>
      <c r="JF32" s="116"/>
      <c r="JG32" s="116"/>
      <c r="JH32" s="116"/>
      <c r="JI32" s="116"/>
      <c r="JJ32" s="116"/>
      <c r="JK32" s="116"/>
      <c r="JL32" s="116"/>
      <c r="JM32" s="116"/>
      <c r="JN32" s="116"/>
      <c r="JO32" s="116"/>
      <c r="JP32" s="116"/>
      <c r="JQ32" s="116"/>
      <c r="JR32" s="116"/>
      <c r="JS32" s="116"/>
      <c r="JT32" s="116"/>
      <c r="JU32" s="116"/>
      <c r="JV32" s="116"/>
      <c r="JW32" s="116"/>
      <c r="JX32" s="116"/>
      <c r="JY32" s="116"/>
      <c r="JZ32" s="116"/>
      <c r="KA32" s="116"/>
      <c r="KB32" s="116"/>
      <c r="KC32" s="116"/>
      <c r="KD32" s="116"/>
      <c r="KE32" s="116"/>
      <c r="KF32" s="116"/>
      <c r="KG32" s="116"/>
      <c r="KH32" s="116"/>
      <c r="KI32" s="116"/>
      <c r="KJ32" s="116"/>
    </row>
    <row r="33" spans="1:296" s="39" customFormat="1" x14ac:dyDescent="0.3">
      <c r="A33" s="71" t="s">
        <v>114</v>
      </c>
      <c r="B33" s="72" t="str">
        <f>VLOOKUP(A33,'[1]PRODUCTO NACIONAL'!$A$4:$R$161,6,FALSE)</f>
        <v>PIEL DE DURAZNO</v>
      </c>
      <c r="C33" s="73">
        <f>IFERROR(HLOOKUP(A33,[2]dimensiones_pdfs!$C$3:$Z$5,3,FALSE),0)</f>
        <v>0</v>
      </c>
      <c r="D33" s="107">
        <f>VLOOKUP(A33,'[1]PRODUCTO NACIONAL'!$A$4:$R$161,18,FALSE)</f>
        <v>2.5</v>
      </c>
      <c r="E33" s="5">
        <f t="shared" si="0"/>
        <v>0</v>
      </c>
      <c r="F33" s="22"/>
      <c r="G33" s="5"/>
      <c r="H33"/>
      <c r="I33" s="28"/>
      <c r="K33" s="70"/>
      <c r="L33" s="75"/>
      <c r="M33" s="127"/>
      <c r="N33" s="77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DZ33" s="100"/>
      <c r="EA33" s="100"/>
      <c r="EB33" s="100"/>
      <c r="EC33" s="100"/>
      <c r="ED33" s="100"/>
      <c r="EE33" s="100"/>
      <c r="EF33" s="100"/>
      <c r="EG33" s="100"/>
      <c r="EH33" s="100"/>
      <c r="EI33" s="100"/>
      <c r="EJ33" s="100"/>
      <c r="EK33" s="100"/>
      <c r="EL33" s="100"/>
      <c r="EM33" s="100"/>
      <c r="EN33" s="100"/>
      <c r="EO33" s="100"/>
      <c r="EP33" s="100"/>
      <c r="EQ33" s="100"/>
      <c r="ER33" s="100"/>
      <c r="ES33" s="100"/>
      <c r="ET33" s="100"/>
      <c r="EU33" s="100"/>
      <c r="EV33" s="100"/>
      <c r="EW33" s="100"/>
      <c r="EX33" s="100"/>
      <c r="EY33" s="100"/>
      <c r="EZ33" s="100"/>
      <c r="FA33" s="100"/>
      <c r="FB33" s="100"/>
      <c r="FC33" s="100"/>
      <c r="FD33" s="100"/>
      <c r="FE33" s="100"/>
      <c r="FF33" s="100"/>
      <c r="FG33" s="100"/>
      <c r="FH33" s="100"/>
      <c r="FI33" s="100"/>
      <c r="FJ33" s="100"/>
      <c r="FK33" s="100"/>
      <c r="FL33" s="100"/>
      <c r="FM33" s="100"/>
      <c r="FN33" s="100"/>
      <c r="FO33" s="100"/>
      <c r="FP33" s="100"/>
      <c r="FQ33" s="100"/>
      <c r="FR33" s="100"/>
      <c r="FS33" s="100"/>
      <c r="FT33" s="100"/>
      <c r="FU33" s="100"/>
      <c r="FV33" s="100"/>
      <c r="FW33" s="100"/>
      <c r="FX33" s="100"/>
      <c r="FY33" s="100"/>
      <c r="FZ33" s="100"/>
      <c r="GA33" s="100"/>
      <c r="GB33" s="100"/>
      <c r="GC33" s="100"/>
      <c r="GD33" s="100"/>
      <c r="GE33" s="100"/>
      <c r="GF33" s="100"/>
      <c r="GG33" s="100"/>
      <c r="GH33" s="100"/>
      <c r="GI33" s="100"/>
      <c r="GJ33" s="100"/>
      <c r="GK33" s="100"/>
      <c r="GL33" s="100"/>
      <c r="GM33" s="100"/>
      <c r="GN33" s="100"/>
      <c r="GO33" s="100"/>
      <c r="GP33" s="100"/>
      <c r="GQ33" s="100"/>
      <c r="GR33" s="100"/>
      <c r="GS33" s="100"/>
      <c r="GT33" s="100"/>
      <c r="GU33" s="100"/>
      <c r="GV33" s="100"/>
      <c r="GW33" s="100"/>
      <c r="GX33" s="100"/>
      <c r="GY33" s="100"/>
      <c r="GZ33" s="100"/>
      <c r="HA33" s="100"/>
      <c r="HB33" s="100"/>
      <c r="HC33" s="100"/>
      <c r="HD33" s="100"/>
      <c r="HE33" s="100"/>
      <c r="HF33" s="100"/>
      <c r="HG33" s="100"/>
      <c r="HH33" s="100"/>
      <c r="HI33" s="100"/>
      <c r="HJ33" s="100"/>
      <c r="HK33" s="100"/>
      <c r="HL33" s="100"/>
      <c r="HM33" s="100"/>
      <c r="HN33" s="100"/>
      <c r="HO33" s="100"/>
      <c r="HP33" s="100"/>
      <c r="HQ33" s="100"/>
      <c r="HR33" s="100"/>
      <c r="HS33" s="100"/>
      <c r="HT33" s="100"/>
      <c r="HU33" s="100"/>
      <c r="HV33" s="100"/>
      <c r="HW33" s="100"/>
      <c r="HX33" s="100"/>
      <c r="HY33" s="100"/>
      <c r="HZ33" s="100"/>
      <c r="IA33" s="100"/>
      <c r="IB33" s="100"/>
      <c r="IC33" s="100"/>
      <c r="ID33" s="100"/>
      <c r="IE33" s="100"/>
      <c r="IF33" s="100"/>
      <c r="IG33" s="100"/>
      <c r="IH33" s="100"/>
      <c r="II33" s="100"/>
      <c r="IJ33" s="100"/>
      <c r="IK33" s="100"/>
      <c r="IL33" s="100"/>
      <c r="IM33" s="100"/>
      <c r="IN33" s="100"/>
      <c r="IO33" s="100"/>
      <c r="IP33" s="100"/>
      <c r="IQ33" s="100"/>
      <c r="IR33" s="100"/>
      <c r="IS33" s="100"/>
      <c r="IT33" s="100"/>
      <c r="IU33" s="100"/>
      <c r="IV33" s="100"/>
      <c r="IW33" s="100"/>
      <c r="IX33" s="100"/>
      <c r="IY33" s="100"/>
      <c r="IZ33" s="100"/>
      <c r="JA33" s="100"/>
      <c r="JB33" s="100"/>
      <c r="JC33" s="100"/>
      <c r="JD33" s="100"/>
      <c r="JE33" s="100"/>
      <c r="JF33" s="100"/>
      <c r="JG33" s="100"/>
      <c r="JH33" s="100"/>
      <c r="JI33" s="100"/>
      <c r="JJ33" s="100"/>
      <c r="JK33" s="100"/>
      <c r="JL33" s="100"/>
      <c r="JM33" s="100"/>
      <c r="JN33" s="100"/>
      <c r="JO33" s="100"/>
      <c r="JP33" s="100"/>
      <c r="JQ33" s="100"/>
      <c r="JR33" s="100"/>
      <c r="JS33" s="100"/>
      <c r="JT33" s="100"/>
      <c r="JU33" s="100"/>
      <c r="JV33" s="100"/>
      <c r="JW33" s="100"/>
      <c r="JX33" s="100"/>
      <c r="JY33" s="100"/>
      <c r="JZ33" s="100"/>
      <c r="KA33" s="100"/>
      <c r="KB33" s="100"/>
      <c r="KC33" s="100"/>
      <c r="KD33" s="100"/>
      <c r="KE33" s="100"/>
      <c r="KF33" s="100"/>
      <c r="KG33" s="100"/>
      <c r="KH33" s="100"/>
      <c r="KI33" s="100"/>
      <c r="KJ33" s="100"/>
    </row>
    <row r="34" spans="1:296" s="39" customFormat="1" x14ac:dyDescent="0.3">
      <c r="A34" s="71" t="s">
        <v>115</v>
      </c>
      <c r="B34" s="72" t="str">
        <f>VLOOKUP(A34,'[1]PRODUCTO NACIONAL'!$A$4:$R$161,6,FALSE)</f>
        <v>D2002 Rollo Ernest 1.70m x 140gr</v>
      </c>
      <c r="C34" s="73">
        <f>IFERROR(HLOOKUP(A34,[2]dimensiones_pdfs!$C$3:$Z$5,3,FALSE),0)</f>
        <v>22.172661606996044</v>
      </c>
      <c r="D34" s="107">
        <f>VLOOKUP(A34,'[1]PRODUCTO NACIONAL'!$A$4:$R$161,18,FALSE)</f>
        <v>1.4285714285714286</v>
      </c>
      <c r="E34" s="5">
        <f t="shared" si="0"/>
        <v>-31.675230867137206</v>
      </c>
      <c r="F34" s="22"/>
      <c r="G34" s="5"/>
      <c r="H34"/>
      <c r="I34" s="28"/>
      <c r="K34" s="70"/>
      <c r="L34" s="75"/>
      <c r="M34" s="127"/>
      <c r="N34" s="77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00"/>
      <c r="CX34" s="100"/>
      <c r="CY34" s="100"/>
      <c r="CZ34" s="100"/>
      <c r="DA34" s="100"/>
      <c r="DB34" s="100"/>
      <c r="DC34" s="100"/>
      <c r="DD34" s="100"/>
      <c r="DE34" s="100"/>
      <c r="DF34" s="100"/>
      <c r="DG34" s="100"/>
      <c r="DH34" s="100"/>
      <c r="DI34" s="100"/>
      <c r="DJ34" s="100"/>
      <c r="DK34" s="100"/>
      <c r="DL34" s="100"/>
      <c r="DM34" s="100"/>
      <c r="DN34" s="100"/>
      <c r="DO34" s="100"/>
      <c r="DP34" s="100"/>
      <c r="DQ34" s="100"/>
      <c r="DR34" s="100"/>
      <c r="DS34" s="100"/>
      <c r="DT34" s="100"/>
      <c r="DU34" s="100"/>
      <c r="DV34" s="100"/>
      <c r="DW34" s="100"/>
      <c r="DX34" s="100"/>
      <c r="DY34" s="100"/>
      <c r="DZ34" s="100"/>
      <c r="EA34" s="100"/>
      <c r="EB34" s="100"/>
      <c r="EC34" s="100"/>
      <c r="ED34" s="100"/>
      <c r="EE34" s="100"/>
      <c r="EF34" s="100"/>
      <c r="EG34" s="100"/>
      <c r="EH34" s="100"/>
      <c r="EI34" s="100"/>
      <c r="EJ34" s="100"/>
      <c r="EK34" s="100"/>
      <c r="EL34" s="100"/>
      <c r="EM34" s="100"/>
      <c r="EN34" s="100"/>
      <c r="EO34" s="100"/>
      <c r="EP34" s="100"/>
      <c r="EQ34" s="100"/>
      <c r="ER34" s="100"/>
      <c r="ES34" s="100"/>
      <c r="ET34" s="100"/>
      <c r="EU34" s="100"/>
      <c r="EV34" s="100"/>
      <c r="EW34" s="100"/>
      <c r="EX34" s="100"/>
      <c r="EY34" s="100"/>
      <c r="EZ34" s="100"/>
      <c r="FA34" s="100"/>
      <c r="FB34" s="100"/>
      <c r="FC34" s="100"/>
      <c r="FD34" s="100"/>
      <c r="FE34" s="100"/>
      <c r="FF34" s="100"/>
      <c r="FG34" s="100"/>
      <c r="FH34" s="100"/>
      <c r="FI34" s="100"/>
      <c r="FJ34" s="100"/>
      <c r="FK34" s="100"/>
      <c r="FL34" s="100"/>
      <c r="FM34" s="100"/>
      <c r="FN34" s="100"/>
      <c r="FO34" s="100"/>
      <c r="FP34" s="100"/>
      <c r="FQ34" s="100"/>
      <c r="FR34" s="100"/>
      <c r="FS34" s="100"/>
      <c r="FT34" s="100"/>
      <c r="FU34" s="100"/>
      <c r="FV34" s="100"/>
      <c r="FW34" s="100"/>
      <c r="FX34" s="100"/>
      <c r="FY34" s="100"/>
      <c r="FZ34" s="100"/>
      <c r="GA34" s="100"/>
      <c r="GB34" s="100"/>
      <c r="GC34" s="100"/>
      <c r="GD34" s="100"/>
      <c r="GE34" s="100"/>
      <c r="GF34" s="100"/>
      <c r="GG34" s="100"/>
      <c r="GH34" s="100"/>
      <c r="GI34" s="100"/>
      <c r="GJ34" s="100"/>
      <c r="GK34" s="100"/>
      <c r="GL34" s="100"/>
      <c r="GM34" s="100"/>
      <c r="GN34" s="100"/>
      <c r="GO34" s="100"/>
      <c r="GP34" s="100"/>
      <c r="GQ34" s="100"/>
      <c r="GR34" s="100"/>
      <c r="GS34" s="100"/>
      <c r="GT34" s="100"/>
      <c r="GU34" s="100"/>
      <c r="GV34" s="100"/>
      <c r="GW34" s="100"/>
      <c r="GX34" s="100"/>
      <c r="GY34" s="100"/>
      <c r="GZ34" s="100"/>
      <c r="HA34" s="100"/>
      <c r="HB34" s="100"/>
      <c r="HC34" s="100"/>
      <c r="HD34" s="100"/>
      <c r="HE34" s="100"/>
      <c r="HF34" s="100"/>
      <c r="HG34" s="100"/>
      <c r="HH34" s="100"/>
      <c r="HI34" s="100"/>
      <c r="HJ34" s="100"/>
      <c r="HK34" s="100"/>
      <c r="HL34" s="100"/>
      <c r="HM34" s="100"/>
      <c r="HN34" s="100"/>
      <c r="HO34" s="100"/>
      <c r="HP34" s="100"/>
      <c r="HQ34" s="100"/>
      <c r="HR34" s="100"/>
      <c r="HS34" s="100"/>
      <c r="HT34" s="100"/>
      <c r="HU34" s="100"/>
      <c r="HV34" s="100"/>
      <c r="HW34" s="100"/>
      <c r="HX34" s="100"/>
      <c r="HY34" s="100"/>
      <c r="HZ34" s="100"/>
      <c r="IA34" s="100"/>
      <c r="IB34" s="100"/>
      <c r="IC34" s="100"/>
      <c r="ID34" s="100"/>
      <c r="IE34" s="100"/>
      <c r="IF34" s="100"/>
      <c r="IG34" s="100"/>
      <c r="IH34" s="100"/>
      <c r="II34" s="100"/>
      <c r="IJ34" s="100"/>
      <c r="IK34" s="100"/>
      <c r="IL34" s="100"/>
      <c r="IM34" s="100"/>
      <c r="IN34" s="100"/>
      <c r="IO34" s="100"/>
      <c r="IP34" s="100"/>
      <c r="IQ34" s="100"/>
      <c r="IR34" s="100"/>
      <c r="IS34" s="100"/>
      <c r="IT34" s="100"/>
      <c r="IU34" s="100"/>
      <c r="IV34" s="100"/>
      <c r="IW34" s="100"/>
      <c r="IX34" s="100"/>
      <c r="IY34" s="100"/>
      <c r="IZ34" s="100"/>
      <c r="JA34" s="100"/>
      <c r="JB34" s="100"/>
      <c r="JC34" s="100"/>
      <c r="JD34" s="100"/>
      <c r="JE34" s="100"/>
      <c r="JF34" s="100"/>
      <c r="JG34" s="100"/>
      <c r="JH34" s="100"/>
      <c r="JI34" s="100"/>
      <c r="JJ34" s="100"/>
      <c r="JK34" s="100"/>
      <c r="JL34" s="100"/>
      <c r="JM34" s="100"/>
      <c r="JN34" s="100"/>
      <c r="JO34" s="100"/>
      <c r="JP34" s="100"/>
      <c r="JQ34" s="100"/>
      <c r="JR34" s="100"/>
      <c r="JS34" s="100"/>
      <c r="JT34" s="100"/>
      <c r="JU34" s="100"/>
      <c r="JV34" s="100"/>
      <c r="JW34" s="100"/>
      <c r="JX34" s="100"/>
      <c r="JY34" s="100"/>
      <c r="JZ34" s="100"/>
      <c r="KA34" s="100"/>
      <c r="KB34" s="100"/>
      <c r="KC34" s="100"/>
      <c r="KD34" s="100"/>
      <c r="KE34" s="100"/>
      <c r="KF34" s="100"/>
      <c r="KG34" s="100"/>
      <c r="KH34" s="100"/>
      <c r="KI34" s="100"/>
      <c r="KJ34" s="100"/>
    </row>
    <row r="35" spans="1:296" s="39" customFormat="1" x14ac:dyDescent="0.3">
      <c r="A35" s="71" t="s">
        <v>116</v>
      </c>
      <c r="B35" s="72" t="str">
        <f>VLOOKUP(A35,'[1]PRODUCTO NACIONAL'!$A$4:$R$161,6,FALSE)</f>
        <v>PRADA LISA</v>
      </c>
      <c r="C35" s="73">
        <f>IFERROR(HLOOKUP(A35,[2]dimensiones_pdfs!$C$3:$Z$5,3,FALSE),0)</f>
        <v>0</v>
      </c>
      <c r="D35" s="107">
        <f>VLOOKUP(A35,'[1]PRODUCTO NACIONAL'!$A$4:$R$161,18,FALSE)</f>
        <v>2.5202399999999998</v>
      </c>
      <c r="E35" s="5">
        <f t="shared" si="0"/>
        <v>0</v>
      </c>
      <c r="F35" s="22"/>
      <c r="G35" s="5"/>
      <c r="H35"/>
      <c r="I35" s="28"/>
      <c r="K35" s="70"/>
      <c r="L35" s="75"/>
      <c r="M35" s="127"/>
      <c r="N35" s="77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00"/>
      <c r="ER35" s="100"/>
      <c r="ES35" s="100"/>
      <c r="ET35" s="100"/>
      <c r="EU35" s="100"/>
      <c r="EV35" s="100"/>
      <c r="EW35" s="100"/>
      <c r="EX35" s="100"/>
      <c r="EY35" s="100"/>
      <c r="EZ35" s="100"/>
      <c r="FA35" s="100"/>
      <c r="FB35" s="100"/>
      <c r="FC35" s="100"/>
      <c r="FD35" s="100"/>
      <c r="FE35" s="100"/>
      <c r="FF35" s="100"/>
      <c r="FG35" s="100"/>
      <c r="FH35" s="100"/>
      <c r="FI35" s="100"/>
      <c r="FJ35" s="100"/>
      <c r="FK35" s="100"/>
      <c r="FL35" s="100"/>
      <c r="FM35" s="100"/>
      <c r="FN35" s="100"/>
      <c r="FO35" s="100"/>
      <c r="FP35" s="100"/>
      <c r="FQ35" s="100"/>
      <c r="FR35" s="100"/>
      <c r="FS35" s="100"/>
      <c r="FT35" s="100"/>
      <c r="FU35" s="100"/>
      <c r="FV35" s="100"/>
      <c r="FW35" s="100"/>
      <c r="FX35" s="100"/>
      <c r="FY35" s="100"/>
      <c r="FZ35" s="100"/>
      <c r="GA35" s="100"/>
      <c r="GB35" s="100"/>
      <c r="GC35" s="100"/>
      <c r="GD35" s="100"/>
      <c r="GE35" s="100"/>
      <c r="GF35" s="100"/>
      <c r="GG35" s="100"/>
      <c r="GH35" s="100"/>
      <c r="GI35" s="100"/>
      <c r="GJ35" s="100"/>
      <c r="GK35" s="100"/>
      <c r="GL35" s="100"/>
      <c r="GM35" s="100"/>
      <c r="GN35" s="100"/>
      <c r="GO35" s="100"/>
      <c r="GP35" s="100"/>
      <c r="GQ35" s="100"/>
      <c r="GR35" s="100"/>
      <c r="GS35" s="100"/>
      <c r="GT35" s="100"/>
      <c r="GU35" s="100"/>
      <c r="GV35" s="100"/>
      <c r="GW35" s="100"/>
      <c r="GX35" s="100"/>
      <c r="GY35" s="100"/>
      <c r="GZ35" s="100"/>
      <c r="HA35" s="100"/>
      <c r="HB35" s="100"/>
      <c r="HC35" s="100"/>
      <c r="HD35" s="100"/>
      <c r="HE35" s="100"/>
      <c r="HF35" s="100"/>
      <c r="HG35" s="100"/>
      <c r="HH35" s="100"/>
      <c r="HI35" s="100"/>
      <c r="HJ35" s="100"/>
      <c r="HK35" s="100"/>
      <c r="HL35" s="100"/>
      <c r="HM35" s="100"/>
      <c r="HN35" s="100"/>
      <c r="HO35" s="100"/>
      <c r="HP35" s="100"/>
      <c r="HQ35" s="100"/>
      <c r="HR35" s="100"/>
      <c r="HS35" s="100"/>
      <c r="HT35" s="100"/>
      <c r="HU35" s="100"/>
      <c r="HV35" s="100"/>
      <c r="HW35" s="100"/>
      <c r="HX35" s="100"/>
      <c r="HY35" s="100"/>
      <c r="HZ35" s="100"/>
      <c r="IA35" s="100"/>
      <c r="IB35" s="100"/>
      <c r="IC35" s="100"/>
      <c r="ID35" s="100"/>
      <c r="IE35" s="100"/>
      <c r="IF35" s="100"/>
      <c r="IG35" s="100"/>
      <c r="IH35" s="100"/>
      <c r="II35" s="100"/>
      <c r="IJ35" s="100"/>
      <c r="IK35" s="100"/>
      <c r="IL35" s="100"/>
      <c r="IM35" s="100"/>
      <c r="IN35" s="100"/>
      <c r="IO35" s="100"/>
      <c r="IP35" s="100"/>
      <c r="IQ35" s="100"/>
      <c r="IR35" s="100"/>
      <c r="IS35" s="100"/>
      <c r="IT35" s="100"/>
      <c r="IU35" s="100"/>
      <c r="IV35" s="100"/>
      <c r="IW35" s="100"/>
      <c r="IX35" s="100"/>
      <c r="IY35" s="100"/>
      <c r="IZ35" s="100"/>
      <c r="JA35" s="100"/>
      <c r="JB35" s="100"/>
      <c r="JC35" s="100"/>
      <c r="JD35" s="100"/>
      <c r="JE35" s="100"/>
      <c r="JF35" s="100"/>
      <c r="JG35" s="100"/>
      <c r="JH35" s="100"/>
      <c r="JI35" s="100"/>
      <c r="JJ35" s="100"/>
      <c r="JK35" s="100"/>
      <c r="JL35" s="100"/>
      <c r="JM35" s="100"/>
      <c r="JN35" s="100"/>
      <c r="JO35" s="100"/>
      <c r="JP35" s="100"/>
      <c r="JQ35" s="100"/>
      <c r="JR35" s="100"/>
      <c r="JS35" s="100"/>
      <c r="JT35" s="100"/>
      <c r="JU35" s="100"/>
      <c r="JV35" s="100"/>
      <c r="JW35" s="100"/>
      <c r="JX35" s="100"/>
      <c r="JY35" s="100"/>
      <c r="JZ35" s="100"/>
      <c r="KA35" s="100"/>
      <c r="KB35" s="100"/>
      <c r="KC35" s="100"/>
      <c r="KD35" s="100"/>
      <c r="KE35" s="100"/>
      <c r="KF35" s="100"/>
      <c r="KG35" s="100"/>
      <c r="KH35" s="100"/>
      <c r="KI35" s="100"/>
      <c r="KJ35" s="100"/>
    </row>
    <row r="36" spans="1:296" s="39" customFormat="1" x14ac:dyDescent="0.3">
      <c r="A36" s="71" t="s">
        <v>118</v>
      </c>
      <c r="B36" s="72" t="str">
        <f>VLOOKUP(A36,'[1]PRODUCTO NACIONAL'!$A$4:$R$161,6,FALSE)</f>
        <v>PRADA ROMBOS|CUADROS</v>
      </c>
      <c r="C36" s="73">
        <f>IFERROR(HLOOKUP(A36,[2]dimensiones_pdfs!$C$3:$Z$5,3,FALSE),0)</f>
        <v>0</v>
      </c>
      <c r="D36" s="107">
        <v>2</v>
      </c>
      <c r="E36" s="5">
        <f t="shared" si="0"/>
        <v>0</v>
      </c>
      <c r="F36" s="22"/>
      <c r="G36" s="5"/>
      <c r="H36"/>
      <c r="I36" s="28"/>
      <c r="K36" s="70"/>
      <c r="L36" s="75"/>
      <c r="M36" s="127"/>
      <c r="N36" s="77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100"/>
      <c r="CT36" s="100"/>
      <c r="CU36" s="100"/>
      <c r="CV36" s="100"/>
      <c r="CW36" s="100"/>
      <c r="CX36" s="100"/>
      <c r="CY36" s="100"/>
      <c r="CZ36" s="100"/>
      <c r="DA36" s="100"/>
      <c r="DB36" s="100"/>
      <c r="DC36" s="100"/>
      <c r="DD36" s="100"/>
      <c r="DE36" s="100"/>
      <c r="DF36" s="100"/>
      <c r="DG36" s="100"/>
      <c r="DH36" s="100"/>
      <c r="DI36" s="100"/>
      <c r="DJ36" s="100"/>
      <c r="DK36" s="100"/>
      <c r="DL36" s="100"/>
      <c r="DM36" s="100"/>
      <c r="DN36" s="100"/>
      <c r="DO36" s="100"/>
      <c r="DP36" s="100"/>
      <c r="DQ36" s="100"/>
      <c r="DR36" s="100"/>
      <c r="DS36" s="100"/>
      <c r="DT36" s="100"/>
      <c r="DU36" s="100"/>
      <c r="DV36" s="100"/>
      <c r="DW36" s="100"/>
      <c r="DX36" s="100"/>
      <c r="DY36" s="100"/>
      <c r="DZ36" s="100"/>
      <c r="EA36" s="100"/>
      <c r="EB36" s="100"/>
      <c r="EC36" s="100"/>
      <c r="ED36" s="100"/>
      <c r="EE36" s="100"/>
      <c r="EF36" s="100"/>
      <c r="EG36" s="100"/>
      <c r="EH36" s="100"/>
      <c r="EI36" s="100"/>
      <c r="EJ36" s="100"/>
      <c r="EK36" s="100"/>
      <c r="EL36" s="100"/>
      <c r="EM36" s="100"/>
      <c r="EN36" s="100"/>
      <c r="EO36" s="100"/>
      <c r="EP36" s="100"/>
      <c r="EQ36" s="100"/>
      <c r="ER36" s="100"/>
      <c r="ES36" s="100"/>
      <c r="ET36" s="100"/>
      <c r="EU36" s="100"/>
      <c r="EV36" s="100"/>
      <c r="EW36" s="100"/>
      <c r="EX36" s="100"/>
      <c r="EY36" s="100"/>
      <c r="EZ36" s="100"/>
      <c r="FA36" s="100"/>
      <c r="FB36" s="100"/>
      <c r="FC36" s="100"/>
      <c r="FD36" s="100"/>
      <c r="FE36" s="100"/>
      <c r="FF36" s="100"/>
      <c r="FG36" s="100"/>
      <c r="FH36" s="100"/>
      <c r="FI36" s="100"/>
      <c r="FJ36" s="100"/>
      <c r="FK36" s="100"/>
      <c r="FL36" s="100"/>
      <c r="FM36" s="100"/>
      <c r="FN36" s="100"/>
      <c r="FO36" s="100"/>
      <c r="FP36" s="100"/>
      <c r="FQ36" s="100"/>
      <c r="FR36" s="100"/>
      <c r="FS36" s="100"/>
      <c r="FT36" s="100"/>
      <c r="FU36" s="100"/>
      <c r="FV36" s="100"/>
      <c r="FW36" s="100"/>
      <c r="FX36" s="100"/>
      <c r="FY36" s="100"/>
      <c r="FZ36" s="100"/>
      <c r="GA36" s="100"/>
      <c r="GB36" s="100"/>
      <c r="GC36" s="100"/>
      <c r="GD36" s="100"/>
      <c r="GE36" s="100"/>
      <c r="GF36" s="100"/>
      <c r="GG36" s="100"/>
      <c r="GH36" s="100"/>
      <c r="GI36" s="100"/>
      <c r="GJ36" s="100"/>
      <c r="GK36" s="100"/>
      <c r="GL36" s="100"/>
      <c r="GM36" s="100"/>
      <c r="GN36" s="100"/>
      <c r="GO36" s="100"/>
      <c r="GP36" s="100"/>
      <c r="GQ36" s="100"/>
      <c r="GR36" s="100"/>
      <c r="GS36" s="100"/>
      <c r="GT36" s="100"/>
      <c r="GU36" s="100"/>
      <c r="GV36" s="100"/>
      <c r="GW36" s="100"/>
      <c r="GX36" s="100"/>
      <c r="GY36" s="100"/>
      <c r="GZ36" s="100"/>
      <c r="HA36" s="100"/>
      <c r="HB36" s="100"/>
      <c r="HC36" s="100"/>
      <c r="HD36" s="100"/>
      <c r="HE36" s="100"/>
      <c r="HF36" s="100"/>
      <c r="HG36" s="100"/>
      <c r="HH36" s="100"/>
      <c r="HI36" s="100"/>
      <c r="HJ36" s="100"/>
      <c r="HK36" s="100"/>
      <c r="HL36" s="100"/>
      <c r="HM36" s="100"/>
      <c r="HN36" s="100"/>
      <c r="HO36" s="100"/>
      <c r="HP36" s="100"/>
      <c r="HQ36" s="100"/>
      <c r="HR36" s="100"/>
      <c r="HS36" s="100"/>
      <c r="HT36" s="100"/>
      <c r="HU36" s="100"/>
      <c r="HV36" s="100"/>
      <c r="HW36" s="100"/>
      <c r="HX36" s="100"/>
      <c r="HY36" s="100"/>
      <c r="HZ36" s="100"/>
      <c r="IA36" s="100"/>
      <c r="IB36" s="100"/>
      <c r="IC36" s="100"/>
      <c r="ID36" s="100"/>
      <c r="IE36" s="100"/>
      <c r="IF36" s="100"/>
      <c r="IG36" s="100"/>
      <c r="IH36" s="100"/>
      <c r="II36" s="100"/>
      <c r="IJ36" s="100"/>
      <c r="IK36" s="100"/>
      <c r="IL36" s="100"/>
      <c r="IM36" s="100"/>
      <c r="IN36" s="100"/>
      <c r="IO36" s="100"/>
      <c r="IP36" s="100"/>
      <c r="IQ36" s="100"/>
      <c r="IR36" s="100"/>
      <c r="IS36" s="100"/>
      <c r="IT36" s="100"/>
      <c r="IU36" s="100"/>
      <c r="IV36" s="100"/>
      <c r="IW36" s="100"/>
      <c r="IX36" s="100"/>
      <c r="IY36" s="100"/>
      <c r="IZ36" s="100"/>
      <c r="JA36" s="100"/>
      <c r="JB36" s="100"/>
      <c r="JC36" s="100"/>
      <c r="JD36" s="100"/>
      <c r="JE36" s="100"/>
      <c r="JF36" s="100"/>
      <c r="JG36" s="100"/>
      <c r="JH36" s="100"/>
      <c r="JI36" s="100"/>
      <c r="JJ36" s="100"/>
      <c r="JK36" s="100"/>
      <c r="JL36" s="100"/>
      <c r="JM36" s="100"/>
      <c r="JN36" s="100"/>
      <c r="JO36" s="100"/>
      <c r="JP36" s="100"/>
      <c r="JQ36" s="100"/>
      <c r="JR36" s="100"/>
      <c r="JS36" s="100"/>
      <c r="JT36" s="100"/>
      <c r="JU36" s="100"/>
      <c r="JV36" s="100"/>
      <c r="JW36" s="100"/>
      <c r="JX36" s="100"/>
      <c r="JY36" s="100"/>
      <c r="JZ36" s="100"/>
      <c r="KA36" s="100"/>
      <c r="KB36" s="100"/>
      <c r="KC36" s="100"/>
      <c r="KD36" s="100"/>
      <c r="KE36" s="100"/>
      <c r="KF36" s="100"/>
      <c r="KG36" s="100"/>
      <c r="KH36" s="100"/>
      <c r="KI36" s="100"/>
      <c r="KJ36" s="100"/>
    </row>
    <row r="37" spans="1:296" s="39" customFormat="1" x14ac:dyDescent="0.3">
      <c r="A37" s="71" t="s">
        <v>121</v>
      </c>
      <c r="B37" s="72" t="str">
        <f>VLOOKUP(A37,'[1]PRODUCTO NACIONAL'!$A$4:$R$161,6,FALSE)</f>
        <v>D2003 Rollo Pike Deportivo 1.70m x 160gr</v>
      </c>
      <c r="C37" s="73">
        <f>IFERROR(HLOOKUP(A37,[2]dimensiones_pdfs!$C$3:$Z$5,3,FALSE),0)</f>
        <v>5.8723673927031097</v>
      </c>
      <c r="D37" s="107">
        <f>VLOOKUP(A37,'[1]PRODUCTO NACIONAL'!$A$4:$R$161,18,FALSE)</f>
        <v>1.5306122448979591</v>
      </c>
      <c r="E37" s="5">
        <f t="shared" si="0"/>
        <v>-8.9883174378108812</v>
      </c>
      <c r="F37" s="22"/>
      <c r="G37" s="5"/>
      <c r="H37"/>
      <c r="I37" s="28"/>
      <c r="K37" s="70"/>
      <c r="L37" s="75"/>
      <c r="M37" s="127"/>
      <c r="N37" s="77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0"/>
      <c r="CT37" s="100"/>
      <c r="CU37" s="100"/>
      <c r="CV37" s="100"/>
      <c r="CW37" s="100"/>
      <c r="CX37" s="100"/>
      <c r="CY37" s="100"/>
      <c r="CZ37" s="100"/>
      <c r="DA37" s="100"/>
      <c r="DB37" s="100"/>
      <c r="DC37" s="100"/>
      <c r="DD37" s="100"/>
      <c r="DE37" s="100"/>
      <c r="DF37" s="100"/>
      <c r="DG37" s="100"/>
      <c r="DH37" s="100"/>
      <c r="DI37" s="100"/>
      <c r="DJ37" s="100"/>
      <c r="DK37" s="100"/>
      <c r="DL37" s="100"/>
      <c r="DM37" s="100"/>
      <c r="DN37" s="100"/>
      <c r="DO37" s="100"/>
      <c r="DP37" s="100"/>
      <c r="DQ37" s="100"/>
      <c r="DR37" s="100"/>
      <c r="DS37" s="100"/>
      <c r="DT37" s="100"/>
      <c r="DU37" s="100"/>
      <c r="DV37" s="100"/>
      <c r="DW37" s="100"/>
      <c r="DX37" s="100"/>
      <c r="DY37" s="100"/>
      <c r="DZ37" s="100"/>
      <c r="EA37" s="100"/>
      <c r="EB37" s="100"/>
      <c r="EC37" s="100"/>
      <c r="ED37" s="100"/>
      <c r="EE37" s="100"/>
      <c r="EF37" s="100"/>
      <c r="EG37" s="100"/>
      <c r="EH37" s="100"/>
      <c r="EI37" s="100"/>
      <c r="EJ37" s="100"/>
      <c r="EK37" s="100"/>
      <c r="EL37" s="100"/>
      <c r="EM37" s="100"/>
      <c r="EN37" s="100"/>
      <c r="EO37" s="100"/>
      <c r="EP37" s="100"/>
      <c r="EQ37" s="100"/>
      <c r="ER37" s="100"/>
      <c r="ES37" s="100"/>
      <c r="ET37" s="100"/>
      <c r="EU37" s="100"/>
      <c r="EV37" s="100"/>
      <c r="EW37" s="100"/>
      <c r="EX37" s="100"/>
      <c r="EY37" s="100"/>
      <c r="EZ37" s="100"/>
      <c r="FA37" s="100"/>
      <c r="FB37" s="100"/>
      <c r="FC37" s="100"/>
      <c r="FD37" s="100"/>
      <c r="FE37" s="100"/>
      <c r="FF37" s="100"/>
      <c r="FG37" s="100"/>
      <c r="FH37" s="100"/>
      <c r="FI37" s="100"/>
      <c r="FJ37" s="100"/>
      <c r="FK37" s="100"/>
      <c r="FL37" s="100"/>
      <c r="FM37" s="100"/>
      <c r="FN37" s="100"/>
      <c r="FO37" s="100"/>
      <c r="FP37" s="100"/>
      <c r="FQ37" s="100"/>
      <c r="FR37" s="100"/>
      <c r="FS37" s="100"/>
      <c r="FT37" s="100"/>
      <c r="FU37" s="100"/>
      <c r="FV37" s="100"/>
      <c r="FW37" s="100"/>
      <c r="FX37" s="100"/>
      <c r="FY37" s="100"/>
      <c r="FZ37" s="100"/>
      <c r="GA37" s="100"/>
      <c r="GB37" s="100"/>
      <c r="GC37" s="100"/>
      <c r="GD37" s="100"/>
      <c r="GE37" s="100"/>
      <c r="GF37" s="100"/>
      <c r="GG37" s="100"/>
      <c r="GH37" s="100"/>
      <c r="GI37" s="100"/>
      <c r="GJ37" s="100"/>
      <c r="GK37" s="100"/>
      <c r="GL37" s="100"/>
      <c r="GM37" s="100"/>
      <c r="GN37" s="100"/>
      <c r="GO37" s="100"/>
      <c r="GP37" s="100"/>
      <c r="GQ37" s="100"/>
      <c r="GR37" s="100"/>
      <c r="GS37" s="100"/>
      <c r="GT37" s="100"/>
      <c r="GU37" s="100"/>
      <c r="GV37" s="100"/>
      <c r="GW37" s="100"/>
      <c r="GX37" s="100"/>
      <c r="GY37" s="100"/>
      <c r="GZ37" s="100"/>
      <c r="HA37" s="100"/>
      <c r="HB37" s="100"/>
      <c r="HC37" s="100"/>
      <c r="HD37" s="100"/>
      <c r="HE37" s="100"/>
      <c r="HF37" s="100"/>
      <c r="HG37" s="100"/>
      <c r="HH37" s="100"/>
      <c r="HI37" s="100"/>
      <c r="HJ37" s="100"/>
      <c r="HK37" s="100"/>
      <c r="HL37" s="100"/>
      <c r="HM37" s="100"/>
      <c r="HN37" s="100"/>
      <c r="HO37" s="100"/>
      <c r="HP37" s="100"/>
      <c r="HQ37" s="100"/>
      <c r="HR37" s="100"/>
      <c r="HS37" s="100"/>
      <c r="HT37" s="100"/>
      <c r="HU37" s="100"/>
      <c r="HV37" s="100"/>
      <c r="HW37" s="100"/>
      <c r="HX37" s="100"/>
      <c r="HY37" s="100"/>
      <c r="HZ37" s="100"/>
      <c r="IA37" s="100"/>
      <c r="IB37" s="100"/>
      <c r="IC37" s="100"/>
      <c r="ID37" s="100"/>
      <c r="IE37" s="100"/>
      <c r="IF37" s="100"/>
      <c r="IG37" s="100"/>
      <c r="IH37" s="100"/>
      <c r="II37" s="100"/>
      <c r="IJ37" s="100"/>
      <c r="IK37" s="100"/>
      <c r="IL37" s="100"/>
      <c r="IM37" s="100"/>
      <c r="IN37" s="100"/>
      <c r="IO37" s="100"/>
      <c r="IP37" s="100"/>
      <c r="IQ37" s="100"/>
      <c r="IR37" s="100"/>
      <c r="IS37" s="100"/>
      <c r="IT37" s="100"/>
      <c r="IU37" s="100"/>
      <c r="IV37" s="100"/>
      <c r="IW37" s="100"/>
      <c r="IX37" s="100"/>
      <c r="IY37" s="100"/>
      <c r="IZ37" s="100"/>
      <c r="JA37" s="100"/>
      <c r="JB37" s="100"/>
      <c r="JC37" s="100"/>
      <c r="JD37" s="100"/>
      <c r="JE37" s="100"/>
      <c r="JF37" s="100"/>
      <c r="JG37" s="100"/>
      <c r="JH37" s="100"/>
      <c r="JI37" s="100"/>
      <c r="JJ37" s="100"/>
      <c r="JK37" s="100"/>
      <c r="JL37" s="100"/>
      <c r="JM37" s="100"/>
      <c r="JN37" s="100"/>
      <c r="JO37" s="100"/>
      <c r="JP37" s="100"/>
      <c r="JQ37" s="100"/>
      <c r="JR37" s="100"/>
      <c r="JS37" s="100"/>
      <c r="JT37" s="100"/>
      <c r="JU37" s="100"/>
      <c r="JV37" s="100"/>
      <c r="JW37" s="100"/>
      <c r="JX37" s="100"/>
      <c r="JY37" s="100"/>
      <c r="JZ37" s="100"/>
      <c r="KA37" s="100"/>
      <c r="KB37" s="100"/>
      <c r="KC37" s="100"/>
      <c r="KD37" s="100"/>
      <c r="KE37" s="100"/>
      <c r="KF37" s="100"/>
      <c r="KG37" s="100"/>
      <c r="KH37" s="100"/>
      <c r="KI37" s="100"/>
      <c r="KJ37" s="100"/>
    </row>
    <row r="38" spans="1:296" s="39" customFormat="1" x14ac:dyDescent="0.3">
      <c r="A38" s="71" t="s">
        <v>124</v>
      </c>
      <c r="B38" s="72" t="str">
        <f>VLOOKUP(A38,'[1]PRODUCTO NACIONAL'!$A$4:$R$161,6,FALSE)</f>
        <v>PIKE LACOAST 20 PEI AZUL MARINO| OSCURO</v>
      </c>
      <c r="C38" s="73">
        <f>IFERROR(HLOOKUP(A38,[2]dimensiones_pdfs!$C$3:$Z$5,3,FALSE),0)</f>
        <v>0</v>
      </c>
      <c r="D38" s="107">
        <f>VLOOKUP(A38,'[1]PRODUCTO NACIONAL'!$A$4:$R$161,18,FALSE)</f>
        <v>5.5618400000000001</v>
      </c>
      <c r="E38" s="5">
        <f t="shared" si="0"/>
        <v>0</v>
      </c>
      <c r="F38" s="22"/>
      <c r="G38" s="5"/>
      <c r="H38"/>
      <c r="I38" s="28"/>
      <c r="K38" s="70"/>
      <c r="L38" s="75"/>
      <c r="M38" s="127"/>
      <c r="N38" s="77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0"/>
      <c r="BN38" s="100"/>
      <c r="BO38" s="100"/>
      <c r="BP38" s="100"/>
      <c r="BQ38" s="100"/>
      <c r="BR38" s="100"/>
      <c r="BS38" s="100"/>
      <c r="BT38" s="100"/>
      <c r="BU38" s="100"/>
      <c r="BV38" s="100"/>
      <c r="BW38" s="100"/>
      <c r="BX38" s="100"/>
      <c r="BY38" s="100"/>
      <c r="BZ38" s="100"/>
      <c r="CA38" s="100"/>
      <c r="CB38" s="100"/>
      <c r="CC38" s="100"/>
      <c r="CD38" s="100"/>
      <c r="CE38" s="100"/>
      <c r="CF38" s="100"/>
      <c r="CG38" s="100"/>
      <c r="CH38" s="100"/>
      <c r="CI38" s="100"/>
      <c r="CJ38" s="100"/>
      <c r="CK38" s="100"/>
      <c r="CL38" s="100"/>
      <c r="CM38" s="100"/>
      <c r="CN38" s="100"/>
      <c r="CO38" s="100"/>
      <c r="CP38" s="100"/>
      <c r="CQ38" s="100"/>
      <c r="CR38" s="100"/>
      <c r="CS38" s="100"/>
      <c r="CT38" s="100"/>
      <c r="CU38" s="100"/>
      <c r="CV38" s="100"/>
      <c r="CW38" s="100"/>
      <c r="CX38" s="100"/>
      <c r="CY38" s="100"/>
      <c r="CZ38" s="100"/>
      <c r="DA38" s="100"/>
      <c r="DB38" s="100"/>
      <c r="DC38" s="100"/>
      <c r="DD38" s="100"/>
      <c r="DE38" s="100"/>
      <c r="DF38" s="100"/>
      <c r="DG38" s="100"/>
      <c r="DH38" s="100"/>
      <c r="DI38" s="100"/>
      <c r="DJ38" s="100"/>
      <c r="DK38" s="100"/>
      <c r="DL38" s="100"/>
      <c r="DM38" s="100"/>
      <c r="DN38" s="100"/>
      <c r="DO38" s="100"/>
      <c r="DP38" s="100"/>
      <c r="DQ38" s="100"/>
      <c r="DR38" s="100"/>
      <c r="DS38" s="100"/>
      <c r="DT38" s="100"/>
      <c r="DU38" s="100"/>
      <c r="DV38" s="100"/>
      <c r="DW38" s="100"/>
      <c r="DX38" s="100"/>
      <c r="DY38" s="100"/>
      <c r="DZ38" s="100"/>
      <c r="EA38" s="100"/>
      <c r="EB38" s="100"/>
      <c r="EC38" s="100"/>
      <c r="ED38" s="100"/>
      <c r="EE38" s="100"/>
      <c r="EF38" s="100"/>
      <c r="EG38" s="100"/>
      <c r="EH38" s="100"/>
      <c r="EI38" s="100"/>
      <c r="EJ38" s="100"/>
      <c r="EK38" s="100"/>
      <c r="EL38" s="100"/>
      <c r="EM38" s="100"/>
      <c r="EN38" s="100"/>
      <c r="EO38" s="100"/>
      <c r="EP38" s="100"/>
      <c r="EQ38" s="100"/>
      <c r="ER38" s="100"/>
      <c r="ES38" s="100"/>
      <c r="ET38" s="100"/>
      <c r="EU38" s="100"/>
      <c r="EV38" s="100"/>
      <c r="EW38" s="100"/>
      <c r="EX38" s="100"/>
      <c r="EY38" s="100"/>
      <c r="EZ38" s="100"/>
      <c r="FA38" s="100"/>
      <c r="FB38" s="100"/>
      <c r="FC38" s="100"/>
      <c r="FD38" s="100"/>
      <c r="FE38" s="100"/>
      <c r="FF38" s="100"/>
      <c r="FG38" s="100"/>
      <c r="FH38" s="100"/>
      <c r="FI38" s="100"/>
      <c r="FJ38" s="100"/>
      <c r="FK38" s="100"/>
      <c r="FL38" s="100"/>
      <c r="FM38" s="100"/>
      <c r="FN38" s="100"/>
      <c r="FO38" s="100"/>
      <c r="FP38" s="100"/>
      <c r="FQ38" s="100"/>
      <c r="FR38" s="100"/>
      <c r="FS38" s="100"/>
      <c r="FT38" s="100"/>
      <c r="FU38" s="100"/>
      <c r="FV38" s="100"/>
      <c r="FW38" s="100"/>
      <c r="FX38" s="100"/>
      <c r="FY38" s="100"/>
      <c r="FZ38" s="100"/>
      <c r="GA38" s="100"/>
      <c r="GB38" s="100"/>
      <c r="GC38" s="100"/>
      <c r="GD38" s="100"/>
      <c r="GE38" s="100"/>
      <c r="GF38" s="100"/>
      <c r="GG38" s="100"/>
      <c r="GH38" s="100"/>
      <c r="GI38" s="100"/>
      <c r="GJ38" s="100"/>
      <c r="GK38" s="100"/>
      <c r="GL38" s="100"/>
      <c r="GM38" s="100"/>
      <c r="GN38" s="100"/>
      <c r="GO38" s="100"/>
      <c r="GP38" s="100"/>
      <c r="GQ38" s="100"/>
      <c r="GR38" s="100"/>
      <c r="GS38" s="100"/>
      <c r="GT38" s="100"/>
      <c r="GU38" s="100"/>
      <c r="GV38" s="100"/>
      <c r="GW38" s="100"/>
      <c r="GX38" s="100"/>
      <c r="GY38" s="100"/>
      <c r="GZ38" s="100"/>
      <c r="HA38" s="100"/>
      <c r="HB38" s="100"/>
      <c r="HC38" s="100"/>
      <c r="HD38" s="100"/>
      <c r="HE38" s="100"/>
      <c r="HF38" s="100"/>
      <c r="HG38" s="100"/>
      <c r="HH38" s="100"/>
      <c r="HI38" s="100"/>
      <c r="HJ38" s="100"/>
      <c r="HK38" s="100"/>
      <c r="HL38" s="100"/>
      <c r="HM38" s="100"/>
      <c r="HN38" s="100"/>
      <c r="HO38" s="100"/>
      <c r="HP38" s="100"/>
      <c r="HQ38" s="100"/>
      <c r="HR38" s="100"/>
      <c r="HS38" s="100"/>
      <c r="HT38" s="100"/>
      <c r="HU38" s="100"/>
      <c r="HV38" s="100"/>
      <c r="HW38" s="100"/>
      <c r="HX38" s="100"/>
      <c r="HY38" s="100"/>
      <c r="HZ38" s="100"/>
      <c r="IA38" s="100"/>
      <c r="IB38" s="100"/>
      <c r="IC38" s="100"/>
      <c r="ID38" s="100"/>
      <c r="IE38" s="100"/>
      <c r="IF38" s="100"/>
      <c r="IG38" s="100"/>
      <c r="IH38" s="100"/>
      <c r="II38" s="100"/>
      <c r="IJ38" s="100"/>
      <c r="IK38" s="100"/>
      <c r="IL38" s="100"/>
      <c r="IM38" s="100"/>
      <c r="IN38" s="100"/>
      <c r="IO38" s="100"/>
      <c r="IP38" s="100"/>
      <c r="IQ38" s="100"/>
      <c r="IR38" s="100"/>
      <c r="IS38" s="100"/>
      <c r="IT38" s="100"/>
      <c r="IU38" s="100"/>
      <c r="IV38" s="100"/>
      <c r="IW38" s="100"/>
      <c r="IX38" s="100"/>
      <c r="IY38" s="100"/>
      <c r="IZ38" s="100"/>
      <c r="JA38" s="100"/>
      <c r="JB38" s="100"/>
      <c r="JC38" s="100"/>
      <c r="JD38" s="100"/>
      <c r="JE38" s="100"/>
      <c r="JF38" s="100"/>
      <c r="JG38" s="100"/>
      <c r="JH38" s="100"/>
      <c r="JI38" s="100"/>
      <c r="JJ38" s="100"/>
      <c r="JK38" s="100"/>
      <c r="JL38" s="100"/>
      <c r="JM38" s="100"/>
      <c r="JN38" s="100"/>
      <c r="JO38" s="100"/>
      <c r="JP38" s="100"/>
      <c r="JQ38" s="100"/>
      <c r="JR38" s="100"/>
      <c r="JS38" s="100"/>
      <c r="JT38" s="100"/>
      <c r="JU38" s="100"/>
      <c r="JV38" s="100"/>
      <c r="JW38" s="100"/>
      <c r="JX38" s="100"/>
      <c r="JY38" s="100"/>
      <c r="JZ38" s="100"/>
      <c r="KA38" s="100"/>
      <c r="KB38" s="100"/>
      <c r="KC38" s="100"/>
      <c r="KD38" s="100"/>
      <c r="KE38" s="100"/>
      <c r="KF38" s="100"/>
      <c r="KG38" s="100"/>
      <c r="KH38" s="100"/>
      <c r="KI38" s="100"/>
      <c r="KJ38" s="100"/>
    </row>
    <row r="39" spans="1:296" s="39" customFormat="1" x14ac:dyDescent="0.3">
      <c r="A39"/>
      <c r="B39" s="100"/>
      <c r="C39" s="100"/>
      <c r="D39" s="100"/>
      <c r="E39" s="100"/>
      <c r="F39" s="7"/>
      <c r="G39" s="5"/>
      <c r="H39"/>
      <c r="I39" s="28"/>
      <c r="K39" s="70"/>
      <c r="L39" s="75"/>
      <c r="M39" s="127"/>
      <c r="N39" s="77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  <c r="CT39" s="100"/>
      <c r="CU39" s="100"/>
      <c r="CV39" s="100"/>
      <c r="CW39" s="100"/>
      <c r="CX39" s="100"/>
      <c r="CY39" s="100"/>
      <c r="CZ39" s="100"/>
      <c r="DA39" s="100"/>
      <c r="DB39" s="100"/>
      <c r="DC39" s="100"/>
      <c r="DD39" s="100"/>
      <c r="DE39" s="100"/>
      <c r="DF39" s="100"/>
      <c r="DG39" s="100"/>
      <c r="DH39" s="100"/>
      <c r="DI39" s="100"/>
      <c r="DJ39" s="100"/>
      <c r="DK39" s="100"/>
      <c r="DL39" s="100"/>
      <c r="DM39" s="100"/>
      <c r="DN39" s="100"/>
      <c r="DO39" s="100"/>
      <c r="DP39" s="100"/>
      <c r="DQ39" s="100"/>
      <c r="DR39" s="100"/>
      <c r="DS39" s="100"/>
      <c r="DT39" s="100"/>
      <c r="DU39" s="100"/>
      <c r="DV39" s="100"/>
      <c r="DW39" s="100"/>
      <c r="DX39" s="100"/>
      <c r="DY39" s="100"/>
      <c r="DZ39" s="100"/>
      <c r="EA39" s="100"/>
      <c r="EB39" s="100"/>
      <c r="EC39" s="100"/>
      <c r="ED39" s="100"/>
      <c r="EE39" s="100"/>
      <c r="EF39" s="100"/>
      <c r="EG39" s="100"/>
      <c r="EH39" s="100"/>
      <c r="EI39" s="100"/>
      <c r="EJ39" s="100"/>
      <c r="EK39" s="100"/>
      <c r="EL39" s="100"/>
      <c r="EM39" s="100"/>
      <c r="EN39" s="100"/>
      <c r="EO39" s="100"/>
      <c r="EP39" s="100"/>
      <c r="EQ39" s="100"/>
      <c r="ER39" s="100"/>
      <c r="ES39" s="100"/>
      <c r="ET39" s="100"/>
      <c r="EU39" s="100"/>
      <c r="EV39" s="100"/>
      <c r="EW39" s="100"/>
      <c r="EX39" s="100"/>
      <c r="EY39" s="100"/>
      <c r="EZ39" s="100"/>
      <c r="FA39" s="100"/>
      <c r="FB39" s="100"/>
      <c r="FC39" s="100"/>
      <c r="FD39" s="100"/>
      <c r="FE39" s="100"/>
      <c r="FF39" s="100"/>
      <c r="FG39" s="100"/>
      <c r="FH39" s="100"/>
      <c r="FI39" s="100"/>
      <c r="FJ39" s="100"/>
      <c r="FK39" s="100"/>
      <c r="FL39" s="100"/>
      <c r="FM39" s="100"/>
      <c r="FN39" s="100"/>
      <c r="FO39" s="100"/>
      <c r="FP39" s="100"/>
      <c r="FQ39" s="100"/>
      <c r="FR39" s="100"/>
      <c r="FS39" s="100"/>
      <c r="FT39" s="100"/>
      <c r="FU39" s="100"/>
      <c r="FV39" s="100"/>
      <c r="FW39" s="100"/>
      <c r="FX39" s="100"/>
      <c r="FY39" s="100"/>
      <c r="FZ39" s="100"/>
      <c r="GA39" s="100"/>
      <c r="GB39" s="100"/>
      <c r="GC39" s="100"/>
      <c r="GD39" s="100"/>
      <c r="GE39" s="100"/>
      <c r="GF39" s="100"/>
      <c r="GG39" s="100"/>
      <c r="GH39" s="100"/>
      <c r="GI39" s="100"/>
      <c r="GJ39" s="100"/>
      <c r="GK39" s="100"/>
      <c r="GL39" s="100"/>
      <c r="GM39" s="100"/>
      <c r="GN39" s="100"/>
      <c r="GO39" s="100"/>
      <c r="GP39" s="100"/>
      <c r="GQ39" s="100"/>
      <c r="GR39" s="100"/>
      <c r="GS39" s="100"/>
      <c r="GT39" s="100"/>
      <c r="GU39" s="100"/>
      <c r="GV39" s="100"/>
      <c r="GW39" s="100"/>
      <c r="GX39" s="100"/>
      <c r="GY39" s="100"/>
      <c r="GZ39" s="100"/>
      <c r="HA39" s="100"/>
      <c r="HB39" s="100"/>
      <c r="HC39" s="100"/>
      <c r="HD39" s="100"/>
      <c r="HE39" s="100"/>
      <c r="HF39" s="100"/>
      <c r="HG39" s="100"/>
      <c r="HH39" s="100"/>
      <c r="HI39" s="100"/>
      <c r="HJ39" s="100"/>
      <c r="HK39" s="100"/>
      <c r="HL39" s="100"/>
      <c r="HM39" s="100"/>
      <c r="HN39" s="100"/>
      <c r="HO39" s="100"/>
      <c r="HP39" s="100"/>
      <c r="HQ39" s="100"/>
      <c r="HR39" s="100"/>
      <c r="HS39" s="100"/>
      <c r="HT39" s="100"/>
      <c r="HU39" s="100"/>
      <c r="HV39" s="100"/>
      <c r="HW39" s="100"/>
      <c r="HX39" s="100"/>
      <c r="HY39" s="100"/>
      <c r="HZ39" s="100"/>
      <c r="IA39" s="100"/>
      <c r="IB39" s="100"/>
      <c r="IC39" s="100"/>
      <c r="ID39" s="100"/>
      <c r="IE39" s="100"/>
      <c r="IF39" s="100"/>
      <c r="IG39" s="100"/>
      <c r="IH39" s="100"/>
      <c r="II39" s="100"/>
      <c r="IJ39" s="100"/>
      <c r="IK39" s="100"/>
      <c r="IL39" s="100"/>
      <c r="IM39" s="100"/>
      <c r="IN39" s="100"/>
      <c r="IO39" s="100"/>
      <c r="IP39" s="100"/>
      <c r="IQ39" s="100"/>
      <c r="IR39" s="100"/>
      <c r="IS39" s="100"/>
      <c r="IT39" s="100"/>
      <c r="IU39" s="100"/>
      <c r="IV39" s="100"/>
      <c r="IW39" s="100"/>
      <c r="IX39" s="100"/>
      <c r="IY39" s="100"/>
      <c r="IZ39" s="100"/>
      <c r="JA39" s="100"/>
      <c r="JB39" s="100"/>
      <c r="JC39" s="100"/>
      <c r="JD39" s="100"/>
      <c r="JE39" s="100"/>
      <c r="JF39" s="100"/>
      <c r="JG39" s="100"/>
      <c r="JH39" s="100"/>
      <c r="JI39" s="100"/>
      <c r="JJ39" s="100"/>
      <c r="JK39" s="100"/>
      <c r="JL39" s="100"/>
      <c r="JM39" s="100"/>
      <c r="JN39" s="100"/>
      <c r="JO39" s="100"/>
      <c r="JP39" s="100"/>
      <c r="JQ39" s="100"/>
      <c r="JR39" s="100"/>
      <c r="JS39" s="100"/>
      <c r="JT39" s="100"/>
      <c r="JU39" s="100"/>
      <c r="JV39" s="100"/>
      <c r="JW39" s="100"/>
      <c r="JX39" s="100"/>
      <c r="JY39" s="100"/>
      <c r="JZ39" s="100"/>
      <c r="KA39" s="100"/>
      <c r="KB39" s="100"/>
      <c r="KC39" s="100"/>
      <c r="KD39" s="100"/>
      <c r="KE39" s="100"/>
      <c r="KF39" s="100"/>
      <c r="KG39" s="100"/>
      <c r="KH39" s="100"/>
      <c r="KI39" s="100"/>
      <c r="KJ39" s="100"/>
    </row>
    <row r="40" spans="1:296" x14ac:dyDescent="0.3">
      <c r="F40" s="5"/>
      <c r="G40"/>
      <c r="H40" s="5"/>
    </row>
    <row r="41" spans="1:296" x14ac:dyDescent="0.3">
      <c r="C41" s="5"/>
      <c r="F41" s="5"/>
      <c r="G41"/>
      <c r="H41" s="5"/>
    </row>
    <row r="42" spans="1:296" x14ac:dyDescent="0.3">
      <c r="F42" s="5"/>
      <c r="G42"/>
      <c r="H42" s="5"/>
    </row>
    <row r="43" spans="1:296" x14ac:dyDescent="0.3">
      <c r="B43" s="69" t="s">
        <v>0</v>
      </c>
      <c r="C43" s="68" t="s">
        <v>24</v>
      </c>
      <c r="D43" s="109" t="s">
        <v>24</v>
      </c>
      <c r="E43" s="68">
        <f>+E66</f>
        <v>-990.09791666666661</v>
      </c>
    </row>
    <row r="48" spans="1:296" s="39" customFormat="1" x14ac:dyDescent="0.3">
      <c r="A48"/>
      <c r="B48" s="2"/>
      <c r="C48" s="5"/>
      <c r="D48" s="55"/>
      <c r="E48" s="27"/>
      <c r="F48" s="7"/>
      <c r="G48" s="5"/>
      <c r="H48"/>
      <c r="I48" s="28"/>
      <c r="K48" s="70"/>
      <c r="L48" s="75"/>
      <c r="M48" s="127"/>
      <c r="N48" s="77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  <c r="DC48" s="100"/>
      <c r="DD48" s="100"/>
      <c r="DE48" s="100"/>
      <c r="DF48" s="100"/>
      <c r="DG48" s="100"/>
      <c r="DH48" s="100"/>
      <c r="DI48" s="100"/>
      <c r="DJ48" s="100"/>
      <c r="DK48" s="100"/>
      <c r="DL48" s="100"/>
      <c r="DM48" s="100"/>
      <c r="DN48" s="100"/>
      <c r="DO48" s="100"/>
      <c r="DP48" s="100"/>
      <c r="DQ48" s="100"/>
      <c r="DR48" s="100"/>
      <c r="DS48" s="100"/>
      <c r="DT48" s="100"/>
      <c r="DU48" s="100"/>
      <c r="DV48" s="100"/>
      <c r="DW48" s="100"/>
      <c r="DX48" s="100"/>
      <c r="DY48" s="100"/>
      <c r="DZ48" s="100"/>
      <c r="EA48" s="100"/>
      <c r="EB48" s="100"/>
      <c r="EC48" s="100"/>
      <c r="ED48" s="100"/>
      <c r="EE48" s="100"/>
      <c r="EF48" s="100"/>
      <c r="EG48" s="100"/>
      <c r="EH48" s="100"/>
      <c r="EI48" s="100"/>
      <c r="EJ48" s="100"/>
      <c r="EK48" s="100"/>
      <c r="EL48" s="100"/>
      <c r="EM48" s="100"/>
      <c r="EN48" s="100"/>
      <c r="EO48" s="100"/>
      <c r="EP48" s="100"/>
      <c r="EQ48" s="100"/>
      <c r="ER48" s="100"/>
      <c r="ES48" s="100"/>
      <c r="ET48" s="100"/>
      <c r="EU48" s="100"/>
      <c r="EV48" s="100"/>
      <c r="EW48" s="100"/>
      <c r="EX48" s="100"/>
      <c r="EY48" s="100"/>
      <c r="EZ48" s="100"/>
      <c r="FA48" s="100"/>
      <c r="FB48" s="100"/>
      <c r="FC48" s="100"/>
      <c r="FD48" s="100"/>
      <c r="FE48" s="100"/>
      <c r="FF48" s="100"/>
      <c r="FG48" s="100"/>
      <c r="FH48" s="100"/>
      <c r="FI48" s="100"/>
      <c r="FJ48" s="100"/>
      <c r="FK48" s="100"/>
      <c r="FL48" s="100"/>
      <c r="FM48" s="100"/>
      <c r="FN48" s="100"/>
      <c r="FO48" s="100"/>
      <c r="FP48" s="100"/>
      <c r="FQ48" s="100"/>
      <c r="FR48" s="100"/>
      <c r="FS48" s="100"/>
      <c r="FT48" s="100"/>
      <c r="FU48" s="100"/>
      <c r="FV48" s="100"/>
      <c r="FW48" s="100"/>
      <c r="FX48" s="100"/>
      <c r="FY48" s="100"/>
      <c r="FZ48" s="100"/>
      <c r="GA48" s="100"/>
      <c r="GB48" s="100"/>
      <c r="GC48" s="100"/>
      <c r="GD48" s="100"/>
      <c r="GE48" s="100"/>
      <c r="GF48" s="100"/>
      <c r="GG48" s="100"/>
      <c r="GH48" s="100"/>
      <c r="GI48" s="100"/>
      <c r="GJ48" s="100"/>
      <c r="GK48" s="100"/>
      <c r="GL48" s="100"/>
      <c r="GM48" s="100"/>
      <c r="GN48" s="100"/>
      <c r="GO48" s="100"/>
      <c r="GP48" s="100"/>
      <c r="GQ48" s="100"/>
      <c r="GR48" s="100"/>
      <c r="GS48" s="100"/>
      <c r="GT48" s="100"/>
      <c r="GU48" s="100"/>
      <c r="GV48" s="100"/>
      <c r="GW48" s="100"/>
      <c r="GX48" s="100"/>
      <c r="GY48" s="100"/>
      <c r="GZ48" s="100"/>
      <c r="HA48" s="100"/>
      <c r="HB48" s="100"/>
      <c r="HC48" s="100"/>
      <c r="HD48" s="100"/>
      <c r="HE48" s="100"/>
      <c r="HF48" s="100"/>
      <c r="HG48" s="100"/>
      <c r="HH48" s="100"/>
      <c r="HI48" s="100"/>
      <c r="HJ48" s="100"/>
      <c r="HK48" s="100"/>
      <c r="HL48" s="100"/>
      <c r="HM48" s="100"/>
      <c r="HN48" s="100"/>
      <c r="HO48" s="100"/>
      <c r="HP48" s="100"/>
      <c r="HQ48" s="100"/>
      <c r="HR48" s="100"/>
      <c r="HS48" s="100"/>
      <c r="HT48" s="100"/>
      <c r="HU48" s="100"/>
      <c r="HV48" s="100"/>
      <c r="HW48" s="100"/>
      <c r="HX48" s="100"/>
      <c r="HY48" s="100"/>
      <c r="HZ48" s="100"/>
      <c r="IA48" s="100"/>
      <c r="IB48" s="100"/>
      <c r="IC48" s="100"/>
      <c r="ID48" s="100"/>
      <c r="IE48" s="100"/>
      <c r="IF48" s="100"/>
      <c r="IG48" s="100"/>
      <c r="IH48" s="100"/>
      <c r="II48" s="100"/>
      <c r="IJ48" s="100"/>
      <c r="IK48" s="100"/>
      <c r="IL48" s="100"/>
      <c r="IM48" s="100"/>
      <c r="IN48" s="100"/>
      <c r="IO48" s="100"/>
      <c r="IP48" s="100"/>
      <c r="IQ48" s="100"/>
      <c r="IR48" s="100"/>
      <c r="IS48" s="100"/>
      <c r="IT48" s="100"/>
      <c r="IU48" s="100"/>
      <c r="IV48" s="100"/>
      <c r="IW48" s="100"/>
      <c r="IX48" s="100"/>
      <c r="IY48" s="100"/>
      <c r="IZ48" s="100"/>
      <c r="JA48" s="100"/>
      <c r="JB48" s="100"/>
      <c r="JC48" s="100"/>
      <c r="JD48" s="100"/>
      <c r="JE48" s="100"/>
      <c r="JF48" s="100"/>
      <c r="JG48" s="100"/>
      <c r="JH48" s="100"/>
      <c r="JI48" s="100"/>
      <c r="JJ48" s="100"/>
      <c r="JK48" s="100"/>
      <c r="JL48" s="100"/>
      <c r="JM48" s="100"/>
      <c r="JN48" s="100"/>
      <c r="JO48" s="100"/>
      <c r="JP48" s="100"/>
      <c r="JQ48" s="100"/>
      <c r="JR48" s="100"/>
      <c r="JS48" s="100"/>
      <c r="JT48" s="100"/>
      <c r="JU48" s="100"/>
      <c r="JV48" s="100"/>
      <c r="JW48" s="100"/>
      <c r="JX48" s="100"/>
      <c r="JY48" s="100"/>
      <c r="JZ48" s="100"/>
      <c r="KA48" s="100"/>
      <c r="KB48" s="100"/>
      <c r="KC48" s="100"/>
      <c r="KD48" s="100"/>
      <c r="KE48" s="100"/>
      <c r="KF48" s="100"/>
      <c r="KG48" s="100"/>
      <c r="KH48" s="100"/>
      <c r="KI48" s="100"/>
      <c r="KJ48" s="100"/>
    </row>
    <row r="49" spans="1:296" s="39" customFormat="1" ht="18" x14ac:dyDescent="0.35">
      <c r="A49"/>
      <c r="B49" s="173" t="s">
        <v>0</v>
      </c>
      <c r="C49" s="173"/>
      <c r="D49" s="173"/>
      <c r="E49" s="173"/>
      <c r="F49" s="7"/>
      <c r="G49" s="5"/>
      <c r="H49"/>
      <c r="I49" s="28"/>
      <c r="K49" s="70"/>
      <c r="L49" s="75"/>
      <c r="M49" s="127"/>
      <c r="N49" s="77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00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100"/>
      <c r="CX49" s="100"/>
      <c r="CY49" s="100"/>
      <c r="CZ49" s="100"/>
      <c r="DA49" s="100"/>
      <c r="DB49" s="100"/>
      <c r="DC49" s="100"/>
      <c r="DD49" s="100"/>
      <c r="DE49" s="100"/>
      <c r="DF49" s="100"/>
      <c r="DG49" s="100"/>
      <c r="DH49" s="100"/>
      <c r="DI49" s="100"/>
      <c r="DJ49" s="100"/>
      <c r="DK49" s="100"/>
      <c r="DL49" s="100"/>
      <c r="DM49" s="100"/>
      <c r="DN49" s="100"/>
      <c r="DO49" s="100"/>
      <c r="DP49" s="100"/>
      <c r="DQ49" s="100"/>
      <c r="DR49" s="100"/>
      <c r="DS49" s="100"/>
      <c r="DT49" s="100"/>
      <c r="DU49" s="100"/>
      <c r="DV49" s="100"/>
      <c r="DW49" s="100"/>
      <c r="DX49" s="100"/>
      <c r="DY49" s="100"/>
      <c r="DZ49" s="100"/>
      <c r="EA49" s="100"/>
      <c r="EB49" s="100"/>
      <c r="EC49" s="100"/>
      <c r="ED49" s="100"/>
      <c r="EE49" s="100"/>
      <c r="EF49" s="100"/>
      <c r="EG49" s="100"/>
      <c r="EH49" s="100"/>
      <c r="EI49" s="100"/>
      <c r="EJ49" s="100"/>
      <c r="EK49" s="100"/>
      <c r="EL49" s="100"/>
      <c r="EM49" s="100"/>
      <c r="EN49" s="100"/>
      <c r="EO49" s="100"/>
      <c r="EP49" s="100"/>
      <c r="EQ49" s="100"/>
      <c r="ER49" s="100"/>
      <c r="ES49" s="100"/>
      <c r="ET49" s="100"/>
      <c r="EU49" s="100"/>
      <c r="EV49" s="100"/>
      <c r="EW49" s="100"/>
      <c r="EX49" s="100"/>
      <c r="EY49" s="100"/>
      <c r="EZ49" s="100"/>
      <c r="FA49" s="100"/>
      <c r="FB49" s="100"/>
      <c r="FC49" s="100"/>
      <c r="FD49" s="100"/>
      <c r="FE49" s="100"/>
      <c r="FF49" s="100"/>
      <c r="FG49" s="100"/>
      <c r="FH49" s="100"/>
      <c r="FI49" s="100"/>
      <c r="FJ49" s="100"/>
      <c r="FK49" s="100"/>
      <c r="FL49" s="100"/>
      <c r="FM49" s="100"/>
      <c r="FN49" s="100"/>
      <c r="FO49" s="100"/>
      <c r="FP49" s="100"/>
      <c r="FQ49" s="100"/>
      <c r="FR49" s="100"/>
      <c r="FS49" s="100"/>
      <c r="FT49" s="100"/>
      <c r="FU49" s="100"/>
      <c r="FV49" s="100"/>
      <c r="FW49" s="100"/>
      <c r="FX49" s="100"/>
      <c r="FY49" s="100"/>
      <c r="FZ49" s="100"/>
      <c r="GA49" s="100"/>
      <c r="GB49" s="100"/>
      <c r="GC49" s="100"/>
      <c r="GD49" s="100"/>
      <c r="GE49" s="100"/>
      <c r="GF49" s="100"/>
      <c r="GG49" s="100"/>
      <c r="GH49" s="100"/>
      <c r="GI49" s="100"/>
      <c r="GJ49" s="100"/>
      <c r="GK49" s="100"/>
      <c r="GL49" s="100"/>
      <c r="GM49" s="100"/>
      <c r="GN49" s="100"/>
      <c r="GO49" s="100"/>
      <c r="GP49" s="100"/>
      <c r="GQ49" s="100"/>
      <c r="GR49" s="100"/>
      <c r="GS49" s="100"/>
      <c r="GT49" s="100"/>
      <c r="GU49" s="100"/>
      <c r="GV49" s="100"/>
      <c r="GW49" s="100"/>
      <c r="GX49" s="100"/>
      <c r="GY49" s="100"/>
      <c r="GZ49" s="100"/>
      <c r="HA49" s="100"/>
      <c r="HB49" s="100"/>
      <c r="HC49" s="100"/>
      <c r="HD49" s="100"/>
      <c r="HE49" s="100"/>
      <c r="HF49" s="100"/>
      <c r="HG49" s="100"/>
      <c r="HH49" s="100"/>
      <c r="HI49" s="100"/>
      <c r="HJ49" s="100"/>
      <c r="HK49" s="100"/>
      <c r="HL49" s="100"/>
      <c r="HM49" s="100"/>
      <c r="HN49" s="100"/>
      <c r="HO49" s="100"/>
      <c r="HP49" s="100"/>
      <c r="HQ49" s="100"/>
      <c r="HR49" s="100"/>
      <c r="HS49" s="100"/>
      <c r="HT49" s="100"/>
      <c r="HU49" s="100"/>
      <c r="HV49" s="100"/>
      <c r="HW49" s="100"/>
      <c r="HX49" s="100"/>
      <c r="HY49" s="100"/>
      <c r="HZ49" s="100"/>
      <c r="IA49" s="100"/>
      <c r="IB49" s="100"/>
      <c r="IC49" s="100"/>
      <c r="ID49" s="100"/>
      <c r="IE49" s="100"/>
      <c r="IF49" s="100"/>
      <c r="IG49" s="100"/>
      <c r="IH49" s="100"/>
      <c r="II49" s="100"/>
      <c r="IJ49" s="100"/>
      <c r="IK49" s="100"/>
      <c r="IL49" s="100"/>
      <c r="IM49" s="100"/>
      <c r="IN49" s="100"/>
      <c r="IO49" s="100"/>
      <c r="IP49" s="100"/>
      <c r="IQ49" s="100"/>
      <c r="IR49" s="100"/>
      <c r="IS49" s="100"/>
      <c r="IT49" s="100"/>
      <c r="IU49" s="100"/>
      <c r="IV49" s="100"/>
      <c r="IW49" s="100"/>
      <c r="IX49" s="100"/>
      <c r="IY49" s="100"/>
      <c r="IZ49" s="100"/>
      <c r="JA49" s="100"/>
      <c r="JB49" s="100"/>
      <c r="JC49" s="100"/>
      <c r="JD49" s="100"/>
      <c r="JE49" s="100"/>
      <c r="JF49" s="100"/>
      <c r="JG49" s="100"/>
      <c r="JH49" s="100"/>
      <c r="JI49" s="100"/>
      <c r="JJ49" s="100"/>
      <c r="JK49" s="100"/>
      <c r="JL49" s="100"/>
      <c r="JM49" s="100"/>
      <c r="JN49" s="100"/>
      <c r="JO49" s="100"/>
      <c r="JP49" s="100"/>
      <c r="JQ49" s="100"/>
      <c r="JR49" s="100"/>
      <c r="JS49" s="100"/>
      <c r="JT49" s="100"/>
      <c r="JU49" s="100"/>
      <c r="JV49" s="100"/>
      <c r="JW49" s="100"/>
      <c r="JX49" s="100"/>
      <c r="JY49" s="100"/>
      <c r="JZ49" s="100"/>
      <c r="KA49" s="100"/>
      <c r="KB49" s="100"/>
      <c r="KC49" s="100"/>
      <c r="KD49" s="100"/>
      <c r="KE49" s="100"/>
      <c r="KF49" s="100"/>
      <c r="KG49" s="100"/>
      <c r="KH49" s="100"/>
      <c r="KI49" s="100"/>
      <c r="KJ49" s="100"/>
    </row>
    <row r="50" spans="1:296" s="39" customFormat="1" x14ac:dyDescent="0.3">
      <c r="A50"/>
      <c r="B50" s="1" t="s">
        <v>2</v>
      </c>
      <c r="C50" s="4" t="s">
        <v>5</v>
      </c>
      <c r="D50" s="110" t="s">
        <v>4</v>
      </c>
      <c r="E50" s="6" t="s">
        <v>3</v>
      </c>
      <c r="F50" s="7"/>
      <c r="G50" s="5"/>
      <c r="H50"/>
      <c r="I50" s="28"/>
      <c r="K50" s="70"/>
      <c r="L50" s="75"/>
      <c r="M50" s="127"/>
      <c r="N50" s="77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  <c r="BU50" s="100"/>
      <c r="BV50" s="100"/>
      <c r="BW50" s="100"/>
      <c r="BX50" s="100"/>
      <c r="BY50" s="100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/>
      <c r="CV50" s="100"/>
      <c r="CW50" s="100"/>
      <c r="CX50" s="100"/>
      <c r="CY50" s="100"/>
      <c r="CZ50" s="100"/>
      <c r="DA50" s="100"/>
      <c r="DB50" s="100"/>
      <c r="DC50" s="100"/>
      <c r="DD50" s="100"/>
      <c r="DE50" s="100"/>
      <c r="DF50" s="100"/>
      <c r="DG50" s="100"/>
      <c r="DH50" s="100"/>
      <c r="DI50" s="100"/>
      <c r="DJ50" s="100"/>
      <c r="DK50" s="100"/>
      <c r="DL50" s="100"/>
      <c r="DM50" s="100"/>
      <c r="DN50" s="100"/>
      <c r="DO50" s="100"/>
      <c r="DP50" s="100"/>
      <c r="DQ50" s="100"/>
      <c r="DR50" s="100"/>
      <c r="DS50" s="100"/>
      <c r="DT50" s="100"/>
      <c r="DU50" s="100"/>
      <c r="DV50" s="100"/>
      <c r="DW50" s="100"/>
      <c r="DX50" s="100"/>
      <c r="DY50" s="100"/>
      <c r="DZ50" s="100"/>
      <c r="EA50" s="100"/>
      <c r="EB50" s="100"/>
      <c r="EC50" s="100"/>
      <c r="ED50" s="100"/>
      <c r="EE50" s="100"/>
      <c r="EF50" s="100"/>
      <c r="EG50" s="100"/>
      <c r="EH50" s="100"/>
      <c r="EI50" s="100"/>
      <c r="EJ50" s="100"/>
      <c r="EK50" s="100"/>
      <c r="EL50" s="100"/>
      <c r="EM50" s="100"/>
      <c r="EN50" s="100"/>
      <c r="EO50" s="100"/>
      <c r="EP50" s="100"/>
      <c r="EQ50" s="100"/>
      <c r="ER50" s="100"/>
      <c r="ES50" s="100"/>
      <c r="ET50" s="100"/>
      <c r="EU50" s="100"/>
      <c r="EV50" s="100"/>
      <c r="EW50" s="100"/>
      <c r="EX50" s="100"/>
      <c r="EY50" s="100"/>
      <c r="EZ50" s="100"/>
      <c r="FA50" s="100"/>
      <c r="FB50" s="100"/>
      <c r="FC50" s="100"/>
      <c r="FD50" s="100"/>
      <c r="FE50" s="100"/>
      <c r="FF50" s="100"/>
      <c r="FG50" s="100"/>
      <c r="FH50" s="100"/>
      <c r="FI50" s="100"/>
      <c r="FJ50" s="100"/>
      <c r="FK50" s="100"/>
      <c r="FL50" s="100"/>
      <c r="FM50" s="100"/>
      <c r="FN50" s="100"/>
      <c r="FO50" s="100"/>
      <c r="FP50" s="100"/>
      <c r="FQ50" s="100"/>
      <c r="FR50" s="100"/>
      <c r="FS50" s="100"/>
      <c r="FT50" s="100"/>
      <c r="FU50" s="100"/>
      <c r="FV50" s="100"/>
      <c r="FW50" s="100"/>
      <c r="FX50" s="100"/>
      <c r="FY50" s="100"/>
      <c r="FZ50" s="100"/>
      <c r="GA50" s="100"/>
      <c r="GB50" s="100"/>
      <c r="GC50" s="100"/>
      <c r="GD50" s="100"/>
      <c r="GE50" s="100"/>
      <c r="GF50" s="100"/>
      <c r="GG50" s="100"/>
      <c r="GH50" s="100"/>
      <c r="GI50" s="100"/>
      <c r="GJ50" s="100"/>
      <c r="GK50" s="100"/>
      <c r="GL50" s="100"/>
      <c r="GM50" s="100"/>
      <c r="GN50" s="100"/>
      <c r="GO50" s="100"/>
      <c r="GP50" s="100"/>
      <c r="GQ50" s="100"/>
      <c r="GR50" s="100"/>
      <c r="GS50" s="100"/>
      <c r="GT50" s="100"/>
      <c r="GU50" s="100"/>
      <c r="GV50" s="100"/>
      <c r="GW50" s="100"/>
      <c r="GX50" s="100"/>
      <c r="GY50" s="100"/>
      <c r="GZ50" s="100"/>
      <c r="HA50" s="100"/>
      <c r="HB50" s="100"/>
      <c r="HC50" s="100"/>
      <c r="HD50" s="100"/>
      <c r="HE50" s="100"/>
      <c r="HF50" s="100"/>
      <c r="HG50" s="100"/>
      <c r="HH50" s="100"/>
      <c r="HI50" s="100"/>
      <c r="HJ50" s="100"/>
      <c r="HK50" s="100"/>
      <c r="HL50" s="100"/>
      <c r="HM50" s="100"/>
      <c r="HN50" s="100"/>
      <c r="HO50" s="100"/>
      <c r="HP50" s="100"/>
      <c r="HQ50" s="100"/>
      <c r="HR50" s="100"/>
      <c r="HS50" s="100"/>
      <c r="HT50" s="100"/>
      <c r="HU50" s="100"/>
      <c r="HV50" s="100"/>
      <c r="HW50" s="100"/>
      <c r="HX50" s="100"/>
      <c r="HY50" s="100"/>
      <c r="HZ50" s="100"/>
      <c r="IA50" s="100"/>
      <c r="IB50" s="100"/>
      <c r="IC50" s="100"/>
      <c r="ID50" s="100"/>
      <c r="IE50" s="100"/>
      <c r="IF50" s="100"/>
      <c r="IG50" s="100"/>
      <c r="IH50" s="100"/>
      <c r="II50" s="100"/>
      <c r="IJ50" s="100"/>
      <c r="IK50" s="100"/>
      <c r="IL50" s="100"/>
      <c r="IM50" s="100"/>
      <c r="IN50" s="100"/>
      <c r="IO50" s="100"/>
      <c r="IP50" s="100"/>
      <c r="IQ50" s="100"/>
      <c r="IR50" s="100"/>
      <c r="IS50" s="100"/>
      <c r="IT50" s="100"/>
      <c r="IU50" s="100"/>
      <c r="IV50" s="100"/>
      <c r="IW50" s="100"/>
      <c r="IX50" s="100"/>
      <c r="IY50" s="100"/>
      <c r="IZ50" s="100"/>
      <c r="JA50" s="100"/>
      <c r="JB50" s="100"/>
      <c r="JC50" s="100"/>
      <c r="JD50" s="100"/>
      <c r="JE50" s="100"/>
      <c r="JF50" s="100"/>
      <c r="JG50" s="100"/>
      <c r="JH50" s="100"/>
      <c r="JI50" s="100"/>
      <c r="JJ50" s="100"/>
      <c r="JK50" s="100"/>
      <c r="JL50" s="100"/>
      <c r="JM50" s="100"/>
      <c r="JN50" s="100"/>
      <c r="JO50" s="100"/>
      <c r="JP50" s="100"/>
      <c r="JQ50" s="100"/>
      <c r="JR50" s="100"/>
      <c r="JS50" s="100"/>
      <c r="JT50" s="100"/>
      <c r="JU50" s="100"/>
      <c r="JV50" s="100"/>
      <c r="JW50" s="100"/>
      <c r="JX50" s="100"/>
      <c r="JY50" s="100"/>
      <c r="JZ50" s="100"/>
      <c r="KA50" s="100"/>
      <c r="KB50" s="100"/>
      <c r="KC50" s="100"/>
      <c r="KD50" s="100"/>
      <c r="KE50" s="100"/>
      <c r="KF50" s="100"/>
      <c r="KG50" s="100"/>
      <c r="KH50" s="100"/>
      <c r="KI50" s="100"/>
      <c r="KJ50" s="100"/>
    </row>
    <row r="51" spans="1:296" s="39" customFormat="1" x14ac:dyDescent="0.3">
      <c r="A51"/>
      <c r="B51" t="s">
        <v>1</v>
      </c>
      <c r="C51" s="5">
        <v>18</v>
      </c>
      <c r="D51" s="111">
        <v>6</v>
      </c>
      <c r="E51" s="5">
        <f>-(+C51*D51)</f>
        <v>-108</v>
      </c>
      <c r="F51" s="7"/>
      <c r="G51" s="15"/>
      <c r="H51"/>
      <c r="I51" s="28"/>
      <c r="K51" s="70"/>
      <c r="L51" s="75"/>
      <c r="M51" s="127"/>
      <c r="N51" s="77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0"/>
      <c r="DE51" s="100"/>
      <c r="DF51" s="100"/>
      <c r="DG51" s="100"/>
      <c r="DH51" s="100"/>
      <c r="DI51" s="100"/>
      <c r="DJ51" s="100"/>
      <c r="DK51" s="100"/>
      <c r="DL51" s="100"/>
      <c r="DM51" s="100"/>
      <c r="DN51" s="100"/>
      <c r="DO51" s="100"/>
      <c r="DP51" s="100"/>
      <c r="DQ51" s="100"/>
      <c r="DR51" s="100"/>
      <c r="DS51" s="100"/>
      <c r="DT51" s="100"/>
      <c r="DU51" s="100"/>
      <c r="DV51" s="100"/>
      <c r="DW51" s="100"/>
      <c r="DX51" s="100"/>
      <c r="DY51" s="100"/>
      <c r="DZ51" s="100"/>
      <c r="EA51" s="100"/>
      <c r="EB51" s="100"/>
      <c r="EC51" s="100"/>
      <c r="ED51" s="100"/>
      <c r="EE51" s="100"/>
      <c r="EF51" s="100"/>
      <c r="EG51" s="100"/>
      <c r="EH51" s="100"/>
      <c r="EI51" s="100"/>
      <c r="EJ51" s="100"/>
      <c r="EK51" s="100"/>
      <c r="EL51" s="100"/>
      <c r="EM51" s="100"/>
      <c r="EN51" s="100"/>
      <c r="EO51" s="100"/>
      <c r="EP51" s="100"/>
      <c r="EQ51" s="100"/>
      <c r="ER51" s="100"/>
      <c r="ES51" s="100"/>
      <c r="ET51" s="100"/>
      <c r="EU51" s="100"/>
      <c r="EV51" s="100"/>
      <c r="EW51" s="100"/>
      <c r="EX51" s="100"/>
      <c r="EY51" s="100"/>
      <c r="EZ51" s="100"/>
      <c r="FA51" s="100"/>
      <c r="FB51" s="100"/>
      <c r="FC51" s="100"/>
      <c r="FD51" s="100"/>
      <c r="FE51" s="100"/>
      <c r="FF51" s="100"/>
      <c r="FG51" s="100"/>
      <c r="FH51" s="100"/>
      <c r="FI51" s="100"/>
      <c r="FJ51" s="100"/>
      <c r="FK51" s="100"/>
      <c r="FL51" s="100"/>
      <c r="FM51" s="100"/>
      <c r="FN51" s="100"/>
      <c r="FO51" s="100"/>
      <c r="FP51" s="100"/>
      <c r="FQ51" s="100"/>
      <c r="FR51" s="100"/>
      <c r="FS51" s="100"/>
      <c r="FT51" s="100"/>
      <c r="FU51" s="100"/>
      <c r="FV51" s="100"/>
      <c r="FW51" s="100"/>
      <c r="FX51" s="100"/>
      <c r="FY51" s="100"/>
      <c r="FZ51" s="100"/>
      <c r="GA51" s="100"/>
      <c r="GB51" s="100"/>
      <c r="GC51" s="100"/>
      <c r="GD51" s="100"/>
      <c r="GE51" s="100"/>
      <c r="GF51" s="100"/>
      <c r="GG51" s="100"/>
      <c r="GH51" s="100"/>
      <c r="GI51" s="100"/>
      <c r="GJ51" s="100"/>
      <c r="GK51" s="100"/>
      <c r="GL51" s="100"/>
      <c r="GM51" s="100"/>
      <c r="GN51" s="100"/>
      <c r="GO51" s="100"/>
      <c r="GP51" s="100"/>
      <c r="GQ51" s="100"/>
      <c r="GR51" s="100"/>
      <c r="GS51" s="100"/>
      <c r="GT51" s="100"/>
      <c r="GU51" s="100"/>
      <c r="GV51" s="100"/>
      <c r="GW51" s="100"/>
      <c r="GX51" s="100"/>
      <c r="GY51" s="100"/>
      <c r="GZ51" s="100"/>
      <c r="HA51" s="100"/>
      <c r="HB51" s="100"/>
      <c r="HC51" s="100"/>
      <c r="HD51" s="100"/>
      <c r="HE51" s="100"/>
      <c r="HF51" s="100"/>
      <c r="HG51" s="100"/>
      <c r="HH51" s="100"/>
      <c r="HI51" s="100"/>
      <c r="HJ51" s="100"/>
      <c r="HK51" s="100"/>
      <c r="HL51" s="100"/>
      <c r="HM51" s="100"/>
      <c r="HN51" s="100"/>
      <c r="HO51" s="100"/>
      <c r="HP51" s="100"/>
      <c r="HQ51" s="100"/>
      <c r="HR51" s="100"/>
      <c r="HS51" s="100"/>
      <c r="HT51" s="100"/>
      <c r="HU51" s="100"/>
      <c r="HV51" s="100"/>
      <c r="HW51" s="100"/>
      <c r="HX51" s="100"/>
      <c r="HY51" s="100"/>
      <c r="HZ51" s="100"/>
      <c r="IA51" s="100"/>
      <c r="IB51" s="100"/>
      <c r="IC51" s="100"/>
      <c r="ID51" s="100"/>
      <c r="IE51" s="100"/>
      <c r="IF51" s="100"/>
      <c r="IG51" s="100"/>
      <c r="IH51" s="100"/>
      <c r="II51" s="100"/>
      <c r="IJ51" s="100"/>
      <c r="IK51" s="100"/>
      <c r="IL51" s="100"/>
      <c r="IM51" s="100"/>
      <c r="IN51" s="100"/>
      <c r="IO51" s="100"/>
      <c r="IP51" s="100"/>
      <c r="IQ51" s="100"/>
      <c r="IR51" s="100"/>
      <c r="IS51" s="100"/>
      <c r="IT51" s="100"/>
      <c r="IU51" s="100"/>
      <c r="IV51" s="100"/>
      <c r="IW51" s="100"/>
      <c r="IX51" s="100"/>
      <c r="IY51" s="100"/>
      <c r="IZ51" s="100"/>
      <c r="JA51" s="100"/>
      <c r="JB51" s="100"/>
      <c r="JC51" s="100"/>
      <c r="JD51" s="100"/>
      <c r="JE51" s="100"/>
      <c r="JF51" s="100"/>
      <c r="JG51" s="100"/>
      <c r="JH51" s="100"/>
      <c r="JI51" s="100"/>
      <c r="JJ51" s="100"/>
      <c r="JK51" s="100"/>
      <c r="JL51" s="100"/>
      <c r="JM51" s="100"/>
      <c r="JN51" s="100"/>
      <c r="JO51" s="100"/>
      <c r="JP51" s="100"/>
      <c r="JQ51" s="100"/>
      <c r="JR51" s="100"/>
      <c r="JS51" s="100"/>
      <c r="JT51" s="100"/>
      <c r="JU51" s="100"/>
      <c r="JV51" s="100"/>
      <c r="JW51" s="100"/>
      <c r="JX51" s="100"/>
      <c r="JY51" s="100"/>
      <c r="JZ51" s="100"/>
      <c r="KA51" s="100"/>
      <c r="KB51" s="100"/>
      <c r="KC51" s="100"/>
      <c r="KD51" s="100"/>
      <c r="KE51" s="100"/>
      <c r="KF51" s="100"/>
      <c r="KG51" s="100"/>
      <c r="KH51" s="100"/>
      <c r="KI51" s="100"/>
      <c r="KJ51" s="100"/>
    </row>
    <row r="52" spans="1:296" s="39" customFormat="1" x14ac:dyDescent="0.3">
      <c r="A52"/>
      <c r="B52" t="s">
        <v>6</v>
      </c>
      <c r="C52" s="5">
        <v>12.5</v>
      </c>
      <c r="D52" s="111">
        <v>6</v>
      </c>
      <c r="E52" s="5">
        <f t="shared" ref="E52:E59" si="1">-(+C52*D52)</f>
        <v>-75</v>
      </c>
      <c r="F52" s="18"/>
      <c r="G52" s="19"/>
      <c r="H52"/>
      <c r="I52" s="28"/>
      <c r="K52" s="70"/>
      <c r="L52" s="75"/>
      <c r="M52" s="127"/>
      <c r="N52" s="77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0"/>
      <c r="BL52" s="100"/>
      <c r="BM52" s="100"/>
      <c r="BN52" s="100"/>
      <c r="BO52" s="100"/>
      <c r="BP52" s="100"/>
      <c r="BQ52" s="100"/>
      <c r="BR52" s="100"/>
      <c r="BS52" s="100"/>
      <c r="BT52" s="100"/>
      <c r="BU52" s="100"/>
      <c r="BV52" s="100"/>
      <c r="BW52" s="100"/>
      <c r="BX52" s="100"/>
      <c r="BY52" s="100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  <c r="DC52" s="100"/>
      <c r="DD52" s="100"/>
      <c r="DE52" s="100"/>
      <c r="DF52" s="100"/>
      <c r="DG52" s="100"/>
      <c r="DH52" s="100"/>
      <c r="DI52" s="100"/>
      <c r="DJ52" s="100"/>
      <c r="DK52" s="100"/>
      <c r="DL52" s="100"/>
      <c r="DM52" s="100"/>
      <c r="DN52" s="100"/>
      <c r="DO52" s="100"/>
      <c r="DP52" s="100"/>
      <c r="DQ52" s="100"/>
      <c r="DR52" s="100"/>
      <c r="DS52" s="100"/>
      <c r="DT52" s="100"/>
      <c r="DU52" s="100"/>
      <c r="DV52" s="100"/>
      <c r="DW52" s="100"/>
      <c r="DX52" s="100"/>
      <c r="DY52" s="100"/>
      <c r="DZ52" s="100"/>
      <c r="EA52" s="100"/>
      <c r="EB52" s="100"/>
      <c r="EC52" s="100"/>
      <c r="ED52" s="100"/>
      <c r="EE52" s="100"/>
      <c r="EF52" s="100"/>
      <c r="EG52" s="100"/>
      <c r="EH52" s="100"/>
      <c r="EI52" s="100"/>
      <c r="EJ52" s="100"/>
      <c r="EK52" s="100"/>
      <c r="EL52" s="100"/>
      <c r="EM52" s="100"/>
      <c r="EN52" s="100"/>
      <c r="EO52" s="100"/>
      <c r="EP52" s="100"/>
      <c r="EQ52" s="100"/>
      <c r="ER52" s="100"/>
      <c r="ES52" s="100"/>
      <c r="ET52" s="100"/>
      <c r="EU52" s="100"/>
      <c r="EV52" s="100"/>
      <c r="EW52" s="100"/>
      <c r="EX52" s="100"/>
      <c r="EY52" s="100"/>
      <c r="EZ52" s="100"/>
      <c r="FA52" s="100"/>
      <c r="FB52" s="100"/>
      <c r="FC52" s="100"/>
      <c r="FD52" s="100"/>
      <c r="FE52" s="100"/>
      <c r="FF52" s="100"/>
      <c r="FG52" s="100"/>
      <c r="FH52" s="100"/>
      <c r="FI52" s="100"/>
      <c r="FJ52" s="100"/>
      <c r="FK52" s="100"/>
      <c r="FL52" s="100"/>
      <c r="FM52" s="100"/>
      <c r="FN52" s="100"/>
      <c r="FO52" s="100"/>
      <c r="FP52" s="100"/>
      <c r="FQ52" s="100"/>
      <c r="FR52" s="100"/>
      <c r="FS52" s="100"/>
      <c r="FT52" s="100"/>
      <c r="FU52" s="100"/>
      <c r="FV52" s="100"/>
      <c r="FW52" s="100"/>
      <c r="FX52" s="100"/>
      <c r="FY52" s="100"/>
      <c r="FZ52" s="100"/>
      <c r="GA52" s="100"/>
      <c r="GB52" s="100"/>
      <c r="GC52" s="100"/>
      <c r="GD52" s="100"/>
      <c r="GE52" s="100"/>
      <c r="GF52" s="100"/>
      <c r="GG52" s="100"/>
      <c r="GH52" s="100"/>
      <c r="GI52" s="100"/>
      <c r="GJ52" s="100"/>
      <c r="GK52" s="100"/>
      <c r="GL52" s="100"/>
      <c r="GM52" s="100"/>
      <c r="GN52" s="100"/>
      <c r="GO52" s="100"/>
      <c r="GP52" s="100"/>
      <c r="GQ52" s="100"/>
      <c r="GR52" s="100"/>
      <c r="GS52" s="100"/>
      <c r="GT52" s="100"/>
      <c r="GU52" s="100"/>
      <c r="GV52" s="100"/>
      <c r="GW52" s="100"/>
      <c r="GX52" s="100"/>
      <c r="GY52" s="100"/>
      <c r="GZ52" s="100"/>
      <c r="HA52" s="100"/>
      <c r="HB52" s="100"/>
      <c r="HC52" s="100"/>
      <c r="HD52" s="100"/>
      <c r="HE52" s="100"/>
      <c r="HF52" s="100"/>
      <c r="HG52" s="100"/>
      <c r="HH52" s="100"/>
      <c r="HI52" s="100"/>
      <c r="HJ52" s="100"/>
      <c r="HK52" s="100"/>
      <c r="HL52" s="100"/>
      <c r="HM52" s="100"/>
      <c r="HN52" s="100"/>
      <c r="HO52" s="100"/>
      <c r="HP52" s="100"/>
      <c r="HQ52" s="100"/>
      <c r="HR52" s="100"/>
      <c r="HS52" s="100"/>
      <c r="HT52" s="100"/>
      <c r="HU52" s="100"/>
      <c r="HV52" s="100"/>
      <c r="HW52" s="100"/>
      <c r="HX52" s="100"/>
      <c r="HY52" s="100"/>
      <c r="HZ52" s="100"/>
      <c r="IA52" s="100"/>
      <c r="IB52" s="100"/>
      <c r="IC52" s="100"/>
      <c r="ID52" s="100"/>
      <c r="IE52" s="100"/>
      <c r="IF52" s="100"/>
      <c r="IG52" s="100"/>
      <c r="IH52" s="100"/>
      <c r="II52" s="100"/>
      <c r="IJ52" s="100"/>
      <c r="IK52" s="100"/>
      <c r="IL52" s="100"/>
      <c r="IM52" s="100"/>
      <c r="IN52" s="100"/>
      <c r="IO52" s="100"/>
      <c r="IP52" s="100"/>
      <c r="IQ52" s="100"/>
      <c r="IR52" s="100"/>
      <c r="IS52" s="100"/>
      <c r="IT52" s="100"/>
      <c r="IU52" s="100"/>
      <c r="IV52" s="100"/>
      <c r="IW52" s="100"/>
      <c r="IX52" s="100"/>
      <c r="IY52" s="100"/>
      <c r="IZ52" s="100"/>
      <c r="JA52" s="100"/>
      <c r="JB52" s="100"/>
      <c r="JC52" s="100"/>
      <c r="JD52" s="100"/>
      <c r="JE52" s="100"/>
      <c r="JF52" s="100"/>
      <c r="JG52" s="100"/>
      <c r="JH52" s="100"/>
      <c r="JI52" s="100"/>
      <c r="JJ52" s="100"/>
      <c r="JK52" s="100"/>
      <c r="JL52" s="100"/>
      <c r="JM52" s="100"/>
      <c r="JN52" s="100"/>
      <c r="JO52" s="100"/>
      <c r="JP52" s="100"/>
      <c r="JQ52" s="100"/>
      <c r="JR52" s="100"/>
      <c r="JS52" s="100"/>
      <c r="JT52" s="100"/>
      <c r="JU52" s="100"/>
      <c r="JV52" s="100"/>
      <c r="JW52" s="100"/>
      <c r="JX52" s="100"/>
      <c r="JY52" s="100"/>
      <c r="JZ52" s="100"/>
      <c r="KA52" s="100"/>
      <c r="KB52" s="100"/>
      <c r="KC52" s="100"/>
      <c r="KD52" s="100"/>
      <c r="KE52" s="100"/>
      <c r="KF52" s="100"/>
      <c r="KG52" s="100"/>
      <c r="KH52" s="100"/>
      <c r="KI52" s="100"/>
      <c r="KJ52" s="100"/>
    </row>
    <row r="53" spans="1:296" s="43" customFormat="1" x14ac:dyDescent="0.3">
      <c r="B53" s="130" t="s">
        <v>128</v>
      </c>
      <c r="C53" s="119">
        <v>20</v>
      </c>
      <c r="D53" s="120">
        <v>0</v>
      </c>
      <c r="E53" s="119">
        <f>-(+C53*D53)</f>
        <v>0</v>
      </c>
      <c r="F53" s="121"/>
      <c r="G53" s="119"/>
      <c r="I53" s="28"/>
      <c r="J53" s="39"/>
      <c r="K53" s="70"/>
      <c r="L53" s="75"/>
      <c r="M53" s="127"/>
      <c r="N53" s="77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  <c r="DC53" s="100"/>
      <c r="DD53" s="100"/>
      <c r="DE53" s="100"/>
      <c r="DF53" s="100"/>
      <c r="DG53" s="100"/>
      <c r="DH53" s="100"/>
      <c r="DI53" s="100"/>
      <c r="DJ53" s="100"/>
      <c r="DK53" s="100"/>
      <c r="DL53" s="100"/>
      <c r="DM53" s="100"/>
      <c r="DN53" s="100"/>
      <c r="DO53" s="100"/>
      <c r="DP53" s="100"/>
      <c r="DQ53" s="100"/>
      <c r="DR53" s="100"/>
      <c r="DS53" s="100"/>
      <c r="DT53" s="100"/>
      <c r="DU53" s="100"/>
      <c r="DV53" s="100"/>
      <c r="DW53" s="100"/>
      <c r="DX53" s="100"/>
      <c r="DY53" s="100"/>
      <c r="DZ53" s="100"/>
      <c r="EA53" s="100"/>
      <c r="EB53" s="100"/>
      <c r="EC53" s="100"/>
      <c r="ED53" s="100"/>
      <c r="EE53" s="100"/>
      <c r="EF53" s="100"/>
      <c r="EG53" s="100"/>
      <c r="EH53" s="100"/>
      <c r="EI53" s="100"/>
      <c r="EJ53" s="100"/>
      <c r="EK53" s="100"/>
      <c r="EL53" s="100"/>
      <c r="EM53" s="100"/>
      <c r="EN53" s="100"/>
      <c r="EO53" s="100"/>
      <c r="EP53" s="100"/>
      <c r="EQ53" s="100"/>
      <c r="ER53" s="100"/>
      <c r="ES53" s="100"/>
      <c r="ET53" s="100"/>
      <c r="EU53" s="100"/>
      <c r="EV53" s="100"/>
      <c r="EW53" s="100"/>
      <c r="EX53" s="100"/>
      <c r="EY53" s="100"/>
      <c r="EZ53" s="100"/>
      <c r="FA53" s="100"/>
      <c r="FB53" s="100"/>
      <c r="FC53" s="100"/>
      <c r="FD53" s="100"/>
      <c r="FE53" s="100"/>
      <c r="FF53" s="100"/>
      <c r="FG53" s="100"/>
      <c r="FH53" s="100"/>
      <c r="FI53" s="100"/>
      <c r="FJ53" s="100"/>
      <c r="FK53" s="100"/>
      <c r="FL53" s="100"/>
      <c r="FM53" s="100"/>
      <c r="FN53" s="100"/>
      <c r="FO53" s="100"/>
      <c r="FP53" s="100"/>
      <c r="FQ53" s="100"/>
      <c r="FR53" s="100"/>
      <c r="FS53" s="100"/>
      <c r="FT53" s="100"/>
      <c r="FU53" s="100"/>
      <c r="FV53" s="100"/>
      <c r="FW53" s="100"/>
      <c r="FX53" s="100"/>
      <c r="FY53" s="100"/>
      <c r="FZ53" s="100"/>
      <c r="GA53" s="100"/>
      <c r="GB53" s="100"/>
      <c r="GC53" s="100"/>
      <c r="GD53" s="100"/>
      <c r="GE53" s="100"/>
      <c r="GF53" s="100"/>
      <c r="GG53" s="100"/>
      <c r="GH53" s="100"/>
      <c r="GI53" s="100"/>
      <c r="GJ53" s="100"/>
      <c r="GK53" s="100"/>
      <c r="GL53" s="100"/>
      <c r="GM53" s="100"/>
      <c r="GN53" s="100"/>
      <c r="GO53" s="100"/>
      <c r="GP53" s="100"/>
      <c r="GQ53" s="100"/>
      <c r="GR53" s="100"/>
      <c r="GS53" s="100"/>
      <c r="GT53" s="100"/>
      <c r="GU53" s="100"/>
      <c r="GV53" s="100"/>
      <c r="GW53" s="100"/>
      <c r="GX53" s="100"/>
      <c r="GY53" s="100"/>
      <c r="GZ53" s="100"/>
      <c r="HA53" s="100"/>
      <c r="HB53" s="100"/>
      <c r="HC53" s="100"/>
      <c r="HD53" s="100"/>
      <c r="HE53" s="100"/>
      <c r="HF53" s="100"/>
      <c r="HG53" s="100"/>
      <c r="HH53" s="100"/>
      <c r="HI53" s="100"/>
      <c r="HJ53" s="100"/>
      <c r="HK53" s="100"/>
      <c r="HL53" s="100"/>
      <c r="HM53" s="100"/>
      <c r="HN53" s="100"/>
      <c r="HO53" s="100"/>
      <c r="HP53" s="100"/>
      <c r="HQ53" s="100"/>
      <c r="HR53" s="100"/>
      <c r="HS53" s="100"/>
      <c r="HT53" s="100"/>
      <c r="HU53" s="100"/>
      <c r="HV53" s="100"/>
      <c r="HW53" s="100"/>
      <c r="HX53" s="100"/>
      <c r="HY53" s="100"/>
      <c r="HZ53" s="100"/>
      <c r="IA53" s="100"/>
      <c r="IB53" s="100"/>
      <c r="IC53" s="100"/>
      <c r="ID53" s="100"/>
      <c r="IE53" s="100"/>
      <c r="IF53" s="100"/>
      <c r="IG53" s="100"/>
      <c r="IH53" s="100"/>
      <c r="II53" s="100"/>
      <c r="IJ53" s="100"/>
      <c r="IK53" s="100"/>
      <c r="IL53" s="100"/>
      <c r="IM53" s="100"/>
      <c r="IN53" s="100"/>
      <c r="IO53" s="100"/>
      <c r="IP53" s="100"/>
      <c r="IQ53" s="100"/>
      <c r="IR53" s="100"/>
      <c r="IS53" s="100"/>
      <c r="IT53" s="100"/>
      <c r="IU53" s="100"/>
      <c r="IV53" s="100"/>
      <c r="IW53" s="100"/>
      <c r="IX53" s="100"/>
      <c r="IY53" s="100"/>
      <c r="IZ53" s="100"/>
      <c r="JA53" s="100"/>
      <c r="JB53" s="100"/>
      <c r="JC53" s="100"/>
      <c r="JD53" s="100"/>
      <c r="JE53" s="100"/>
      <c r="JF53" s="100"/>
      <c r="JG53" s="100"/>
      <c r="JH53" s="100"/>
      <c r="JI53" s="100"/>
      <c r="JJ53" s="100"/>
      <c r="JK53" s="100"/>
      <c r="JL53" s="100"/>
      <c r="JM53" s="100"/>
      <c r="JN53" s="100"/>
      <c r="JO53" s="100"/>
      <c r="JP53" s="100"/>
      <c r="JQ53" s="100"/>
      <c r="JR53" s="100"/>
      <c r="JS53" s="100"/>
      <c r="JT53" s="100"/>
      <c r="JU53" s="100"/>
      <c r="JV53" s="100"/>
      <c r="JW53" s="100"/>
      <c r="JX53" s="100"/>
      <c r="JY53" s="100"/>
      <c r="JZ53" s="100"/>
      <c r="KA53" s="100"/>
      <c r="KB53" s="100"/>
      <c r="KC53" s="100"/>
      <c r="KD53" s="100"/>
      <c r="KE53" s="100"/>
      <c r="KF53" s="100"/>
      <c r="KG53" s="100"/>
      <c r="KH53" s="100"/>
      <c r="KI53" s="100"/>
      <c r="KJ53" s="100"/>
    </row>
    <row r="54" spans="1:296" s="39" customFormat="1" x14ac:dyDescent="0.3">
      <c r="A54"/>
      <c r="B54" t="s">
        <v>7</v>
      </c>
      <c r="C54" s="5">
        <f>+'DIS. PRENDAS'!L12</f>
        <v>25.279583333333335</v>
      </c>
      <c r="D54" s="111">
        <v>5</v>
      </c>
      <c r="E54" s="5">
        <f t="shared" si="1"/>
        <v>-126.39791666666667</v>
      </c>
      <c r="F54" s="7"/>
      <c r="G54" s="5"/>
      <c r="H54"/>
      <c r="I54" s="28"/>
      <c r="K54" s="70"/>
      <c r="L54" s="75"/>
      <c r="M54" s="127"/>
      <c r="N54" s="77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  <c r="DC54" s="100"/>
      <c r="DD54" s="100"/>
      <c r="DE54" s="100"/>
      <c r="DF54" s="100"/>
      <c r="DG54" s="100"/>
      <c r="DH54" s="100"/>
      <c r="DI54" s="100"/>
      <c r="DJ54" s="100"/>
      <c r="DK54" s="100"/>
      <c r="DL54" s="100"/>
      <c r="DM54" s="100"/>
      <c r="DN54" s="100"/>
      <c r="DO54" s="100"/>
      <c r="DP54" s="100"/>
      <c r="DQ54" s="100"/>
      <c r="DR54" s="100"/>
      <c r="DS54" s="100"/>
      <c r="DT54" s="100"/>
      <c r="DU54" s="100"/>
      <c r="DV54" s="100"/>
      <c r="DW54" s="100"/>
      <c r="DX54" s="100"/>
      <c r="DY54" s="100"/>
      <c r="DZ54" s="100"/>
      <c r="EA54" s="100"/>
      <c r="EB54" s="100"/>
      <c r="EC54" s="100"/>
      <c r="ED54" s="100"/>
      <c r="EE54" s="100"/>
      <c r="EF54" s="100"/>
      <c r="EG54" s="100"/>
      <c r="EH54" s="100"/>
      <c r="EI54" s="100"/>
      <c r="EJ54" s="100"/>
      <c r="EK54" s="100"/>
      <c r="EL54" s="100"/>
      <c r="EM54" s="100"/>
      <c r="EN54" s="100"/>
      <c r="EO54" s="100"/>
      <c r="EP54" s="100"/>
      <c r="EQ54" s="100"/>
      <c r="ER54" s="100"/>
      <c r="ES54" s="100"/>
      <c r="ET54" s="100"/>
      <c r="EU54" s="100"/>
      <c r="EV54" s="100"/>
      <c r="EW54" s="100"/>
      <c r="EX54" s="100"/>
      <c r="EY54" s="100"/>
      <c r="EZ54" s="100"/>
      <c r="FA54" s="100"/>
      <c r="FB54" s="100"/>
      <c r="FC54" s="100"/>
      <c r="FD54" s="100"/>
      <c r="FE54" s="100"/>
      <c r="FF54" s="100"/>
      <c r="FG54" s="100"/>
      <c r="FH54" s="100"/>
      <c r="FI54" s="100"/>
      <c r="FJ54" s="100"/>
      <c r="FK54" s="100"/>
      <c r="FL54" s="100"/>
      <c r="FM54" s="100"/>
      <c r="FN54" s="100"/>
      <c r="FO54" s="100"/>
      <c r="FP54" s="100"/>
      <c r="FQ54" s="100"/>
      <c r="FR54" s="100"/>
      <c r="FS54" s="100"/>
      <c r="FT54" s="100"/>
      <c r="FU54" s="100"/>
      <c r="FV54" s="100"/>
      <c r="FW54" s="100"/>
      <c r="FX54" s="100"/>
      <c r="FY54" s="100"/>
      <c r="FZ54" s="100"/>
      <c r="GA54" s="100"/>
      <c r="GB54" s="100"/>
      <c r="GC54" s="100"/>
      <c r="GD54" s="100"/>
      <c r="GE54" s="100"/>
      <c r="GF54" s="100"/>
      <c r="GG54" s="100"/>
      <c r="GH54" s="100"/>
      <c r="GI54" s="100"/>
      <c r="GJ54" s="100"/>
      <c r="GK54" s="100"/>
      <c r="GL54" s="100"/>
      <c r="GM54" s="100"/>
      <c r="GN54" s="100"/>
      <c r="GO54" s="100"/>
      <c r="GP54" s="100"/>
      <c r="GQ54" s="100"/>
      <c r="GR54" s="100"/>
      <c r="GS54" s="100"/>
      <c r="GT54" s="100"/>
      <c r="GU54" s="100"/>
      <c r="GV54" s="100"/>
      <c r="GW54" s="100"/>
      <c r="GX54" s="100"/>
      <c r="GY54" s="100"/>
      <c r="GZ54" s="100"/>
      <c r="HA54" s="100"/>
      <c r="HB54" s="100"/>
      <c r="HC54" s="100"/>
      <c r="HD54" s="100"/>
      <c r="HE54" s="100"/>
      <c r="HF54" s="100"/>
      <c r="HG54" s="100"/>
      <c r="HH54" s="100"/>
      <c r="HI54" s="100"/>
      <c r="HJ54" s="100"/>
      <c r="HK54" s="100"/>
      <c r="HL54" s="100"/>
      <c r="HM54" s="100"/>
      <c r="HN54" s="100"/>
      <c r="HO54" s="100"/>
      <c r="HP54" s="100"/>
      <c r="HQ54" s="100"/>
      <c r="HR54" s="100"/>
      <c r="HS54" s="100"/>
      <c r="HT54" s="100"/>
      <c r="HU54" s="100"/>
      <c r="HV54" s="100"/>
      <c r="HW54" s="100"/>
      <c r="HX54" s="100"/>
      <c r="HY54" s="100"/>
      <c r="HZ54" s="100"/>
      <c r="IA54" s="100"/>
      <c r="IB54" s="100"/>
      <c r="IC54" s="100"/>
      <c r="ID54" s="100"/>
      <c r="IE54" s="100"/>
      <c r="IF54" s="100"/>
      <c r="IG54" s="100"/>
      <c r="IH54" s="100"/>
      <c r="II54" s="100"/>
      <c r="IJ54" s="100"/>
      <c r="IK54" s="100"/>
      <c r="IL54" s="100"/>
      <c r="IM54" s="100"/>
      <c r="IN54" s="100"/>
      <c r="IO54" s="100"/>
      <c r="IP54" s="100"/>
      <c r="IQ54" s="100"/>
      <c r="IR54" s="100"/>
      <c r="IS54" s="100"/>
      <c r="IT54" s="100"/>
      <c r="IU54" s="100"/>
      <c r="IV54" s="100"/>
      <c r="IW54" s="100"/>
      <c r="IX54" s="100"/>
      <c r="IY54" s="100"/>
      <c r="IZ54" s="100"/>
      <c r="JA54" s="100"/>
      <c r="JB54" s="100"/>
      <c r="JC54" s="100"/>
      <c r="JD54" s="100"/>
      <c r="JE54" s="100"/>
      <c r="JF54" s="100"/>
      <c r="JG54" s="100"/>
      <c r="JH54" s="100"/>
      <c r="JI54" s="100"/>
      <c r="JJ54" s="100"/>
      <c r="JK54" s="100"/>
      <c r="JL54" s="100"/>
      <c r="JM54" s="100"/>
      <c r="JN54" s="100"/>
      <c r="JO54" s="100"/>
      <c r="JP54" s="100"/>
      <c r="JQ54" s="100"/>
      <c r="JR54" s="100"/>
      <c r="JS54" s="100"/>
      <c r="JT54" s="100"/>
      <c r="JU54" s="100"/>
      <c r="JV54" s="100"/>
      <c r="JW54" s="100"/>
      <c r="JX54" s="100"/>
      <c r="JY54" s="100"/>
      <c r="JZ54" s="100"/>
      <c r="KA54" s="100"/>
      <c r="KB54" s="100"/>
      <c r="KC54" s="100"/>
      <c r="KD54" s="100"/>
      <c r="KE54" s="100"/>
      <c r="KF54" s="100"/>
      <c r="KG54" s="100"/>
      <c r="KH54" s="100"/>
      <c r="KI54" s="100"/>
      <c r="KJ54" s="100"/>
    </row>
    <row r="55" spans="1:296" s="28" customFormat="1" x14ac:dyDescent="0.3">
      <c r="B55" s="28" t="s">
        <v>102</v>
      </c>
      <c r="C55" s="83">
        <f>'DIS. PRENDAS'!R12</f>
        <v>36.481249999999996</v>
      </c>
      <c r="D55" s="115">
        <v>6</v>
      </c>
      <c r="E55" s="83">
        <f t="shared" si="1"/>
        <v>-218.88749999999999</v>
      </c>
      <c r="F55" s="131"/>
      <c r="G55" s="83"/>
      <c r="J55" s="39"/>
      <c r="K55" s="70"/>
      <c r="L55" s="75"/>
      <c r="M55" s="127"/>
      <c r="N55" s="77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0"/>
      <c r="BK55" s="100"/>
      <c r="BL55" s="100"/>
      <c r="BM55" s="100"/>
      <c r="BN55" s="100"/>
      <c r="BO55" s="100"/>
      <c r="BP55" s="100"/>
      <c r="BQ55" s="100"/>
      <c r="BR55" s="100"/>
      <c r="BS55" s="100"/>
      <c r="BT55" s="100"/>
      <c r="BU55" s="100"/>
      <c r="BV55" s="100"/>
      <c r="BW55" s="100"/>
      <c r="BX55" s="100"/>
      <c r="BY55" s="100"/>
      <c r="BZ55" s="100"/>
      <c r="CA55" s="100"/>
      <c r="CB55" s="100"/>
      <c r="CC55" s="100"/>
      <c r="CD55" s="100"/>
      <c r="CE55" s="10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  <c r="CT55" s="100"/>
      <c r="CU55" s="100"/>
      <c r="CV55" s="100"/>
      <c r="CW55" s="100"/>
      <c r="CX55" s="100"/>
      <c r="CY55" s="100"/>
      <c r="CZ55" s="100"/>
      <c r="DA55" s="100"/>
      <c r="DB55" s="100"/>
      <c r="DC55" s="100"/>
      <c r="DD55" s="100"/>
      <c r="DE55" s="100"/>
      <c r="DF55" s="100"/>
      <c r="DG55" s="100"/>
      <c r="DH55" s="100"/>
      <c r="DI55" s="100"/>
      <c r="DJ55" s="100"/>
      <c r="DK55" s="100"/>
      <c r="DL55" s="100"/>
      <c r="DM55" s="100"/>
      <c r="DN55" s="100"/>
      <c r="DO55" s="100"/>
      <c r="DP55" s="100"/>
      <c r="DQ55" s="100"/>
      <c r="DR55" s="100"/>
      <c r="DS55" s="100"/>
      <c r="DT55" s="100"/>
      <c r="DU55" s="100"/>
      <c r="DV55" s="100"/>
      <c r="DW55" s="100"/>
      <c r="DX55" s="100"/>
      <c r="DY55" s="100"/>
      <c r="DZ55" s="100"/>
      <c r="EA55" s="100"/>
      <c r="EB55" s="100"/>
      <c r="EC55" s="100"/>
      <c r="ED55" s="100"/>
      <c r="EE55" s="100"/>
      <c r="EF55" s="100"/>
      <c r="EG55" s="100"/>
      <c r="EH55" s="100"/>
      <c r="EI55" s="100"/>
      <c r="EJ55" s="100"/>
      <c r="EK55" s="100"/>
      <c r="EL55" s="100"/>
      <c r="EM55" s="100"/>
      <c r="EN55" s="100"/>
      <c r="EO55" s="100"/>
      <c r="EP55" s="100"/>
      <c r="EQ55" s="100"/>
      <c r="ER55" s="100"/>
      <c r="ES55" s="100"/>
      <c r="ET55" s="100"/>
      <c r="EU55" s="100"/>
      <c r="EV55" s="100"/>
      <c r="EW55" s="100"/>
      <c r="EX55" s="100"/>
      <c r="EY55" s="100"/>
      <c r="EZ55" s="100"/>
      <c r="FA55" s="100"/>
      <c r="FB55" s="100"/>
      <c r="FC55" s="100"/>
      <c r="FD55" s="100"/>
      <c r="FE55" s="100"/>
      <c r="FF55" s="100"/>
      <c r="FG55" s="100"/>
      <c r="FH55" s="100"/>
      <c r="FI55" s="100"/>
      <c r="FJ55" s="100"/>
      <c r="FK55" s="100"/>
      <c r="FL55" s="100"/>
      <c r="FM55" s="100"/>
      <c r="FN55" s="100"/>
      <c r="FO55" s="100"/>
      <c r="FP55" s="100"/>
      <c r="FQ55" s="100"/>
      <c r="FR55" s="100"/>
      <c r="FS55" s="100"/>
      <c r="FT55" s="100"/>
      <c r="FU55" s="100"/>
      <c r="FV55" s="100"/>
      <c r="FW55" s="100"/>
      <c r="FX55" s="100"/>
      <c r="FY55" s="100"/>
      <c r="FZ55" s="100"/>
      <c r="GA55" s="100"/>
      <c r="GB55" s="100"/>
      <c r="GC55" s="100"/>
      <c r="GD55" s="100"/>
      <c r="GE55" s="100"/>
      <c r="GF55" s="100"/>
      <c r="GG55" s="100"/>
      <c r="GH55" s="100"/>
      <c r="GI55" s="100"/>
      <c r="GJ55" s="100"/>
      <c r="GK55" s="100"/>
      <c r="GL55" s="100"/>
      <c r="GM55" s="100"/>
      <c r="GN55" s="100"/>
      <c r="GO55" s="100"/>
      <c r="GP55" s="100"/>
      <c r="GQ55" s="100"/>
      <c r="GR55" s="100"/>
      <c r="GS55" s="100"/>
      <c r="GT55" s="100"/>
      <c r="GU55" s="100"/>
      <c r="GV55" s="100"/>
      <c r="GW55" s="100"/>
      <c r="GX55" s="100"/>
      <c r="GY55" s="100"/>
      <c r="GZ55" s="100"/>
      <c r="HA55" s="100"/>
      <c r="HB55" s="100"/>
      <c r="HC55" s="100"/>
      <c r="HD55" s="100"/>
      <c r="HE55" s="100"/>
      <c r="HF55" s="100"/>
      <c r="HG55" s="100"/>
      <c r="HH55" s="100"/>
      <c r="HI55" s="100"/>
      <c r="HJ55" s="100"/>
      <c r="HK55" s="100"/>
      <c r="HL55" s="100"/>
      <c r="HM55" s="100"/>
      <c r="HN55" s="100"/>
      <c r="HO55" s="100"/>
      <c r="HP55" s="100"/>
      <c r="HQ55" s="100"/>
      <c r="HR55" s="100"/>
      <c r="HS55" s="100"/>
      <c r="HT55" s="100"/>
      <c r="HU55" s="100"/>
      <c r="HV55" s="100"/>
      <c r="HW55" s="100"/>
      <c r="HX55" s="100"/>
      <c r="HY55" s="100"/>
      <c r="HZ55" s="100"/>
      <c r="IA55" s="100"/>
      <c r="IB55" s="100"/>
      <c r="IC55" s="100"/>
      <c r="ID55" s="100"/>
      <c r="IE55" s="100"/>
      <c r="IF55" s="100"/>
      <c r="IG55" s="100"/>
      <c r="IH55" s="100"/>
      <c r="II55" s="100"/>
      <c r="IJ55" s="100"/>
      <c r="IK55" s="100"/>
      <c r="IL55" s="100"/>
      <c r="IM55" s="100"/>
      <c r="IN55" s="100"/>
      <c r="IO55" s="100"/>
      <c r="IP55" s="100"/>
      <c r="IQ55" s="100"/>
      <c r="IR55" s="100"/>
      <c r="IS55" s="100"/>
      <c r="IT55" s="100"/>
      <c r="IU55" s="100"/>
      <c r="IV55" s="100"/>
      <c r="IW55" s="100"/>
      <c r="IX55" s="100"/>
      <c r="IY55" s="100"/>
      <c r="IZ55" s="100"/>
      <c r="JA55" s="100"/>
      <c r="JB55" s="100"/>
      <c r="JC55" s="100"/>
      <c r="JD55" s="100"/>
      <c r="JE55" s="100"/>
      <c r="JF55" s="100"/>
      <c r="JG55" s="100"/>
      <c r="JH55" s="100"/>
      <c r="JI55" s="100"/>
      <c r="JJ55" s="100"/>
      <c r="JK55" s="100"/>
      <c r="JL55" s="100"/>
      <c r="JM55" s="100"/>
      <c r="JN55" s="100"/>
      <c r="JO55" s="100"/>
      <c r="JP55" s="100"/>
      <c r="JQ55" s="100"/>
      <c r="JR55" s="100"/>
      <c r="JS55" s="100"/>
      <c r="JT55" s="100"/>
      <c r="JU55" s="100"/>
      <c r="JV55" s="100"/>
      <c r="JW55" s="100"/>
      <c r="JX55" s="100"/>
      <c r="JY55" s="100"/>
      <c r="JZ55" s="100"/>
      <c r="KA55" s="100"/>
      <c r="KB55" s="100"/>
      <c r="KC55" s="100"/>
      <c r="KD55" s="100"/>
      <c r="KE55" s="100"/>
      <c r="KF55" s="100"/>
      <c r="KG55" s="100"/>
      <c r="KH55" s="100"/>
      <c r="KI55" s="100"/>
      <c r="KJ55" s="100"/>
    </row>
    <row r="56" spans="1:296" s="28" customFormat="1" x14ac:dyDescent="0.3">
      <c r="B56" s="28" t="s">
        <v>103</v>
      </c>
      <c r="C56" s="83">
        <f>+'DIS. PRENDAS'!O12</f>
        <v>31.502777777777776</v>
      </c>
      <c r="D56" s="115">
        <v>6</v>
      </c>
      <c r="E56" s="83">
        <f>-(+C56*D56)</f>
        <v>-189.01666666666665</v>
      </c>
      <c r="F56" s="117"/>
      <c r="G56" s="83"/>
      <c r="J56" s="39"/>
      <c r="K56" s="70"/>
      <c r="L56" s="75"/>
      <c r="M56" s="127"/>
      <c r="N56" s="77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  <c r="BS56" s="100"/>
      <c r="BT56" s="100"/>
      <c r="BU56" s="100"/>
      <c r="BV56" s="100"/>
      <c r="BW56" s="100"/>
      <c r="BX56" s="100"/>
      <c r="BY56" s="100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100"/>
      <c r="CX56" s="100"/>
      <c r="CY56" s="100"/>
      <c r="CZ56" s="100"/>
      <c r="DA56" s="100"/>
      <c r="DB56" s="100"/>
      <c r="DC56" s="100"/>
      <c r="DD56" s="100"/>
      <c r="DE56" s="100"/>
      <c r="DF56" s="100"/>
      <c r="DG56" s="100"/>
      <c r="DH56" s="100"/>
      <c r="DI56" s="100"/>
      <c r="DJ56" s="100"/>
      <c r="DK56" s="100"/>
      <c r="DL56" s="100"/>
      <c r="DM56" s="100"/>
      <c r="DN56" s="100"/>
      <c r="DO56" s="100"/>
      <c r="DP56" s="100"/>
      <c r="DQ56" s="100"/>
      <c r="DR56" s="100"/>
      <c r="DS56" s="100"/>
      <c r="DT56" s="100"/>
      <c r="DU56" s="100"/>
      <c r="DV56" s="100"/>
      <c r="DW56" s="100"/>
      <c r="DX56" s="100"/>
      <c r="DY56" s="100"/>
      <c r="DZ56" s="100"/>
      <c r="EA56" s="100"/>
      <c r="EB56" s="100"/>
      <c r="EC56" s="100"/>
      <c r="ED56" s="100"/>
      <c r="EE56" s="100"/>
      <c r="EF56" s="100"/>
      <c r="EG56" s="100"/>
      <c r="EH56" s="100"/>
      <c r="EI56" s="100"/>
      <c r="EJ56" s="100"/>
      <c r="EK56" s="100"/>
      <c r="EL56" s="100"/>
      <c r="EM56" s="100"/>
      <c r="EN56" s="100"/>
      <c r="EO56" s="100"/>
      <c r="EP56" s="100"/>
      <c r="EQ56" s="100"/>
      <c r="ER56" s="100"/>
      <c r="ES56" s="100"/>
      <c r="ET56" s="100"/>
      <c r="EU56" s="100"/>
      <c r="EV56" s="100"/>
      <c r="EW56" s="100"/>
      <c r="EX56" s="100"/>
      <c r="EY56" s="100"/>
      <c r="EZ56" s="100"/>
      <c r="FA56" s="100"/>
      <c r="FB56" s="100"/>
      <c r="FC56" s="100"/>
      <c r="FD56" s="100"/>
      <c r="FE56" s="100"/>
      <c r="FF56" s="100"/>
      <c r="FG56" s="100"/>
      <c r="FH56" s="100"/>
      <c r="FI56" s="100"/>
      <c r="FJ56" s="100"/>
      <c r="FK56" s="100"/>
      <c r="FL56" s="100"/>
      <c r="FM56" s="100"/>
      <c r="FN56" s="100"/>
      <c r="FO56" s="100"/>
      <c r="FP56" s="100"/>
      <c r="FQ56" s="100"/>
      <c r="FR56" s="100"/>
      <c r="FS56" s="100"/>
      <c r="FT56" s="100"/>
      <c r="FU56" s="100"/>
      <c r="FV56" s="100"/>
      <c r="FW56" s="100"/>
      <c r="FX56" s="100"/>
      <c r="FY56" s="100"/>
      <c r="FZ56" s="100"/>
      <c r="GA56" s="100"/>
      <c r="GB56" s="100"/>
      <c r="GC56" s="100"/>
      <c r="GD56" s="100"/>
      <c r="GE56" s="100"/>
      <c r="GF56" s="100"/>
      <c r="GG56" s="100"/>
      <c r="GH56" s="100"/>
      <c r="GI56" s="100"/>
      <c r="GJ56" s="100"/>
      <c r="GK56" s="100"/>
      <c r="GL56" s="100"/>
      <c r="GM56" s="100"/>
      <c r="GN56" s="100"/>
      <c r="GO56" s="100"/>
      <c r="GP56" s="100"/>
      <c r="GQ56" s="100"/>
      <c r="GR56" s="100"/>
      <c r="GS56" s="100"/>
      <c r="GT56" s="100"/>
      <c r="GU56" s="100"/>
      <c r="GV56" s="100"/>
      <c r="GW56" s="100"/>
      <c r="GX56" s="100"/>
      <c r="GY56" s="100"/>
      <c r="GZ56" s="100"/>
      <c r="HA56" s="100"/>
      <c r="HB56" s="100"/>
      <c r="HC56" s="100"/>
      <c r="HD56" s="100"/>
      <c r="HE56" s="100"/>
      <c r="HF56" s="100"/>
      <c r="HG56" s="100"/>
      <c r="HH56" s="100"/>
      <c r="HI56" s="100"/>
      <c r="HJ56" s="100"/>
      <c r="HK56" s="100"/>
      <c r="HL56" s="100"/>
      <c r="HM56" s="100"/>
      <c r="HN56" s="100"/>
      <c r="HO56" s="100"/>
      <c r="HP56" s="100"/>
      <c r="HQ56" s="100"/>
      <c r="HR56" s="100"/>
      <c r="HS56" s="100"/>
      <c r="HT56" s="100"/>
      <c r="HU56" s="100"/>
      <c r="HV56" s="100"/>
      <c r="HW56" s="100"/>
      <c r="HX56" s="100"/>
      <c r="HY56" s="100"/>
      <c r="HZ56" s="100"/>
      <c r="IA56" s="100"/>
      <c r="IB56" s="100"/>
      <c r="IC56" s="100"/>
      <c r="ID56" s="100"/>
      <c r="IE56" s="100"/>
      <c r="IF56" s="100"/>
      <c r="IG56" s="100"/>
      <c r="IH56" s="100"/>
      <c r="II56" s="100"/>
      <c r="IJ56" s="100"/>
      <c r="IK56" s="100"/>
      <c r="IL56" s="100"/>
      <c r="IM56" s="100"/>
      <c r="IN56" s="100"/>
      <c r="IO56" s="100"/>
      <c r="IP56" s="100"/>
      <c r="IQ56" s="100"/>
      <c r="IR56" s="100"/>
      <c r="IS56" s="100"/>
      <c r="IT56" s="100"/>
      <c r="IU56" s="100"/>
      <c r="IV56" s="100"/>
      <c r="IW56" s="100"/>
      <c r="IX56" s="100"/>
      <c r="IY56" s="100"/>
      <c r="IZ56" s="100"/>
      <c r="JA56" s="100"/>
      <c r="JB56" s="100"/>
      <c r="JC56" s="100"/>
      <c r="JD56" s="100"/>
      <c r="JE56" s="100"/>
      <c r="JF56" s="100"/>
      <c r="JG56" s="100"/>
      <c r="JH56" s="100"/>
      <c r="JI56" s="100"/>
      <c r="JJ56" s="100"/>
      <c r="JK56" s="100"/>
      <c r="JL56" s="100"/>
      <c r="JM56" s="100"/>
      <c r="JN56" s="100"/>
      <c r="JO56" s="100"/>
      <c r="JP56" s="100"/>
      <c r="JQ56" s="100"/>
      <c r="JR56" s="100"/>
      <c r="JS56" s="100"/>
      <c r="JT56" s="100"/>
      <c r="JU56" s="100"/>
      <c r="JV56" s="100"/>
      <c r="JW56" s="100"/>
      <c r="JX56" s="100"/>
      <c r="JY56" s="100"/>
      <c r="JZ56" s="100"/>
      <c r="KA56" s="100"/>
      <c r="KB56" s="100"/>
      <c r="KC56" s="100"/>
      <c r="KD56" s="100"/>
      <c r="KE56" s="100"/>
      <c r="KF56" s="100"/>
      <c r="KG56" s="100"/>
      <c r="KH56" s="100"/>
      <c r="KI56" s="100"/>
      <c r="KJ56" s="100"/>
    </row>
    <row r="57" spans="1:296" s="28" customFormat="1" x14ac:dyDescent="0.3">
      <c r="B57" s="28" t="s">
        <v>8</v>
      </c>
      <c r="C57" s="83">
        <f>'DIS. PRENDAS'!L12</f>
        <v>25.279583333333335</v>
      </c>
      <c r="D57" s="115">
        <v>6</v>
      </c>
      <c r="E57" s="83">
        <f t="shared" si="1"/>
        <v>-151.67750000000001</v>
      </c>
      <c r="F57" s="117"/>
      <c r="G57" s="83"/>
      <c r="J57" s="39"/>
      <c r="K57" s="70"/>
      <c r="L57" s="75"/>
      <c r="M57" s="127"/>
      <c r="N57" s="77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K57" s="100"/>
      <c r="BL57" s="100"/>
      <c r="BM57" s="100"/>
      <c r="BN57" s="100"/>
      <c r="BO57" s="100"/>
      <c r="BP57" s="100"/>
      <c r="BQ57" s="100"/>
      <c r="BR57" s="100"/>
      <c r="BS57" s="100"/>
      <c r="BT57" s="100"/>
      <c r="BU57" s="100"/>
      <c r="BV57" s="100"/>
      <c r="BW57" s="100"/>
      <c r="BX57" s="100"/>
      <c r="BY57" s="100"/>
      <c r="BZ57" s="100"/>
      <c r="CA57" s="100"/>
      <c r="CB57" s="100"/>
      <c r="CC57" s="100"/>
      <c r="CD57" s="100"/>
      <c r="CE57" s="10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100"/>
      <c r="CX57" s="100"/>
      <c r="CY57" s="100"/>
      <c r="CZ57" s="100"/>
      <c r="DA57" s="100"/>
      <c r="DB57" s="100"/>
      <c r="DC57" s="100"/>
      <c r="DD57" s="100"/>
      <c r="DE57" s="100"/>
      <c r="DF57" s="100"/>
      <c r="DG57" s="100"/>
      <c r="DH57" s="100"/>
      <c r="DI57" s="100"/>
      <c r="DJ57" s="100"/>
      <c r="DK57" s="100"/>
      <c r="DL57" s="100"/>
      <c r="DM57" s="100"/>
      <c r="DN57" s="100"/>
      <c r="DO57" s="100"/>
      <c r="DP57" s="100"/>
      <c r="DQ57" s="100"/>
      <c r="DR57" s="100"/>
      <c r="DS57" s="100"/>
      <c r="DT57" s="100"/>
      <c r="DU57" s="100"/>
      <c r="DV57" s="100"/>
      <c r="DW57" s="100"/>
      <c r="DX57" s="100"/>
      <c r="DY57" s="100"/>
      <c r="DZ57" s="100"/>
      <c r="EA57" s="100"/>
      <c r="EB57" s="100"/>
      <c r="EC57" s="100"/>
      <c r="ED57" s="100"/>
      <c r="EE57" s="100"/>
      <c r="EF57" s="100"/>
      <c r="EG57" s="100"/>
      <c r="EH57" s="100"/>
      <c r="EI57" s="100"/>
      <c r="EJ57" s="100"/>
      <c r="EK57" s="100"/>
      <c r="EL57" s="100"/>
      <c r="EM57" s="100"/>
      <c r="EN57" s="100"/>
      <c r="EO57" s="100"/>
      <c r="EP57" s="100"/>
      <c r="EQ57" s="100"/>
      <c r="ER57" s="100"/>
      <c r="ES57" s="100"/>
      <c r="ET57" s="100"/>
      <c r="EU57" s="100"/>
      <c r="EV57" s="100"/>
      <c r="EW57" s="100"/>
      <c r="EX57" s="100"/>
      <c r="EY57" s="100"/>
      <c r="EZ57" s="100"/>
      <c r="FA57" s="100"/>
      <c r="FB57" s="100"/>
      <c r="FC57" s="100"/>
      <c r="FD57" s="100"/>
      <c r="FE57" s="100"/>
      <c r="FF57" s="100"/>
      <c r="FG57" s="100"/>
      <c r="FH57" s="100"/>
      <c r="FI57" s="100"/>
      <c r="FJ57" s="100"/>
      <c r="FK57" s="100"/>
      <c r="FL57" s="100"/>
      <c r="FM57" s="100"/>
      <c r="FN57" s="100"/>
      <c r="FO57" s="100"/>
      <c r="FP57" s="100"/>
      <c r="FQ57" s="100"/>
      <c r="FR57" s="100"/>
      <c r="FS57" s="100"/>
      <c r="FT57" s="100"/>
      <c r="FU57" s="100"/>
      <c r="FV57" s="100"/>
      <c r="FW57" s="100"/>
      <c r="FX57" s="100"/>
      <c r="FY57" s="100"/>
      <c r="FZ57" s="100"/>
      <c r="GA57" s="100"/>
      <c r="GB57" s="100"/>
      <c r="GC57" s="100"/>
      <c r="GD57" s="100"/>
      <c r="GE57" s="100"/>
      <c r="GF57" s="100"/>
      <c r="GG57" s="100"/>
      <c r="GH57" s="100"/>
      <c r="GI57" s="100"/>
      <c r="GJ57" s="100"/>
      <c r="GK57" s="100"/>
      <c r="GL57" s="100"/>
      <c r="GM57" s="100"/>
      <c r="GN57" s="100"/>
      <c r="GO57" s="100"/>
      <c r="GP57" s="100"/>
      <c r="GQ57" s="100"/>
      <c r="GR57" s="100"/>
      <c r="GS57" s="100"/>
      <c r="GT57" s="100"/>
      <c r="GU57" s="100"/>
      <c r="GV57" s="100"/>
      <c r="GW57" s="100"/>
      <c r="GX57" s="100"/>
      <c r="GY57" s="100"/>
      <c r="GZ57" s="100"/>
      <c r="HA57" s="100"/>
      <c r="HB57" s="100"/>
      <c r="HC57" s="100"/>
      <c r="HD57" s="100"/>
      <c r="HE57" s="100"/>
      <c r="HF57" s="100"/>
      <c r="HG57" s="100"/>
      <c r="HH57" s="100"/>
      <c r="HI57" s="100"/>
      <c r="HJ57" s="100"/>
      <c r="HK57" s="100"/>
      <c r="HL57" s="100"/>
      <c r="HM57" s="100"/>
      <c r="HN57" s="100"/>
      <c r="HO57" s="100"/>
      <c r="HP57" s="100"/>
      <c r="HQ57" s="100"/>
      <c r="HR57" s="100"/>
      <c r="HS57" s="100"/>
      <c r="HT57" s="100"/>
      <c r="HU57" s="100"/>
      <c r="HV57" s="100"/>
      <c r="HW57" s="100"/>
      <c r="HX57" s="100"/>
      <c r="HY57" s="100"/>
      <c r="HZ57" s="100"/>
      <c r="IA57" s="100"/>
      <c r="IB57" s="100"/>
      <c r="IC57" s="100"/>
      <c r="ID57" s="100"/>
      <c r="IE57" s="100"/>
      <c r="IF57" s="100"/>
      <c r="IG57" s="100"/>
      <c r="IH57" s="100"/>
      <c r="II57" s="100"/>
      <c r="IJ57" s="100"/>
      <c r="IK57" s="100"/>
      <c r="IL57" s="100"/>
      <c r="IM57" s="100"/>
      <c r="IN57" s="100"/>
      <c r="IO57" s="100"/>
      <c r="IP57" s="100"/>
      <c r="IQ57" s="100"/>
      <c r="IR57" s="100"/>
      <c r="IS57" s="100"/>
      <c r="IT57" s="100"/>
      <c r="IU57" s="100"/>
      <c r="IV57" s="100"/>
      <c r="IW57" s="100"/>
      <c r="IX57" s="100"/>
      <c r="IY57" s="100"/>
      <c r="IZ57" s="100"/>
      <c r="JA57" s="100"/>
      <c r="JB57" s="100"/>
      <c r="JC57" s="100"/>
      <c r="JD57" s="100"/>
      <c r="JE57" s="100"/>
      <c r="JF57" s="100"/>
      <c r="JG57" s="100"/>
      <c r="JH57" s="100"/>
      <c r="JI57" s="100"/>
      <c r="JJ57" s="100"/>
      <c r="JK57" s="100"/>
      <c r="JL57" s="100"/>
      <c r="JM57" s="100"/>
      <c r="JN57" s="100"/>
      <c r="JO57" s="100"/>
      <c r="JP57" s="100"/>
      <c r="JQ57" s="100"/>
      <c r="JR57" s="100"/>
      <c r="JS57" s="100"/>
      <c r="JT57" s="100"/>
      <c r="JU57" s="100"/>
      <c r="JV57" s="100"/>
      <c r="JW57" s="100"/>
      <c r="JX57" s="100"/>
      <c r="JY57" s="100"/>
      <c r="JZ57" s="100"/>
      <c r="KA57" s="100"/>
      <c r="KB57" s="100"/>
      <c r="KC57" s="100"/>
      <c r="KD57" s="100"/>
      <c r="KE57" s="100"/>
      <c r="KF57" s="100"/>
      <c r="KG57" s="100"/>
      <c r="KH57" s="100"/>
      <c r="KI57" s="100"/>
      <c r="KJ57" s="100"/>
    </row>
    <row r="58" spans="1:296" s="28" customFormat="1" x14ac:dyDescent="0.3">
      <c r="B58" s="28" t="s">
        <v>120</v>
      </c>
      <c r="C58" s="83">
        <f>+'DIS. PRENDAS'!L12</f>
        <v>25.279583333333335</v>
      </c>
      <c r="D58" s="114">
        <v>2.5</v>
      </c>
      <c r="E58" s="83">
        <f>-(+C58*D58)</f>
        <v>-63.198958333333337</v>
      </c>
      <c r="F58" s="117"/>
      <c r="G58" s="83"/>
      <c r="J58" s="39"/>
      <c r="K58" s="70"/>
      <c r="L58" s="75"/>
      <c r="M58" s="127"/>
      <c r="N58" s="77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K58" s="100"/>
      <c r="BL58" s="100"/>
      <c r="BM58" s="100"/>
      <c r="BN58" s="100"/>
      <c r="BO58" s="100"/>
      <c r="BP58" s="100"/>
      <c r="BQ58" s="100"/>
      <c r="BR58" s="100"/>
      <c r="BS58" s="100"/>
      <c r="BT58" s="100"/>
      <c r="BU58" s="100"/>
      <c r="BV58" s="100"/>
      <c r="BW58" s="100"/>
      <c r="BX58" s="100"/>
      <c r="BY58" s="100"/>
      <c r="BZ58" s="100"/>
      <c r="CA58" s="100"/>
      <c r="CB58" s="100"/>
      <c r="CC58" s="100"/>
      <c r="CD58" s="100"/>
      <c r="CE58" s="100"/>
      <c r="CF58" s="100"/>
      <c r="CG58" s="100"/>
      <c r="CH58" s="100"/>
      <c r="CI58" s="100"/>
      <c r="CJ58" s="100"/>
      <c r="CK58" s="100"/>
      <c r="CL58" s="100"/>
      <c r="CM58" s="100"/>
      <c r="CN58" s="100"/>
      <c r="CO58" s="100"/>
      <c r="CP58" s="100"/>
      <c r="CQ58" s="100"/>
      <c r="CR58" s="100"/>
      <c r="CS58" s="100"/>
      <c r="CT58" s="100"/>
      <c r="CU58" s="100"/>
      <c r="CV58" s="100"/>
      <c r="CW58" s="100"/>
      <c r="CX58" s="100"/>
      <c r="CY58" s="100"/>
      <c r="CZ58" s="100"/>
      <c r="DA58" s="100"/>
      <c r="DB58" s="100"/>
      <c r="DC58" s="100"/>
      <c r="DD58" s="100"/>
      <c r="DE58" s="100"/>
      <c r="DF58" s="100"/>
      <c r="DG58" s="100"/>
      <c r="DH58" s="100"/>
      <c r="DI58" s="100"/>
      <c r="DJ58" s="100"/>
      <c r="DK58" s="100"/>
      <c r="DL58" s="100"/>
      <c r="DM58" s="100"/>
      <c r="DN58" s="100"/>
      <c r="DO58" s="100"/>
      <c r="DP58" s="100"/>
      <c r="DQ58" s="100"/>
      <c r="DR58" s="100"/>
      <c r="DS58" s="100"/>
      <c r="DT58" s="100"/>
      <c r="DU58" s="100"/>
      <c r="DV58" s="100"/>
      <c r="DW58" s="100"/>
      <c r="DX58" s="100"/>
      <c r="DY58" s="100"/>
      <c r="DZ58" s="100"/>
      <c r="EA58" s="100"/>
      <c r="EB58" s="100"/>
      <c r="EC58" s="100"/>
      <c r="ED58" s="100"/>
      <c r="EE58" s="100"/>
      <c r="EF58" s="100"/>
      <c r="EG58" s="100"/>
      <c r="EH58" s="100"/>
      <c r="EI58" s="100"/>
      <c r="EJ58" s="100"/>
      <c r="EK58" s="100"/>
      <c r="EL58" s="100"/>
      <c r="EM58" s="100"/>
      <c r="EN58" s="100"/>
      <c r="EO58" s="100"/>
      <c r="EP58" s="100"/>
      <c r="EQ58" s="100"/>
      <c r="ER58" s="100"/>
      <c r="ES58" s="100"/>
      <c r="ET58" s="100"/>
      <c r="EU58" s="100"/>
      <c r="EV58" s="100"/>
      <c r="EW58" s="100"/>
      <c r="EX58" s="100"/>
      <c r="EY58" s="100"/>
      <c r="EZ58" s="100"/>
      <c r="FA58" s="100"/>
      <c r="FB58" s="100"/>
      <c r="FC58" s="100"/>
      <c r="FD58" s="100"/>
      <c r="FE58" s="100"/>
      <c r="FF58" s="100"/>
      <c r="FG58" s="100"/>
      <c r="FH58" s="100"/>
      <c r="FI58" s="100"/>
      <c r="FJ58" s="100"/>
      <c r="FK58" s="100"/>
      <c r="FL58" s="100"/>
      <c r="FM58" s="100"/>
      <c r="FN58" s="100"/>
      <c r="FO58" s="100"/>
      <c r="FP58" s="100"/>
      <c r="FQ58" s="100"/>
      <c r="FR58" s="100"/>
      <c r="FS58" s="100"/>
      <c r="FT58" s="100"/>
      <c r="FU58" s="100"/>
      <c r="FV58" s="100"/>
      <c r="FW58" s="100"/>
      <c r="FX58" s="100"/>
      <c r="FY58" s="100"/>
      <c r="FZ58" s="100"/>
      <c r="GA58" s="100"/>
      <c r="GB58" s="100"/>
      <c r="GC58" s="100"/>
      <c r="GD58" s="100"/>
      <c r="GE58" s="100"/>
      <c r="GF58" s="100"/>
      <c r="GG58" s="100"/>
      <c r="GH58" s="100"/>
      <c r="GI58" s="100"/>
      <c r="GJ58" s="100"/>
      <c r="GK58" s="100"/>
      <c r="GL58" s="100"/>
      <c r="GM58" s="100"/>
      <c r="GN58" s="100"/>
      <c r="GO58" s="100"/>
      <c r="GP58" s="100"/>
      <c r="GQ58" s="100"/>
      <c r="GR58" s="100"/>
      <c r="GS58" s="100"/>
      <c r="GT58" s="100"/>
      <c r="GU58" s="100"/>
      <c r="GV58" s="100"/>
      <c r="GW58" s="100"/>
      <c r="GX58" s="100"/>
      <c r="GY58" s="100"/>
      <c r="GZ58" s="100"/>
      <c r="HA58" s="100"/>
      <c r="HB58" s="100"/>
      <c r="HC58" s="100"/>
      <c r="HD58" s="100"/>
      <c r="HE58" s="100"/>
      <c r="HF58" s="100"/>
      <c r="HG58" s="100"/>
      <c r="HH58" s="100"/>
      <c r="HI58" s="100"/>
      <c r="HJ58" s="100"/>
      <c r="HK58" s="100"/>
      <c r="HL58" s="100"/>
      <c r="HM58" s="100"/>
      <c r="HN58" s="100"/>
      <c r="HO58" s="100"/>
      <c r="HP58" s="100"/>
      <c r="HQ58" s="100"/>
      <c r="HR58" s="100"/>
      <c r="HS58" s="100"/>
      <c r="HT58" s="100"/>
      <c r="HU58" s="100"/>
      <c r="HV58" s="100"/>
      <c r="HW58" s="100"/>
      <c r="HX58" s="100"/>
      <c r="HY58" s="100"/>
      <c r="HZ58" s="100"/>
      <c r="IA58" s="100"/>
      <c r="IB58" s="100"/>
      <c r="IC58" s="100"/>
      <c r="ID58" s="100"/>
      <c r="IE58" s="100"/>
      <c r="IF58" s="100"/>
      <c r="IG58" s="100"/>
      <c r="IH58" s="100"/>
      <c r="II58" s="100"/>
      <c r="IJ58" s="100"/>
      <c r="IK58" s="100"/>
      <c r="IL58" s="100"/>
      <c r="IM58" s="100"/>
      <c r="IN58" s="100"/>
      <c r="IO58" s="100"/>
      <c r="IP58" s="100"/>
      <c r="IQ58" s="100"/>
      <c r="IR58" s="100"/>
      <c r="IS58" s="100"/>
      <c r="IT58" s="100"/>
      <c r="IU58" s="100"/>
      <c r="IV58" s="100"/>
      <c r="IW58" s="100"/>
      <c r="IX58" s="100"/>
      <c r="IY58" s="100"/>
      <c r="IZ58" s="100"/>
      <c r="JA58" s="100"/>
      <c r="JB58" s="100"/>
      <c r="JC58" s="100"/>
      <c r="JD58" s="100"/>
      <c r="JE58" s="100"/>
      <c r="JF58" s="100"/>
      <c r="JG58" s="100"/>
      <c r="JH58" s="100"/>
      <c r="JI58" s="100"/>
      <c r="JJ58" s="100"/>
      <c r="JK58" s="100"/>
      <c r="JL58" s="100"/>
      <c r="JM58" s="100"/>
      <c r="JN58" s="100"/>
      <c r="JO58" s="100"/>
      <c r="JP58" s="100"/>
      <c r="JQ58" s="100"/>
      <c r="JR58" s="100"/>
      <c r="JS58" s="100"/>
      <c r="JT58" s="100"/>
      <c r="JU58" s="100"/>
      <c r="JV58" s="100"/>
      <c r="JW58" s="100"/>
      <c r="JX58" s="100"/>
      <c r="JY58" s="100"/>
      <c r="JZ58" s="100"/>
      <c r="KA58" s="100"/>
      <c r="KB58" s="100"/>
      <c r="KC58" s="100"/>
      <c r="KD58" s="100"/>
      <c r="KE58" s="100"/>
      <c r="KF58" s="100"/>
      <c r="KG58" s="100"/>
      <c r="KH58" s="100"/>
      <c r="KI58" s="100"/>
      <c r="KJ58" s="100"/>
    </row>
    <row r="59" spans="1:296" s="43" customFormat="1" x14ac:dyDescent="0.3">
      <c r="B59" s="43" t="s">
        <v>9</v>
      </c>
      <c r="C59" s="119">
        <f>+'DIS. PRENDAS'!L12</f>
        <v>25.279583333333335</v>
      </c>
      <c r="D59" s="120">
        <v>1.5</v>
      </c>
      <c r="E59" s="119">
        <f t="shared" si="1"/>
        <v>-37.919375000000002</v>
      </c>
      <c r="F59" s="121"/>
      <c r="G59" s="119"/>
      <c r="I59" s="28"/>
      <c r="J59" s="39"/>
      <c r="K59" s="70"/>
      <c r="L59" s="75"/>
      <c r="M59" s="127"/>
      <c r="N59" s="77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00"/>
      <c r="BV59" s="100"/>
      <c r="BW59" s="100"/>
      <c r="BX59" s="100"/>
      <c r="BY59" s="100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100"/>
      <c r="CX59" s="100"/>
      <c r="CY59" s="100"/>
      <c r="CZ59" s="100"/>
      <c r="DA59" s="100"/>
      <c r="DB59" s="100"/>
      <c r="DC59" s="100"/>
      <c r="DD59" s="100"/>
      <c r="DE59" s="100"/>
      <c r="DF59" s="100"/>
      <c r="DG59" s="100"/>
      <c r="DH59" s="100"/>
      <c r="DI59" s="100"/>
      <c r="DJ59" s="100"/>
      <c r="DK59" s="100"/>
      <c r="DL59" s="100"/>
      <c r="DM59" s="100"/>
      <c r="DN59" s="100"/>
      <c r="DO59" s="100"/>
      <c r="DP59" s="100"/>
      <c r="DQ59" s="100"/>
      <c r="DR59" s="100"/>
      <c r="DS59" s="100"/>
      <c r="DT59" s="100"/>
      <c r="DU59" s="100"/>
      <c r="DV59" s="100"/>
      <c r="DW59" s="100"/>
      <c r="DX59" s="100"/>
      <c r="DY59" s="100"/>
      <c r="DZ59" s="100"/>
      <c r="EA59" s="100"/>
      <c r="EB59" s="100"/>
      <c r="EC59" s="100"/>
      <c r="ED59" s="100"/>
      <c r="EE59" s="100"/>
      <c r="EF59" s="100"/>
      <c r="EG59" s="100"/>
      <c r="EH59" s="100"/>
      <c r="EI59" s="100"/>
      <c r="EJ59" s="100"/>
      <c r="EK59" s="100"/>
      <c r="EL59" s="100"/>
      <c r="EM59" s="100"/>
      <c r="EN59" s="100"/>
      <c r="EO59" s="100"/>
      <c r="EP59" s="100"/>
      <c r="EQ59" s="100"/>
      <c r="ER59" s="100"/>
      <c r="ES59" s="100"/>
      <c r="ET59" s="100"/>
      <c r="EU59" s="100"/>
      <c r="EV59" s="100"/>
      <c r="EW59" s="100"/>
      <c r="EX59" s="100"/>
      <c r="EY59" s="100"/>
      <c r="EZ59" s="100"/>
      <c r="FA59" s="100"/>
      <c r="FB59" s="100"/>
      <c r="FC59" s="100"/>
      <c r="FD59" s="100"/>
      <c r="FE59" s="100"/>
      <c r="FF59" s="100"/>
      <c r="FG59" s="100"/>
      <c r="FH59" s="100"/>
      <c r="FI59" s="100"/>
      <c r="FJ59" s="100"/>
      <c r="FK59" s="100"/>
      <c r="FL59" s="100"/>
      <c r="FM59" s="100"/>
      <c r="FN59" s="100"/>
      <c r="FO59" s="100"/>
      <c r="FP59" s="100"/>
      <c r="FQ59" s="100"/>
      <c r="FR59" s="100"/>
      <c r="FS59" s="100"/>
      <c r="FT59" s="100"/>
      <c r="FU59" s="100"/>
      <c r="FV59" s="100"/>
      <c r="FW59" s="100"/>
      <c r="FX59" s="100"/>
      <c r="FY59" s="100"/>
      <c r="FZ59" s="100"/>
      <c r="GA59" s="100"/>
      <c r="GB59" s="100"/>
      <c r="GC59" s="100"/>
      <c r="GD59" s="100"/>
      <c r="GE59" s="100"/>
      <c r="GF59" s="100"/>
      <c r="GG59" s="100"/>
      <c r="GH59" s="100"/>
      <c r="GI59" s="100"/>
      <c r="GJ59" s="100"/>
      <c r="GK59" s="100"/>
      <c r="GL59" s="100"/>
      <c r="GM59" s="100"/>
      <c r="GN59" s="100"/>
      <c r="GO59" s="100"/>
      <c r="GP59" s="100"/>
      <c r="GQ59" s="100"/>
      <c r="GR59" s="100"/>
      <c r="GS59" s="100"/>
      <c r="GT59" s="100"/>
      <c r="GU59" s="100"/>
      <c r="GV59" s="100"/>
      <c r="GW59" s="100"/>
      <c r="GX59" s="100"/>
      <c r="GY59" s="100"/>
      <c r="GZ59" s="100"/>
      <c r="HA59" s="100"/>
      <c r="HB59" s="100"/>
      <c r="HC59" s="100"/>
      <c r="HD59" s="100"/>
      <c r="HE59" s="100"/>
      <c r="HF59" s="100"/>
      <c r="HG59" s="100"/>
      <c r="HH59" s="100"/>
      <c r="HI59" s="100"/>
      <c r="HJ59" s="100"/>
      <c r="HK59" s="100"/>
      <c r="HL59" s="100"/>
      <c r="HM59" s="100"/>
      <c r="HN59" s="100"/>
      <c r="HO59" s="100"/>
      <c r="HP59" s="100"/>
      <c r="HQ59" s="100"/>
      <c r="HR59" s="100"/>
      <c r="HS59" s="100"/>
      <c r="HT59" s="100"/>
      <c r="HU59" s="100"/>
      <c r="HV59" s="100"/>
      <c r="HW59" s="100"/>
      <c r="HX59" s="100"/>
      <c r="HY59" s="100"/>
      <c r="HZ59" s="100"/>
      <c r="IA59" s="100"/>
      <c r="IB59" s="100"/>
      <c r="IC59" s="100"/>
      <c r="ID59" s="100"/>
      <c r="IE59" s="100"/>
      <c r="IF59" s="100"/>
      <c r="IG59" s="100"/>
      <c r="IH59" s="100"/>
      <c r="II59" s="100"/>
      <c r="IJ59" s="100"/>
      <c r="IK59" s="100"/>
      <c r="IL59" s="100"/>
      <c r="IM59" s="100"/>
      <c r="IN59" s="100"/>
      <c r="IO59" s="100"/>
      <c r="IP59" s="100"/>
      <c r="IQ59" s="100"/>
      <c r="IR59" s="100"/>
      <c r="IS59" s="100"/>
      <c r="IT59" s="100"/>
      <c r="IU59" s="100"/>
      <c r="IV59" s="100"/>
      <c r="IW59" s="100"/>
      <c r="IX59" s="100"/>
      <c r="IY59" s="100"/>
      <c r="IZ59" s="100"/>
      <c r="JA59" s="100"/>
      <c r="JB59" s="100"/>
      <c r="JC59" s="100"/>
      <c r="JD59" s="100"/>
      <c r="JE59" s="100"/>
      <c r="JF59" s="100"/>
      <c r="JG59" s="100"/>
      <c r="JH59" s="100"/>
      <c r="JI59" s="100"/>
      <c r="JJ59" s="100"/>
      <c r="JK59" s="100"/>
      <c r="JL59" s="100"/>
      <c r="JM59" s="100"/>
      <c r="JN59" s="100"/>
      <c r="JO59" s="100"/>
      <c r="JP59" s="100"/>
      <c r="JQ59" s="100"/>
      <c r="JR59" s="100"/>
      <c r="JS59" s="100"/>
      <c r="JT59" s="100"/>
      <c r="JU59" s="100"/>
      <c r="JV59" s="100"/>
      <c r="JW59" s="100"/>
      <c r="JX59" s="100"/>
      <c r="JY59" s="100"/>
      <c r="JZ59" s="100"/>
      <c r="KA59" s="100"/>
      <c r="KB59" s="100"/>
      <c r="KC59" s="100"/>
      <c r="KD59" s="100"/>
      <c r="KE59" s="100"/>
      <c r="KF59" s="100"/>
      <c r="KG59" s="100"/>
      <c r="KH59" s="100"/>
      <c r="KI59" s="100"/>
      <c r="KJ59" s="100"/>
    </row>
    <row r="60" spans="1:296" s="43" customFormat="1" x14ac:dyDescent="0.3">
      <c r="B60" s="43" t="s">
        <v>122</v>
      </c>
      <c r="C60" s="119">
        <v>20</v>
      </c>
      <c r="D60" s="120">
        <v>1</v>
      </c>
      <c r="E60" s="119">
        <f>-(+C60*D60)</f>
        <v>-20</v>
      </c>
      <c r="F60" s="121"/>
      <c r="G60" s="119"/>
      <c r="I60" s="28"/>
      <c r="J60" s="39"/>
      <c r="K60" s="70"/>
      <c r="L60" s="75"/>
      <c r="M60" s="127"/>
      <c r="N60" s="77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00"/>
      <c r="BV60" s="100"/>
      <c r="BW60" s="100"/>
      <c r="BX60" s="100"/>
      <c r="BY60" s="100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100"/>
      <c r="CX60" s="100"/>
      <c r="CY60" s="100"/>
      <c r="CZ60" s="100"/>
      <c r="DA60" s="100"/>
      <c r="DB60" s="100"/>
      <c r="DC60" s="100"/>
      <c r="DD60" s="100"/>
      <c r="DE60" s="100"/>
      <c r="DF60" s="100"/>
      <c r="DG60" s="100"/>
      <c r="DH60" s="100"/>
      <c r="DI60" s="100"/>
      <c r="DJ60" s="100"/>
      <c r="DK60" s="100"/>
      <c r="DL60" s="100"/>
      <c r="DM60" s="100"/>
      <c r="DN60" s="100"/>
      <c r="DO60" s="100"/>
      <c r="DP60" s="100"/>
      <c r="DQ60" s="100"/>
      <c r="DR60" s="100"/>
      <c r="DS60" s="100"/>
      <c r="DT60" s="100"/>
      <c r="DU60" s="100"/>
      <c r="DV60" s="100"/>
      <c r="DW60" s="100"/>
      <c r="DX60" s="100"/>
      <c r="DY60" s="100"/>
      <c r="DZ60" s="100"/>
      <c r="EA60" s="100"/>
      <c r="EB60" s="100"/>
      <c r="EC60" s="100"/>
      <c r="ED60" s="100"/>
      <c r="EE60" s="100"/>
      <c r="EF60" s="100"/>
      <c r="EG60" s="100"/>
      <c r="EH60" s="100"/>
      <c r="EI60" s="100"/>
      <c r="EJ60" s="100"/>
      <c r="EK60" s="100"/>
      <c r="EL60" s="100"/>
      <c r="EM60" s="100"/>
      <c r="EN60" s="100"/>
      <c r="EO60" s="100"/>
      <c r="EP60" s="100"/>
      <c r="EQ60" s="100"/>
      <c r="ER60" s="100"/>
      <c r="ES60" s="100"/>
      <c r="ET60" s="100"/>
      <c r="EU60" s="100"/>
      <c r="EV60" s="100"/>
      <c r="EW60" s="100"/>
      <c r="EX60" s="100"/>
      <c r="EY60" s="100"/>
      <c r="EZ60" s="100"/>
      <c r="FA60" s="100"/>
      <c r="FB60" s="100"/>
      <c r="FC60" s="100"/>
      <c r="FD60" s="100"/>
      <c r="FE60" s="100"/>
      <c r="FF60" s="100"/>
      <c r="FG60" s="100"/>
      <c r="FH60" s="100"/>
      <c r="FI60" s="100"/>
      <c r="FJ60" s="100"/>
      <c r="FK60" s="100"/>
      <c r="FL60" s="100"/>
      <c r="FM60" s="100"/>
      <c r="FN60" s="100"/>
      <c r="FO60" s="100"/>
      <c r="FP60" s="100"/>
      <c r="FQ60" s="100"/>
      <c r="FR60" s="100"/>
      <c r="FS60" s="100"/>
      <c r="FT60" s="100"/>
      <c r="FU60" s="100"/>
      <c r="FV60" s="100"/>
      <c r="FW60" s="100"/>
      <c r="FX60" s="100"/>
      <c r="FY60" s="100"/>
      <c r="FZ60" s="100"/>
      <c r="GA60" s="100"/>
      <c r="GB60" s="100"/>
      <c r="GC60" s="100"/>
      <c r="GD60" s="100"/>
      <c r="GE60" s="100"/>
      <c r="GF60" s="100"/>
      <c r="GG60" s="100"/>
      <c r="GH60" s="100"/>
      <c r="GI60" s="100"/>
      <c r="GJ60" s="100"/>
      <c r="GK60" s="100"/>
      <c r="GL60" s="100"/>
      <c r="GM60" s="100"/>
      <c r="GN60" s="100"/>
      <c r="GO60" s="100"/>
      <c r="GP60" s="100"/>
      <c r="GQ60" s="100"/>
      <c r="GR60" s="100"/>
      <c r="GS60" s="100"/>
      <c r="GT60" s="100"/>
      <c r="GU60" s="100"/>
      <c r="GV60" s="100"/>
      <c r="GW60" s="100"/>
      <c r="GX60" s="100"/>
      <c r="GY60" s="100"/>
      <c r="GZ60" s="100"/>
      <c r="HA60" s="100"/>
      <c r="HB60" s="100"/>
      <c r="HC60" s="100"/>
      <c r="HD60" s="100"/>
      <c r="HE60" s="100"/>
      <c r="HF60" s="100"/>
      <c r="HG60" s="100"/>
      <c r="HH60" s="100"/>
      <c r="HI60" s="100"/>
      <c r="HJ60" s="100"/>
      <c r="HK60" s="100"/>
      <c r="HL60" s="100"/>
      <c r="HM60" s="100"/>
      <c r="HN60" s="100"/>
      <c r="HO60" s="100"/>
      <c r="HP60" s="100"/>
      <c r="HQ60" s="100"/>
      <c r="HR60" s="100"/>
      <c r="HS60" s="100"/>
      <c r="HT60" s="100"/>
      <c r="HU60" s="100"/>
      <c r="HV60" s="100"/>
      <c r="HW60" s="100"/>
      <c r="HX60" s="100"/>
      <c r="HY60" s="100"/>
      <c r="HZ60" s="100"/>
      <c r="IA60" s="100"/>
      <c r="IB60" s="100"/>
      <c r="IC60" s="100"/>
      <c r="ID60" s="100"/>
      <c r="IE60" s="100"/>
      <c r="IF60" s="100"/>
      <c r="IG60" s="100"/>
      <c r="IH60" s="100"/>
      <c r="II60" s="100"/>
      <c r="IJ60" s="100"/>
      <c r="IK60" s="100"/>
      <c r="IL60" s="100"/>
      <c r="IM60" s="100"/>
      <c r="IN60" s="100"/>
      <c r="IO60" s="100"/>
      <c r="IP60" s="100"/>
      <c r="IQ60" s="100"/>
      <c r="IR60" s="100"/>
      <c r="IS60" s="100"/>
      <c r="IT60" s="100"/>
      <c r="IU60" s="100"/>
      <c r="IV60" s="100"/>
      <c r="IW60" s="100"/>
      <c r="IX60" s="100"/>
      <c r="IY60" s="100"/>
      <c r="IZ60" s="100"/>
      <c r="JA60" s="100"/>
      <c r="JB60" s="100"/>
      <c r="JC60" s="100"/>
      <c r="JD60" s="100"/>
      <c r="JE60" s="100"/>
      <c r="JF60" s="100"/>
      <c r="JG60" s="100"/>
      <c r="JH60" s="100"/>
      <c r="JI60" s="100"/>
      <c r="JJ60" s="100"/>
      <c r="JK60" s="100"/>
      <c r="JL60" s="100"/>
      <c r="JM60" s="100"/>
      <c r="JN60" s="100"/>
      <c r="JO60" s="100"/>
      <c r="JP60" s="100"/>
      <c r="JQ60" s="100"/>
      <c r="JR60" s="100"/>
      <c r="JS60" s="100"/>
      <c r="JT60" s="100"/>
      <c r="JU60" s="100"/>
      <c r="JV60" s="100"/>
      <c r="JW60" s="100"/>
      <c r="JX60" s="100"/>
      <c r="JY60" s="100"/>
      <c r="JZ60" s="100"/>
      <c r="KA60" s="100"/>
      <c r="KB60" s="100"/>
      <c r="KC60" s="100"/>
      <c r="KD60" s="100"/>
      <c r="KE60" s="100"/>
      <c r="KF60" s="100"/>
      <c r="KG60" s="100"/>
      <c r="KH60" s="100"/>
      <c r="KI60" s="100"/>
      <c r="KJ60" s="100"/>
    </row>
    <row r="61" spans="1:296" x14ac:dyDescent="0.3">
      <c r="B61" t="s">
        <v>117</v>
      </c>
      <c r="C61" s="5">
        <v>15</v>
      </c>
      <c r="D61" s="111">
        <v>0</v>
      </c>
      <c r="E61" s="5">
        <f t="shared" ref="E61:E62" si="2">-(+C61*D61)</f>
        <v>0</v>
      </c>
      <c r="F61" s="98"/>
    </row>
    <row r="62" spans="1:296" x14ac:dyDescent="0.3">
      <c r="B62" t="s">
        <v>126</v>
      </c>
      <c r="C62" s="5">
        <f>+'DIS. PRENDAS'!L12</f>
        <v>25.279583333333335</v>
      </c>
      <c r="D62" s="111">
        <v>0</v>
      </c>
      <c r="E62" s="5">
        <f t="shared" si="2"/>
        <v>0</v>
      </c>
    </row>
    <row r="63" spans="1:296" s="43" customFormat="1" x14ac:dyDescent="0.3">
      <c r="B63" s="43" t="s">
        <v>123</v>
      </c>
      <c r="C63" s="119">
        <v>20</v>
      </c>
      <c r="D63" s="120">
        <v>0</v>
      </c>
      <c r="E63" s="119">
        <f>-(+C63*D63)</f>
        <v>0</v>
      </c>
      <c r="F63" s="121"/>
      <c r="G63" s="119"/>
      <c r="I63" s="28"/>
      <c r="J63" s="39"/>
      <c r="K63" s="70"/>
      <c r="L63" s="75"/>
      <c r="M63" s="127"/>
      <c r="N63" s="77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00"/>
      <c r="BU63" s="100"/>
      <c r="BV63" s="100"/>
      <c r="BW63" s="100"/>
      <c r="BX63" s="100"/>
      <c r="BY63" s="100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100"/>
      <c r="CX63" s="100"/>
      <c r="CY63" s="100"/>
      <c r="CZ63" s="100"/>
      <c r="DA63" s="100"/>
      <c r="DB63" s="100"/>
      <c r="DC63" s="100"/>
      <c r="DD63" s="100"/>
      <c r="DE63" s="100"/>
      <c r="DF63" s="100"/>
      <c r="DG63" s="100"/>
      <c r="DH63" s="100"/>
      <c r="DI63" s="100"/>
      <c r="DJ63" s="100"/>
      <c r="DK63" s="100"/>
      <c r="DL63" s="100"/>
      <c r="DM63" s="100"/>
      <c r="DN63" s="100"/>
      <c r="DO63" s="100"/>
      <c r="DP63" s="100"/>
      <c r="DQ63" s="100"/>
      <c r="DR63" s="100"/>
      <c r="DS63" s="100"/>
      <c r="DT63" s="100"/>
      <c r="DU63" s="100"/>
      <c r="DV63" s="100"/>
      <c r="DW63" s="100"/>
      <c r="DX63" s="100"/>
      <c r="DY63" s="100"/>
      <c r="DZ63" s="100"/>
      <c r="EA63" s="100"/>
      <c r="EB63" s="100"/>
      <c r="EC63" s="100"/>
      <c r="ED63" s="100"/>
      <c r="EE63" s="100"/>
      <c r="EF63" s="100"/>
      <c r="EG63" s="100"/>
      <c r="EH63" s="100"/>
      <c r="EI63" s="100"/>
      <c r="EJ63" s="100"/>
      <c r="EK63" s="100"/>
      <c r="EL63" s="100"/>
      <c r="EM63" s="100"/>
      <c r="EN63" s="100"/>
      <c r="EO63" s="100"/>
      <c r="EP63" s="100"/>
      <c r="EQ63" s="100"/>
      <c r="ER63" s="100"/>
      <c r="ES63" s="100"/>
      <c r="ET63" s="100"/>
      <c r="EU63" s="100"/>
      <c r="EV63" s="100"/>
      <c r="EW63" s="100"/>
      <c r="EX63" s="100"/>
      <c r="EY63" s="100"/>
      <c r="EZ63" s="100"/>
      <c r="FA63" s="100"/>
      <c r="FB63" s="100"/>
      <c r="FC63" s="100"/>
      <c r="FD63" s="100"/>
      <c r="FE63" s="100"/>
      <c r="FF63" s="100"/>
      <c r="FG63" s="100"/>
      <c r="FH63" s="100"/>
      <c r="FI63" s="100"/>
      <c r="FJ63" s="100"/>
      <c r="FK63" s="100"/>
      <c r="FL63" s="100"/>
      <c r="FM63" s="100"/>
      <c r="FN63" s="100"/>
      <c r="FO63" s="100"/>
      <c r="FP63" s="100"/>
      <c r="FQ63" s="100"/>
      <c r="FR63" s="100"/>
      <c r="FS63" s="100"/>
      <c r="FT63" s="100"/>
      <c r="FU63" s="100"/>
      <c r="FV63" s="100"/>
      <c r="FW63" s="100"/>
      <c r="FX63" s="100"/>
      <c r="FY63" s="100"/>
      <c r="FZ63" s="100"/>
      <c r="GA63" s="100"/>
      <c r="GB63" s="100"/>
      <c r="GC63" s="100"/>
      <c r="GD63" s="100"/>
      <c r="GE63" s="100"/>
      <c r="GF63" s="100"/>
      <c r="GG63" s="100"/>
      <c r="GH63" s="100"/>
      <c r="GI63" s="100"/>
      <c r="GJ63" s="100"/>
      <c r="GK63" s="100"/>
      <c r="GL63" s="100"/>
      <c r="GM63" s="100"/>
      <c r="GN63" s="100"/>
      <c r="GO63" s="100"/>
      <c r="GP63" s="100"/>
      <c r="GQ63" s="100"/>
      <c r="GR63" s="100"/>
      <c r="GS63" s="100"/>
      <c r="GT63" s="100"/>
      <c r="GU63" s="100"/>
      <c r="GV63" s="100"/>
      <c r="GW63" s="100"/>
      <c r="GX63" s="100"/>
      <c r="GY63" s="100"/>
      <c r="GZ63" s="100"/>
      <c r="HA63" s="100"/>
      <c r="HB63" s="100"/>
      <c r="HC63" s="100"/>
      <c r="HD63" s="100"/>
      <c r="HE63" s="100"/>
      <c r="HF63" s="100"/>
      <c r="HG63" s="100"/>
      <c r="HH63" s="100"/>
      <c r="HI63" s="100"/>
      <c r="HJ63" s="100"/>
      <c r="HK63" s="100"/>
      <c r="HL63" s="100"/>
      <c r="HM63" s="100"/>
      <c r="HN63" s="100"/>
      <c r="HO63" s="100"/>
      <c r="HP63" s="100"/>
      <c r="HQ63" s="100"/>
      <c r="HR63" s="100"/>
      <c r="HS63" s="100"/>
      <c r="HT63" s="100"/>
      <c r="HU63" s="100"/>
      <c r="HV63" s="100"/>
      <c r="HW63" s="100"/>
      <c r="HX63" s="100"/>
      <c r="HY63" s="100"/>
      <c r="HZ63" s="100"/>
      <c r="IA63" s="100"/>
      <c r="IB63" s="100"/>
      <c r="IC63" s="100"/>
      <c r="ID63" s="100"/>
      <c r="IE63" s="100"/>
      <c r="IF63" s="100"/>
      <c r="IG63" s="100"/>
      <c r="IH63" s="100"/>
      <c r="II63" s="100"/>
      <c r="IJ63" s="100"/>
      <c r="IK63" s="100"/>
      <c r="IL63" s="100"/>
      <c r="IM63" s="100"/>
      <c r="IN63" s="100"/>
      <c r="IO63" s="100"/>
      <c r="IP63" s="100"/>
      <c r="IQ63" s="100"/>
      <c r="IR63" s="100"/>
      <c r="IS63" s="100"/>
      <c r="IT63" s="100"/>
      <c r="IU63" s="100"/>
      <c r="IV63" s="100"/>
      <c r="IW63" s="100"/>
      <c r="IX63" s="100"/>
      <c r="IY63" s="100"/>
      <c r="IZ63" s="100"/>
      <c r="JA63" s="100"/>
      <c r="JB63" s="100"/>
      <c r="JC63" s="100"/>
      <c r="JD63" s="100"/>
      <c r="JE63" s="100"/>
      <c r="JF63" s="100"/>
      <c r="JG63" s="100"/>
      <c r="JH63" s="100"/>
      <c r="JI63" s="100"/>
      <c r="JJ63" s="100"/>
      <c r="JK63" s="100"/>
      <c r="JL63" s="100"/>
      <c r="JM63" s="100"/>
      <c r="JN63" s="100"/>
      <c r="JO63" s="100"/>
      <c r="JP63" s="100"/>
      <c r="JQ63" s="100"/>
      <c r="JR63" s="100"/>
      <c r="JS63" s="100"/>
      <c r="JT63" s="100"/>
      <c r="JU63" s="100"/>
      <c r="JV63" s="100"/>
      <c r="JW63" s="100"/>
      <c r="JX63" s="100"/>
      <c r="JY63" s="100"/>
      <c r="JZ63" s="100"/>
      <c r="KA63" s="100"/>
      <c r="KB63" s="100"/>
      <c r="KC63" s="100"/>
      <c r="KD63" s="100"/>
      <c r="KE63" s="100"/>
      <c r="KF63" s="100"/>
      <c r="KG63" s="100"/>
      <c r="KH63" s="100"/>
      <c r="KI63" s="100"/>
      <c r="KJ63" s="100"/>
    </row>
    <row r="64" spans="1:296" s="43" customFormat="1" x14ac:dyDescent="0.3">
      <c r="B64" s="43" t="s">
        <v>130</v>
      </c>
      <c r="C64" s="119">
        <v>20</v>
      </c>
      <c r="D64" s="120">
        <v>0</v>
      </c>
      <c r="E64" s="119">
        <f>-(+C64*D64)</f>
        <v>0</v>
      </c>
      <c r="F64" s="121"/>
      <c r="G64" s="119"/>
      <c r="I64" s="28"/>
      <c r="J64" s="39"/>
      <c r="K64" s="70"/>
      <c r="L64" s="75"/>
      <c r="M64" s="127"/>
      <c r="N64" s="77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00"/>
      <c r="BR64" s="100"/>
      <c r="BS64" s="100"/>
      <c r="BT64" s="100"/>
      <c r="BU64" s="100"/>
      <c r="BV64" s="100"/>
      <c r="BW64" s="100"/>
      <c r="BX64" s="100"/>
      <c r="BY64" s="100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100"/>
      <c r="CX64" s="100"/>
      <c r="CY64" s="100"/>
      <c r="CZ64" s="100"/>
      <c r="DA64" s="100"/>
      <c r="DB64" s="100"/>
      <c r="DC64" s="100"/>
      <c r="DD64" s="100"/>
      <c r="DE64" s="100"/>
      <c r="DF64" s="100"/>
      <c r="DG64" s="100"/>
      <c r="DH64" s="100"/>
      <c r="DI64" s="100"/>
      <c r="DJ64" s="100"/>
      <c r="DK64" s="100"/>
      <c r="DL64" s="100"/>
      <c r="DM64" s="100"/>
      <c r="DN64" s="100"/>
      <c r="DO64" s="100"/>
      <c r="DP64" s="100"/>
      <c r="DQ64" s="100"/>
      <c r="DR64" s="100"/>
      <c r="DS64" s="100"/>
      <c r="DT64" s="100"/>
      <c r="DU64" s="100"/>
      <c r="DV64" s="100"/>
      <c r="DW64" s="100"/>
      <c r="DX64" s="100"/>
      <c r="DY64" s="100"/>
      <c r="DZ64" s="100"/>
      <c r="EA64" s="100"/>
      <c r="EB64" s="100"/>
      <c r="EC64" s="100"/>
      <c r="ED64" s="100"/>
      <c r="EE64" s="100"/>
      <c r="EF64" s="100"/>
      <c r="EG64" s="100"/>
      <c r="EH64" s="100"/>
      <c r="EI64" s="100"/>
      <c r="EJ64" s="100"/>
      <c r="EK64" s="100"/>
      <c r="EL64" s="100"/>
      <c r="EM64" s="100"/>
      <c r="EN64" s="100"/>
      <c r="EO64" s="100"/>
      <c r="EP64" s="100"/>
      <c r="EQ64" s="100"/>
      <c r="ER64" s="100"/>
      <c r="ES64" s="100"/>
      <c r="ET64" s="100"/>
      <c r="EU64" s="100"/>
      <c r="EV64" s="100"/>
      <c r="EW64" s="100"/>
      <c r="EX64" s="100"/>
      <c r="EY64" s="100"/>
      <c r="EZ64" s="100"/>
      <c r="FA64" s="100"/>
      <c r="FB64" s="100"/>
      <c r="FC64" s="100"/>
      <c r="FD64" s="100"/>
      <c r="FE64" s="100"/>
      <c r="FF64" s="100"/>
      <c r="FG64" s="100"/>
      <c r="FH64" s="100"/>
      <c r="FI64" s="100"/>
      <c r="FJ64" s="100"/>
      <c r="FK64" s="100"/>
      <c r="FL64" s="100"/>
      <c r="FM64" s="100"/>
      <c r="FN64" s="100"/>
      <c r="FO64" s="100"/>
      <c r="FP64" s="100"/>
      <c r="FQ64" s="100"/>
      <c r="FR64" s="100"/>
      <c r="FS64" s="100"/>
      <c r="FT64" s="100"/>
      <c r="FU64" s="100"/>
      <c r="FV64" s="100"/>
      <c r="FW64" s="100"/>
      <c r="FX64" s="100"/>
      <c r="FY64" s="100"/>
      <c r="FZ64" s="100"/>
      <c r="GA64" s="100"/>
      <c r="GB64" s="100"/>
      <c r="GC64" s="100"/>
      <c r="GD64" s="100"/>
      <c r="GE64" s="100"/>
      <c r="GF64" s="100"/>
      <c r="GG64" s="100"/>
      <c r="GH64" s="100"/>
      <c r="GI64" s="100"/>
      <c r="GJ64" s="100"/>
      <c r="GK64" s="100"/>
      <c r="GL64" s="100"/>
      <c r="GM64" s="100"/>
      <c r="GN64" s="100"/>
      <c r="GO64" s="100"/>
      <c r="GP64" s="100"/>
      <c r="GQ64" s="100"/>
      <c r="GR64" s="100"/>
      <c r="GS64" s="100"/>
      <c r="GT64" s="100"/>
      <c r="GU64" s="100"/>
      <c r="GV64" s="100"/>
      <c r="GW64" s="100"/>
      <c r="GX64" s="100"/>
      <c r="GY64" s="100"/>
      <c r="GZ64" s="100"/>
      <c r="HA64" s="100"/>
      <c r="HB64" s="100"/>
      <c r="HC64" s="100"/>
      <c r="HD64" s="100"/>
      <c r="HE64" s="100"/>
      <c r="HF64" s="100"/>
      <c r="HG64" s="100"/>
      <c r="HH64" s="100"/>
      <c r="HI64" s="100"/>
      <c r="HJ64" s="100"/>
      <c r="HK64" s="100"/>
      <c r="HL64" s="100"/>
      <c r="HM64" s="100"/>
      <c r="HN64" s="100"/>
      <c r="HO64" s="100"/>
      <c r="HP64" s="100"/>
      <c r="HQ64" s="100"/>
      <c r="HR64" s="100"/>
      <c r="HS64" s="100"/>
      <c r="HT64" s="100"/>
      <c r="HU64" s="100"/>
      <c r="HV64" s="100"/>
      <c r="HW64" s="100"/>
      <c r="HX64" s="100"/>
      <c r="HY64" s="100"/>
      <c r="HZ64" s="100"/>
      <c r="IA64" s="100"/>
      <c r="IB64" s="100"/>
      <c r="IC64" s="100"/>
      <c r="ID64" s="100"/>
      <c r="IE64" s="100"/>
      <c r="IF64" s="100"/>
      <c r="IG64" s="100"/>
      <c r="IH64" s="100"/>
      <c r="II64" s="100"/>
      <c r="IJ64" s="100"/>
      <c r="IK64" s="100"/>
      <c r="IL64" s="100"/>
      <c r="IM64" s="100"/>
      <c r="IN64" s="100"/>
      <c r="IO64" s="100"/>
      <c r="IP64" s="100"/>
      <c r="IQ64" s="100"/>
      <c r="IR64" s="100"/>
      <c r="IS64" s="100"/>
      <c r="IT64" s="100"/>
      <c r="IU64" s="100"/>
      <c r="IV64" s="100"/>
      <c r="IW64" s="100"/>
      <c r="IX64" s="100"/>
      <c r="IY64" s="100"/>
      <c r="IZ64" s="100"/>
      <c r="JA64" s="100"/>
      <c r="JB64" s="100"/>
      <c r="JC64" s="100"/>
      <c r="JD64" s="100"/>
      <c r="JE64" s="100"/>
      <c r="JF64" s="100"/>
      <c r="JG64" s="100"/>
      <c r="JH64" s="100"/>
      <c r="JI64" s="100"/>
      <c r="JJ64" s="100"/>
      <c r="JK64" s="100"/>
      <c r="JL64" s="100"/>
      <c r="JM64" s="100"/>
      <c r="JN64" s="100"/>
      <c r="JO64" s="100"/>
      <c r="JP64" s="100"/>
      <c r="JQ64" s="100"/>
      <c r="JR64" s="100"/>
      <c r="JS64" s="100"/>
      <c r="JT64" s="100"/>
      <c r="JU64" s="100"/>
      <c r="JV64" s="100"/>
      <c r="JW64" s="100"/>
      <c r="JX64" s="100"/>
      <c r="JY64" s="100"/>
      <c r="JZ64" s="100"/>
      <c r="KA64" s="100"/>
      <c r="KB64" s="100"/>
      <c r="KC64" s="100"/>
      <c r="KD64" s="100"/>
      <c r="KE64" s="100"/>
      <c r="KF64" s="100"/>
      <c r="KG64" s="100"/>
      <c r="KH64" s="100"/>
      <c r="KI64" s="100"/>
      <c r="KJ64" s="100"/>
    </row>
    <row r="65" spans="1:296" s="43" customFormat="1" x14ac:dyDescent="0.3">
      <c r="B65" s="130" t="s">
        <v>127</v>
      </c>
      <c r="C65" s="119">
        <v>25</v>
      </c>
      <c r="D65" s="120"/>
      <c r="E65" s="119">
        <f>-(+C65*D65)</f>
        <v>0</v>
      </c>
      <c r="F65" s="121"/>
      <c r="G65" s="119"/>
      <c r="I65" s="28"/>
      <c r="J65" s="39"/>
      <c r="K65" s="70"/>
      <c r="L65" s="75"/>
      <c r="M65" s="127"/>
      <c r="N65" s="77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100"/>
      <c r="BS65" s="100"/>
      <c r="BT65" s="100"/>
      <c r="BU65" s="100"/>
      <c r="BV65" s="100"/>
      <c r="BW65" s="100"/>
      <c r="BX65" s="100"/>
      <c r="BY65" s="100"/>
      <c r="BZ65" s="100"/>
      <c r="CA65" s="100"/>
      <c r="CB65" s="100"/>
      <c r="CC65" s="100"/>
      <c r="CD65" s="100"/>
      <c r="CE65" s="10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  <c r="CU65" s="100"/>
      <c r="CV65" s="100"/>
      <c r="CW65" s="100"/>
      <c r="CX65" s="100"/>
      <c r="CY65" s="100"/>
      <c r="CZ65" s="100"/>
      <c r="DA65" s="100"/>
      <c r="DB65" s="100"/>
      <c r="DC65" s="100"/>
      <c r="DD65" s="100"/>
      <c r="DE65" s="100"/>
      <c r="DF65" s="100"/>
      <c r="DG65" s="100"/>
      <c r="DH65" s="100"/>
      <c r="DI65" s="100"/>
      <c r="DJ65" s="100"/>
      <c r="DK65" s="100"/>
      <c r="DL65" s="100"/>
      <c r="DM65" s="100"/>
      <c r="DN65" s="100"/>
      <c r="DO65" s="100"/>
      <c r="DP65" s="100"/>
      <c r="DQ65" s="100"/>
      <c r="DR65" s="100"/>
      <c r="DS65" s="100"/>
      <c r="DT65" s="100"/>
      <c r="DU65" s="100"/>
      <c r="DV65" s="100"/>
      <c r="DW65" s="100"/>
      <c r="DX65" s="100"/>
      <c r="DY65" s="100"/>
      <c r="DZ65" s="100"/>
      <c r="EA65" s="100"/>
      <c r="EB65" s="100"/>
      <c r="EC65" s="100"/>
      <c r="ED65" s="100"/>
      <c r="EE65" s="100"/>
      <c r="EF65" s="100"/>
      <c r="EG65" s="100"/>
      <c r="EH65" s="100"/>
      <c r="EI65" s="100"/>
      <c r="EJ65" s="100"/>
      <c r="EK65" s="100"/>
      <c r="EL65" s="100"/>
      <c r="EM65" s="100"/>
      <c r="EN65" s="100"/>
      <c r="EO65" s="100"/>
      <c r="EP65" s="100"/>
      <c r="EQ65" s="100"/>
      <c r="ER65" s="100"/>
      <c r="ES65" s="100"/>
      <c r="ET65" s="100"/>
      <c r="EU65" s="100"/>
      <c r="EV65" s="100"/>
      <c r="EW65" s="100"/>
      <c r="EX65" s="100"/>
      <c r="EY65" s="100"/>
      <c r="EZ65" s="100"/>
      <c r="FA65" s="100"/>
      <c r="FB65" s="100"/>
      <c r="FC65" s="100"/>
      <c r="FD65" s="100"/>
      <c r="FE65" s="100"/>
      <c r="FF65" s="100"/>
      <c r="FG65" s="100"/>
      <c r="FH65" s="100"/>
      <c r="FI65" s="100"/>
      <c r="FJ65" s="100"/>
      <c r="FK65" s="100"/>
      <c r="FL65" s="100"/>
      <c r="FM65" s="100"/>
      <c r="FN65" s="100"/>
      <c r="FO65" s="100"/>
      <c r="FP65" s="100"/>
      <c r="FQ65" s="100"/>
      <c r="FR65" s="100"/>
      <c r="FS65" s="100"/>
      <c r="FT65" s="100"/>
      <c r="FU65" s="100"/>
      <c r="FV65" s="100"/>
      <c r="FW65" s="100"/>
      <c r="FX65" s="100"/>
      <c r="FY65" s="100"/>
      <c r="FZ65" s="100"/>
      <c r="GA65" s="100"/>
      <c r="GB65" s="100"/>
      <c r="GC65" s="100"/>
      <c r="GD65" s="100"/>
      <c r="GE65" s="100"/>
      <c r="GF65" s="100"/>
      <c r="GG65" s="100"/>
      <c r="GH65" s="100"/>
      <c r="GI65" s="100"/>
      <c r="GJ65" s="100"/>
      <c r="GK65" s="100"/>
      <c r="GL65" s="100"/>
      <c r="GM65" s="100"/>
      <c r="GN65" s="100"/>
      <c r="GO65" s="100"/>
      <c r="GP65" s="100"/>
      <c r="GQ65" s="100"/>
      <c r="GR65" s="100"/>
      <c r="GS65" s="100"/>
      <c r="GT65" s="100"/>
      <c r="GU65" s="100"/>
      <c r="GV65" s="100"/>
      <c r="GW65" s="100"/>
      <c r="GX65" s="100"/>
      <c r="GY65" s="100"/>
      <c r="GZ65" s="100"/>
      <c r="HA65" s="100"/>
      <c r="HB65" s="100"/>
      <c r="HC65" s="100"/>
      <c r="HD65" s="100"/>
      <c r="HE65" s="100"/>
      <c r="HF65" s="100"/>
      <c r="HG65" s="100"/>
      <c r="HH65" s="100"/>
      <c r="HI65" s="100"/>
      <c r="HJ65" s="100"/>
      <c r="HK65" s="100"/>
      <c r="HL65" s="100"/>
      <c r="HM65" s="100"/>
      <c r="HN65" s="100"/>
      <c r="HO65" s="100"/>
      <c r="HP65" s="100"/>
      <c r="HQ65" s="100"/>
      <c r="HR65" s="100"/>
      <c r="HS65" s="100"/>
      <c r="HT65" s="100"/>
      <c r="HU65" s="100"/>
      <c r="HV65" s="100"/>
      <c r="HW65" s="100"/>
      <c r="HX65" s="100"/>
      <c r="HY65" s="100"/>
      <c r="HZ65" s="100"/>
      <c r="IA65" s="100"/>
      <c r="IB65" s="100"/>
      <c r="IC65" s="100"/>
      <c r="ID65" s="100"/>
      <c r="IE65" s="100"/>
      <c r="IF65" s="100"/>
      <c r="IG65" s="100"/>
      <c r="IH65" s="100"/>
      <c r="II65" s="100"/>
      <c r="IJ65" s="100"/>
      <c r="IK65" s="100"/>
      <c r="IL65" s="100"/>
      <c r="IM65" s="100"/>
      <c r="IN65" s="100"/>
      <c r="IO65" s="100"/>
      <c r="IP65" s="100"/>
      <c r="IQ65" s="100"/>
      <c r="IR65" s="100"/>
      <c r="IS65" s="100"/>
      <c r="IT65" s="100"/>
      <c r="IU65" s="100"/>
      <c r="IV65" s="100"/>
      <c r="IW65" s="100"/>
      <c r="IX65" s="100"/>
      <c r="IY65" s="100"/>
      <c r="IZ65" s="100"/>
      <c r="JA65" s="100"/>
      <c r="JB65" s="100"/>
      <c r="JC65" s="100"/>
      <c r="JD65" s="100"/>
      <c r="JE65" s="100"/>
      <c r="JF65" s="100"/>
      <c r="JG65" s="100"/>
      <c r="JH65" s="100"/>
      <c r="JI65" s="100"/>
      <c r="JJ65" s="100"/>
      <c r="JK65" s="100"/>
      <c r="JL65" s="100"/>
      <c r="JM65" s="100"/>
      <c r="JN65" s="100"/>
      <c r="JO65" s="100"/>
      <c r="JP65" s="100"/>
      <c r="JQ65" s="100"/>
      <c r="JR65" s="100"/>
      <c r="JS65" s="100"/>
      <c r="JT65" s="100"/>
      <c r="JU65" s="100"/>
      <c r="JV65" s="100"/>
      <c r="JW65" s="100"/>
      <c r="JX65" s="100"/>
      <c r="JY65" s="100"/>
      <c r="JZ65" s="100"/>
      <c r="KA65" s="100"/>
      <c r="KB65" s="100"/>
      <c r="KC65" s="100"/>
      <c r="KD65" s="100"/>
      <c r="KE65" s="100"/>
      <c r="KF65" s="100"/>
      <c r="KG65" s="100"/>
      <c r="KH65" s="100"/>
      <c r="KI65" s="100"/>
      <c r="KJ65" s="100"/>
    </row>
    <row r="66" spans="1:296" x14ac:dyDescent="0.3">
      <c r="C66" s="5"/>
      <c r="D66" s="112"/>
      <c r="E66" s="94">
        <f>SUM(E51:E65)</f>
        <v>-990.09791666666661</v>
      </c>
    </row>
    <row r="67" spans="1:296" s="100" customFormat="1" x14ac:dyDescent="0.3">
      <c r="C67" s="116"/>
      <c r="D67" s="124"/>
      <c r="E67" s="125"/>
      <c r="F67" s="96"/>
      <c r="G67" s="116"/>
      <c r="I67" s="28"/>
      <c r="J67" s="39"/>
      <c r="K67" s="70"/>
      <c r="L67" s="75"/>
      <c r="M67" s="127"/>
      <c r="N67" s="77"/>
    </row>
    <row r="68" spans="1:296" x14ac:dyDescent="0.3">
      <c r="C68" s="5"/>
      <c r="D68" s="112"/>
      <c r="E68" s="27"/>
    </row>
    <row r="69" spans="1:296" ht="25.8" x14ac:dyDescent="0.3">
      <c r="F69" s="174" t="s">
        <v>22</v>
      </c>
      <c r="G69" s="174"/>
      <c r="H69" s="174"/>
      <c r="I69" s="85"/>
    </row>
    <row r="70" spans="1:296" ht="28.8" x14ac:dyDescent="0.3">
      <c r="B70" s="3" t="s">
        <v>2</v>
      </c>
      <c r="C70" s="12" t="s">
        <v>12</v>
      </c>
      <c r="D70" s="175" t="s">
        <v>17</v>
      </c>
      <c r="E70" s="176"/>
      <c r="F70" s="11" t="s">
        <v>15</v>
      </c>
      <c r="G70" s="14" t="s">
        <v>16</v>
      </c>
      <c r="H70" s="13" t="s">
        <v>138</v>
      </c>
      <c r="I70" s="86" t="s">
        <v>41</v>
      </c>
      <c r="J70" s="40" t="s">
        <v>42</v>
      </c>
      <c r="K70" s="149" t="s">
        <v>95</v>
      </c>
      <c r="L70" s="76" t="s">
        <v>96</v>
      </c>
      <c r="M70" s="128" t="s">
        <v>125</v>
      </c>
      <c r="N70" s="78" t="s">
        <v>94</v>
      </c>
    </row>
    <row r="71" spans="1:296" ht="13.8" customHeight="1" x14ac:dyDescent="0.3">
      <c r="B71" s="3"/>
      <c r="C71" s="67">
        <f>SUM(C72:C165)</f>
        <v>0</v>
      </c>
      <c r="D71" s="122" t="s">
        <v>20</v>
      </c>
      <c r="E71" s="67">
        <f>SUM(E72:E165)</f>
        <v>444.5</v>
      </c>
      <c r="F71" s="67">
        <f t="shared" ref="F71:N71" si="3">SUM(F72:F165)</f>
        <v>15</v>
      </c>
      <c r="G71" s="67">
        <f t="shared" si="3"/>
        <v>0</v>
      </c>
      <c r="H71" s="67">
        <f t="shared" si="3"/>
        <v>0</v>
      </c>
      <c r="I71" s="67">
        <f t="shared" si="3"/>
        <v>0</v>
      </c>
      <c r="J71" s="67">
        <f t="shared" si="3"/>
        <v>0</v>
      </c>
      <c r="K71" s="67">
        <f t="shared" si="3"/>
        <v>9</v>
      </c>
      <c r="L71" s="67">
        <f t="shared" si="3"/>
        <v>9</v>
      </c>
      <c r="M71" s="67">
        <f t="shared" si="3"/>
        <v>3</v>
      </c>
      <c r="N71" s="67">
        <f t="shared" si="3"/>
        <v>0</v>
      </c>
    </row>
    <row r="72" spans="1:296" ht="13.8" customHeight="1" x14ac:dyDescent="0.3">
      <c r="B72" s="146" t="s">
        <v>137</v>
      </c>
      <c r="C72" s="99"/>
      <c r="D72" s="122" t="s">
        <v>133</v>
      </c>
      <c r="E72" s="67"/>
      <c r="F72" s="67"/>
      <c r="G72" s="118"/>
      <c r="H72" s="118"/>
      <c r="I72" s="118"/>
      <c r="J72" s="118"/>
      <c r="K72" s="118"/>
      <c r="L72" s="118"/>
      <c r="M72" s="118">
        <v>3</v>
      </c>
      <c r="N72" s="118"/>
    </row>
    <row r="73" spans="1:296" s="5" customFormat="1" x14ac:dyDescent="0.3">
      <c r="A73"/>
      <c r="B73" t="s">
        <v>13</v>
      </c>
      <c r="C73"/>
      <c r="D73" s="147">
        <v>5429</v>
      </c>
      <c r="E73" s="95">
        <v>0</v>
      </c>
      <c r="F73" s="97" t="s">
        <v>142</v>
      </c>
      <c r="H73"/>
      <c r="I73" s="28"/>
      <c r="J73" s="39"/>
      <c r="K73" s="70"/>
      <c r="L73" s="75"/>
      <c r="M73" s="127"/>
      <c r="N73" s="77"/>
    </row>
    <row r="74" spans="1:296" x14ac:dyDescent="0.3">
      <c r="B74" s="126" t="s">
        <v>13</v>
      </c>
      <c r="C74" s="100"/>
      <c r="D74" s="113">
        <v>6070</v>
      </c>
      <c r="E74" s="24"/>
      <c r="F74" s="132" t="s">
        <v>131</v>
      </c>
    </row>
    <row r="75" spans="1:296" x14ac:dyDescent="0.3">
      <c r="B75" s="123" t="s">
        <v>13</v>
      </c>
      <c r="C75" s="100"/>
      <c r="D75" s="113">
        <v>6119</v>
      </c>
      <c r="E75" s="24">
        <v>0</v>
      </c>
      <c r="F75" s="132" t="s">
        <v>132</v>
      </c>
    </row>
    <row r="76" spans="1:296" x14ac:dyDescent="0.3">
      <c r="B76" s="126" t="s">
        <v>13</v>
      </c>
      <c r="D76" s="113">
        <v>6150</v>
      </c>
      <c r="E76" s="24"/>
      <c r="F76" s="132" t="s">
        <v>119</v>
      </c>
    </row>
    <row r="77" spans="1:296" x14ac:dyDescent="0.3">
      <c r="B77" s="126" t="s">
        <v>13</v>
      </c>
      <c r="D77" s="113">
        <v>6165</v>
      </c>
      <c r="E77" s="24"/>
      <c r="F77" s="132" t="s">
        <v>119</v>
      </c>
    </row>
    <row r="78" spans="1:296" x14ac:dyDescent="0.3">
      <c r="B78" s="126" t="s">
        <v>13</v>
      </c>
      <c r="D78" s="113">
        <v>6183</v>
      </c>
      <c r="E78" s="24"/>
      <c r="F78" s="132" t="s">
        <v>119</v>
      </c>
    </row>
    <row r="79" spans="1:296" x14ac:dyDescent="0.3">
      <c r="B79" s="126" t="s">
        <v>13</v>
      </c>
      <c r="D79" s="150">
        <v>6208</v>
      </c>
      <c r="E79" s="151"/>
      <c r="F79" s="156" t="s">
        <v>148</v>
      </c>
    </row>
    <row r="80" spans="1:296" x14ac:dyDescent="0.3">
      <c r="B80" s="137" t="s">
        <v>13</v>
      </c>
      <c r="D80" s="150">
        <v>6228</v>
      </c>
      <c r="E80" s="151">
        <v>40</v>
      </c>
      <c r="F80" s="152"/>
    </row>
    <row r="81" spans="1:12" x14ac:dyDescent="0.3">
      <c r="A81" s="153"/>
      <c r="B81" s="154" t="s">
        <v>13</v>
      </c>
      <c r="C81" s="153"/>
      <c r="D81" s="113">
        <v>6229</v>
      </c>
      <c r="E81" s="24">
        <v>0</v>
      </c>
      <c r="F81" s="132" t="s">
        <v>149</v>
      </c>
    </row>
    <row r="82" spans="1:12" x14ac:dyDescent="0.3">
      <c r="A82" s="153"/>
      <c r="B82" s="154" t="s">
        <v>13</v>
      </c>
      <c r="C82" s="153"/>
      <c r="D82" s="113">
        <v>6231</v>
      </c>
      <c r="E82" s="24">
        <v>17</v>
      </c>
      <c r="F82" s="30"/>
    </row>
    <row r="83" spans="1:12" x14ac:dyDescent="0.3">
      <c r="A83" s="153"/>
      <c r="B83" s="154" t="s">
        <v>13</v>
      </c>
      <c r="C83" s="153"/>
      <c r="D83" s="113">
        <v>6233</v>
      </c>
      <c r="E83" s="24">
        <v>14</v>
      </c>
      <c r="F83" s="30"/>
    </row>
    <row r="84" spans="1:12" x14ac:dyDescent="0.3">
      <c r="A84" s="153"/>
      <c r="B84" s="154" t="s">
        <v>13</v>
      </c>
      <c r="C84" s="153"/>
      <c r="D84" s="113">
        <v>6234</v>
      </c>
      <c r="E84" s="24">
        <v>27</v>
      </c>
      <c r="F84" s="30"/>
      <c r="K84" s="70">
        <v>2</v>
      </c>
      <c r="L84" s="75">
        <v>2</v>
      </c>
    </row>
    <row r="85" spans="1:12" x14ac:dyDescent="0.3">
      <c r="A85" s="153"/>
      <c r="B85" s="154" t="s">
        <v>13</v>
      </c>
      <c r="C85" s="153"/>
      <c r="D85" s="113">
        <v>6235</v>
      </c>
      <c r="E85" s="24">
        <v>28</v>
      </c>
      <c r="F85" s="30"/>
      <c r="K85" s="70">
        <v>2</v>
      </c>
      <c r="L85" s="75">
        <v>2</v>
      </c>
    </row>
    <row r="86" spans="1:12" x14ac:dyDescent="0.3">
      <c r="A86" s="153"/>
      <c r="B86" s="154" t="s">
        <v>13</v>
      </c>
      <c r="C86" s="153"/>
      <c r="D86" s="113">
        <v>6236</v>
      </c>
      <c r="E86" s="24">
        <v>11</v>
      </c>
      <c r="F86" s="30"/>
      <c r="K86" s="70">
        <v>1</v>
      </c>
      <c r="L86" s="75">
        <v>1</v>
      </c>
    </row>
    <row r="87" spans="1:12" x14ac:dyDescent="0.3">
      <c r="A87" s="153"/>
      <c r="B87" s="154" t="s">
        <v>13</v>
      </c>
      <c r="C87" s="153"/>
      <c r="D87" s="113">
        <v>6237</v>
      </c>
      <c r="E87" s="24">
        <v>4.5</v>
      </c>
      <c r="F87" s="30"/>
    </row>
    <row r="88" spans="1:12" x14ac:dyDescent="0.3">
      <c r="A88" s="153"/>
      <c r="B88" s="154" t="s">
        <v>13</v>
      </c>
      <c r="C88" s="153"/>
      <c r="D88" s="113">
        <v>6238</v>
      </c>
      <c r="E88" s="24">
        <v>32</v>
      </c>
      <c r="F88" s="30"/>
      <c r="K88" s="70">
        <v>2</v>
      </c>
      <c r="L88" s="75">
        <v>2</v>
      </c>
    </row>
    <row r="89" spans="1:12" x14ac:dyDescent="0.3">
      <c r="A89" s="153"/>
      <c r="B89" s="154" t="s">
        <v>13</v>
      </c>
      <c r="C89" s="153"/>
      <c r="D89" s="113">
        <v>6239</v>
      </c>
      <c r="E89" s="24">
        <v>249</v>
      </c>
      <c r="F89" s="30">
        <v>15</v>
      </c>
    </row>
    <row r="90" spans="1:12" x14ac:dyDescent="0.3">
      <c r="A90" s="153"/>
      <c r="B90" s="154" t="s">
        <v>13</v>
      </c>
      <c r="C90" s="153"/>
      <c r="D90" s="113">
        <v>6240</v>
      </c>
      <c r="E90" s="24"/>
      <c r="F90" s="132" t="s">
        <v>149</v>
      </c>
    </row>
    <row r="91" spans="1:12" x14ac:dyDescent="0.3">
      <c r="A91" s="153"/>
      <c r="B91" s="154" t="s">
        <v>13</v>
      </c>
      <c r="C91" s="153"/>
      <c r="D91" s="113">
        <v>6241</v>
      </c>
      <c r="E91" s="24"/>
      <c r="F91" s="132" t="s">
        <v>149</v>
      </c>
    </row>
    <row r="92" spans="1:12" x14ac:dyDescent="0.3">
      <c r="A92" s="153"/>
      <c r="B92" s="154" t="s">
        <v>13</v>
      </c>
      <c r="C92" s="153"/>
      <c r="D92" s="113">
        <v>6242</v>
      </c>
      <c r="E92" s="24">
        <v>22</v>
      </c>
      <c r="F92" s="30"/>
      <c r="K92" s="70">
        <v>2</v>
      </c>
      <c r="L92" s="75">
        <v>2</v>
      </c>
    </row>
  </sheetData>
  <mergeCells count="3">
    <mergeCell ref="B49:E49"/>
    <mergeCell ref="F69:H69"/>
    <mergeCell ref="D70:E70"/>
  </mergeCells>
  <pageMargins left="0.70866141732283472" right="0.70866141732283472" top="0.74803149606299213" bottom="0.74803149606299213" header="0.31496062992125984" footer="0.31496062992125984"/>
  <pageSetup paperSize="9" scale="68" fitToHeight="0" orientation="landscape" horizontalDpi="360" verticalDpi="360" r:id="rId1"/>
  <headerFooter>
    <oddFooter>&amp;RSEMANA &amp;A                 &amp;P de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EDAB-0EDD-493C-B8A6-EA3ABA9BF975}">
  <sheetPr>
    <pageSetUpPr fitToPage="1"/>
  </sheetPr>
  <dimension ref="A2:KJ116"/>
  <sheetViews>
    <sheetView topLeftCell="A61" zoomScaleNormal="100" workbookViewId="0">
      <selection activeCell="H76" sqref="H76"/>
    </sheetView>
  </sheetViews>
  <sheetFormatPr baseColWidth="10" defaultRowHeight="14.4" x14ac:dyDescent="0.3"/>
  <cols>
    <col min="1" max="1" width="5.5546875" bestFit="1" customWidth="1"/>
    <col min="2" max="2" width="51.6640625" bestFit="1" customWidth="1"/>
    <col min="3" max="3" width="11" customWidth="1"/>
    <col min="4" max="4" width="10.109375" style="55" customWidth="1"/>
    <col min="5" max="5" width="11.33203125" style="5" customWidth="1"/>
    <col min="6" max="6" width="9.88671875" style="7" bestFit="1" customWidth="1"/>
    <col min="7" max="7" width="10.88671875" style="5" bestFit="1" customWidth="1"/>
    <col min="9" max="9" width="11.5546875" style="28"/>
    <col min="10" max="10" width="11.5546875" style="39"/>
    <col min="11" max="11" width="11.5546875" style="70"/>
    <col min="12" max="12" width="11.5546875" style="75"/>
    <col min="13" max="13" width="11.5546875" style="127"/>
    <col min="14" max="14" width="11.5546875" style="77"/>
    <col min="15" max="15" width="11.5546875" style="164"/>
    <col min="16" max="296" width="11.5546875" style="100"/>
  </cols>
  <sheetData>
    <row r="2" spans="1:296" ht="31.5" customHeight="1" x14ac:dyDescent="0.3">
      <c r="B2" s="17" t="s">
        <v>143</v>
      </c>
      <c r="C2" s="17"/>
      <c r="D2" s="101"/>
      <c r="E2" s="25"/>
      <c r="F2" s="17"/>
      <c r="G2" s="17"/>
      <c r="H2" s="17"/>
      <c r="I2" s="79"/>
    </row>
    <row r="3" spans="1:296" s="39" customFormat="1" ht="18.75" customHeight="1" x14ac:dyDescent="0.3">
      <c r="A3"/>
      <c r="B3" s="9" t="s">
        <v>144</v>
      </c>
      <c r="C3" s="9"/>
      <c r="D3" s="102"/>
      <c r="E3" s="26"/>
      <c r="F3" s="9"/>
      <c r="G3" s="9"/>
      <c r="H3" s="9"/>
      <c r="I3" s="80"/>
      <c r="K3" s="70"/>
      <c r="L3" s="75"/>
      <c r="M3" s="127"/>
      <c r="N3" s="77"/>
      <c r="O3" s="164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100"/>
      <c r="CL3" s="100"/>
      <c r="CM3" s="100"/>
      <c r="CN3" s="100"/>
      <c r="CO3" s="100"/>
      <c r="CP3" s="100"/>
      <c r="CQ3" s="100"/>
      <c r="CR3" s="100"/>
      <c r="CS3" s="100"/>
      <c r="CT3" s="100"/>
      <c r="CU3" s="100"/>
      <c r="CV3" s="100"/>
      <c r="CW3" s="100"/>
      <c r="CX3" s="100"/>
      <c r="CY3" s="100"/>
      <c r="CZ3" s="100"/>
      <c r="DA3" s="100"/>
      <c r="DB3" s="100"/>
      <c r="DC3" s="100"/>
      <c r="DD3" s="100"/>
      <c r="DE3" s="100"/>
      <c r="DF3" s="100"/>
      <c r="DG3" s="100"/>
      <c r="DH3" s="100"/>
      <c r="DI3" s="100"/>
      <c r="DJ3" s="100"/>
      <c r="DK3" s="100"/>
      <c r="DL3" s="100"/>
      <c r="DM3" s="100"/>
      <c r="DN3" s="100"/>
      <c r="DO3" s="100"/>
      <c r="DP3" s="100"/>
      <c r="DQ3" s="100"/>
      <c r="DR3" s="100"/>
      <c r="DS3" s="100"/>
      <c r="DT3" s="100"/>
      <c r="DU3" s="100"/>
      <c r="DV3" s="100"/>
      <c r="DW3" s="100"/>
      <c r="DX3" s="100"/>
      <c r="DY3" s="100"/>
      <c r="DZ3" s="100"/>
      <c r="EA3" s="100"/>
      <c r="EB3" s="100"/>
      <c r="EC3" s="100"/>
      <c r="ED3" s="100"/>
      <c r="EE3" s="100"/>
      <c r="EF3" s="100"/>
      <c r="EG3" s="100"/>
      <c r="EH3" s="100"/>
      <c r="EI3" s="100"/>
      <c r="EJ3" s="100"/>
      <c r="EK3" s="100"/>
      <c r="EL3" s="100"/>
      <c r="EM3" s="100"/>
      <c r="EN3" s="100"/>
      <c r="EO3" s="100"/>
      <c r="EP3" s="100"/>
      <c r="EQ3" s="100"/>
      <c r="ER3" s="100"/>
      <c r="ES3" s="100"/>
      <c r="ET3" s="100"/>
      <c r="EU3" s="100"/>
      <c r="EV3" s="100"/>
      <c r="EW3" s="100"/>
      <c r="EX3" s="100"/>
      <c r="EY3" s="100"/>
      <c r="EZ3" s="100"/>
      <c r="FA3" s="100"/>
      <c r="FB3" s="100"/>
      <c r="FC3" s="100"/>
      <c r="FD3" s="100"/>
      <c r="FE3" s="100"/>
      <c r="FF3" s="100"/>
      <c r="FG3" s="100"/>
      <c r="FH3" s="100"/>
      <c r="FI3" s="100"/>
      <c r="FJ3" s="100"/>
      <c r="FK3" s="100"/>
      <c r="FL3" s="100"/>
      <c r="FM3" s="100"/>
      <c r="FN3" s="100"/>
      <c r="FO3" s="100"/>
      <c r="FP3" s="100"/>
      <c r="FQ3" s="100"/>
      <c r="FR3" s="100"/>
      <c r="FS3" s="100"/>
      <c r="FT3" s="100"/>
      <c r="FU3" s="100"/>
      <c r="FV3" s="100"/>
      <c r="FW3" s="100"/>
      <c r="FX3" s="100"/>
      <c r="FY3" s="100"/>
      <c r="FZ3" s="100"/>
      <c r="GA3" s="100"/>
      <c r="GB3" s="100"/>
      <c r="GC3" s="100"/>
      <c r="GD3" s="100"/>
      <c r="GE3" s="100"/>
      <c r="GF3" s="100"/>
      <c r="GG3" s="100"/>
      <c r="GH3" s="100"/>
      <c r="GI3" s="100"/>
      <c r="GJ3" s="100"/>
      <c r="GK3" s="100"/>
      <c r="GL3" s="100"/>
      <c r="GM3" s="100"/>
      <c r="GN3" s="100"/>
      <c r="GO3" s="100"/>
      <c r="GP3" s="100"/>
      <c r="GQ3" s="100"/>
      <c r="GR3" s="100"/>
      <c r="GS3" s="100"/>
      <c r="GT3" s="100"/>
      <c r="GU3" s="100"/>
      <c r="GV3" s="100"/>
      <c r="GW3" s="100"/>
      <c r="GX3" s="100"/>
      <c r="GY3" s="100"/>
      <c r="GZ3" s="100"/>
      <c r="HA3" s="100"/>
      <c r="HB3" s="100"/>
      <c r="HC3" s="100"/>
      <c r="HD3" s="100"/>
      <c r="HE3" s="100"/>
      <c r="HF3" s="100"/>
      <c r="HG3" s="100"/>
      <c r="HH3" s="100"/>
      <c r="HI3" s="100"/>
      <c r="HJ3" s="100"/>
      <c r="HK3" s="100"/>
      <c r="HL3" s="100"/>
      <c r="HM3" s="100"/>
      <c r="HN3" s="100"/>
      <c r="HO3" s="100"/>
      <c r="HP3" s="100"/>
      <c r="HQ3" s="100"/>
      <c r="HR3" s="100"/>
      <c r="HS3" s="100"/>
      <c r="HT3" s="100"/>
      <c r="HU3" s="100"/>
      <c r="HV3" s="100"/>
      <c r="HW3" s="100"/>
      <c r="HX3" s="100"/>
      <c r="HY3" s="100"/>
      <c r="HZ3" s="100"/>
      <c r="IA3" s="100"/>
      <c r="IB3" s="100"/>
      <c r="IC3" s="100"/>
      <c r="ID3" s="100"/>
      <c r="IE3" s="100"/>
      <c r="IF3" s="100"/>
      <c r="IG3" s="100"/>
      <c r="IH3" s="100"/>
      <c r="II3" s="100"/>
      <c r="IJ3" s="100"/>
      <c r="IK3" s="100"/>
      <c r="IL3" s="100"/>
      <c r="IM3" s="100"/>
      <c r="IN3" s="100"/>
      <c r="IO3" s="100"/>
      <c r="IP3" s="100"/>
      <c r="IQ3" s="100"/>
      <c r="IR3" s="100"/>
      <c r="IS3" s="100"/>
      <c r="IT3" s="100"/>
      <c r="IU3" s="100"/>
      <c r="IV3" s="100"/>
      <c r="IW3" s="100"/>
      <c r="IX3" s="100"/>
      <c r="IY3" s="100"/>
      <c r="IZ3" s="100"/>
      <c r="JA3" s="100"/>
      <c r="JB3" s="100"/>
      <c r="JC3" s="100"/>
      <c r="JD3" s="100"/>
      <c r="JE3" s="100"/>
      <c r="JF3" s="100"/>
      <c r="JG3" s="100"/>
      <c r="JH3" s="100"/>
      <c r="JI3" s="100"/>
      <c r="JJ3" s="100"/>
      <c r="JK3" s="100"/>
      <c r="JL3" s="100"/>
      <c r="JM3" s="100"/>
      <c r="JN3" s="100"/>
      <c r="JO3" s="100"/>
      <c r="JP3" s="100"/>
      <c r="JQ3" s="100"/>
      <c r="JR3" s="100"/>
      <c r="JS3" s="100"/>
      <c r="JT3" s="100"/>
      <c r="JU3" s="100"/>
      <c r="JV3" s="100"/>
      <c r="JW3" s="100"/>
      <c r="JX3" s="100"/>
      <c r="JY3" s="100"/>
      <c r="JZ3" s="100"/>
      <c r="KA3" s="100"/>
      <c r="KB3" s="100"/>
      <c r="KC3" s="100"/>
      <c r="KD3" s="100"/>
      <c r="KE3" s="100"/>
      <c r="KF3" s="100"/>
      <c r="KG3" s="100"/>
      <c r="KH3" s="100"/>
      <c r="KI3" s="100"/>
      <c r="KJ3" s="100"/>
    </row>
    <row r="4" spans="1:296" ht="18" x14ac:dyDescent="0.35">
      <c r="B4" s="10" t="s">
        <v>17</v>
      </c>
      <c r="C4" s="10"/>
      <c r="D4" s="103"/>
      <c r="E4" s="23">
        <f>+E71</f>
        <v>3662.41</v>
      </c>
      <c r="F4" s="16"/>
      <c r="G4" s="16"/>
      <c r="H4" s="8"/>
      <c r="I4" s="81"/>
    </row>
    <row r="5" spans="1:296" x14ac:dyDescent="0.3">
      <c r="B5" s="88" t="s">
        <v>10</v>
      </c>
      <c r="C5" s="89"/>
      <c r="D5" s="104"/>
      <c r="E5" s="89"/>
      <c r="F5" s="90">
        <f>SUM(E8:E47)</f>
        <v>-2511.5387111506438</v>
      </c>
    </row>
    <row r="6" spans="1:296" x14ac:dyDescent="0.3">
      <c r="B6" s="87" t="s">
        <v>109</v>
      </c>
      <c r="C6" s="87"/>
      <c r="D6" s="105"/>
      <c r="E6" s="29">
        <f>+E4+F5</f>
        <v>1150.871288849356</v>
      </c>
      <c r="H6" s="91">
        <f>+E6/E4</f>
        <v>0.31423879053665649</v>
      </c>
      <c r="I6" s="84"/>
    </row>
    <row r="7" spans="1:296" s="39" customFormat="1" x14ac:dyDescent="0.3">
      <c r="A7" s="92" t="s">
        <v>97</v>
      </c>
      <c r="B7" s="92" t="s">
        <v>10</v>
      </c>
      <c r="C7" s="92" t="s">
        <v>19</v>
      </c>
      <c r="D7" s="106" t="s">
        <v>3</v>
      </c>
      <c r="E7" s="92"/>
      <c r="F7" s="7"/>
      <c r="G7" s="5"/>
      <c r="H7" s="1"/>
      <c r="I7" s="82"/>
      <c r="K7" s="70"/>
      <c r="L7" s="75"/>
      <c r="M7" s="127"/>
      <c r="N7" s="77"/>
      <c r="O7" s="164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  <c r="CU7" s="100"/>
      <c r="CV7" s="100"/>
      <c r="CW7" s="100"/>
      <c r="CX7" s="100"/>
      <c r="CY7" s="100"/>
      <c r="CZ7" s="100"/>
      <c r="DA7" s="100"/>
      <c r="DB7" s="100"/>
      <c r="DC7" s="100"/>
      <c r="DD7" s="100"/>
      <c r="DE7" s="100"/>
      <c r="DF7" s="100"/>
      <c r="DG7" s="100"/>
      <c r="DH7" s="100"/>
      <c r="DI7" s="100"/>
      <c r="DJ7" s="100"/>
      <c r="DK7" s="100"/>
      <c r="DL7" s="100"/>
      <c r="DM7" s="100"/>
      <c r="DN7" s="100"/>
      <c r="DO7" s="100"/>
      <c r="DP7" s="100"/>
      <c r="DQ7" s="100"/>
      <c r="DR7" s="100"/>
      <c r="DS7" s="100"/>
      <c r="DT7" s="100"/>
      <c r="DU7" s="100"/>
      <c r="DV7" s="100"/>
      <c r="DW7" s="100"/>
      <c r="DX7" s="100"/>
      <c r="DY7" s="100"/>
      <c r="DZ7" s="100"/>
      <c r="EA7" s="100"/>
      <c r="EB7" s="100"/>
      <c r="EC7" s="100"/>
      <c r="ED7" s="100"/>
      <c r="EE7" s="100"/>
      <c r="EF7" s="100"/>
      <c r="EG7" s="100"/>
      <c r="EH7" s="100"/>
      <c r="EI7" s="100"/>
      <c r="EJ7" s="100"/>
      <c r="EK7" s="100"/>
      <c r="EL7" s="100"/>
      <c r="EM7" s="100"/>
      <c r="EN7" s="100"/>
      <c r="EO7" s="100"/>
      <c r="EP7" s="100"/>
      <c r="EQ7" s="100"/>
      <c r="ER7" s="100"/>
      <c r="ES7" s="100"/>
      <c r="ET7" s="100"/>
      <c r="EU7" s="100"/>
      <c r="EV7" s="100"/>
      <c r="EW7" s="100"/>
      <c r="EX7" s="100"/>
      <c r="EY7" s="100"/>
      <c r="EZ7" s="100"/>
      <c r="FA7" s="100"/>
      <c r="FB7" s="100"/>
      <c r="FC7" s="100"/>
      <c r="FD7" s="100"/>
      <c r="FE7" s="100"/>
      <c r="FF7" s="100"/>
      <c r="FG7" s="100"/>
      <c r="FH7" s="100"/>
      <c r="FI7" s="100"/>
      <c r="FJ7" s="100"/>
      <c r="FK7" s="100"/>
      <c r="FL7" s="100"/>
      <c r="FM7" s="100"/>
      <c r="FN7" s="100"/>
      <c r="FO7" s="100"/>
      <c r="FP7" s="100"/>
      <c r="FQ7" s="100"/>
      <c r="FR7" s="100"/>
      <c r="FS7" s="100"/>
      <c r="FT7" s="100"/>
      <c r="FU7" s="100"/>
      <c r="FV7" s="100"/>
      <c r="FW7" s="100"/>
      <c r="FX7" s="100"/>
      <c r="FY7" s="100"/>
      <c r="FZ7" s="100"/>
      <c r="GA7" s="100"/>
      <c r="GB7" s="100"/>
      <c r="GC7" s="100"/>
      <c r="GD7" s="100"/>
      <c r="GE7" s="100"/>
      <c r="GF7" s="100"/>
      <c r="GG7" s="100"/>
      <c r="GH7" s="100"/>
      <c r="GI7" s="100"/>
      <c r="GJ7" s="100"/>
      <c r="GK7" s="100"/>
      <c r="GL7" s="100"/>
      <c r="GM7" s="100"/>
      <c r="GN7" s="100"/>
      <c r="GO7" s="100"/>
      <c r="GP7" s="100"/>
      <c r="GQ7" s="100"/>
      <c r="GR7" s="100"/>
      <c r="GS7" s="100"/>
      <c r="GT7" s="100"/>
      <c r="GU7" s="100"/>
      <c r="GV7" s="100"/>
      <c r="GW7" s="100"/>
      <c r="GX7" s="100"/>
      <c r="GY7" s="100"/>
      <c r="GZ7" s="100"/>
      <c r="HA7" s="100"/>
      <c r="HB7" s="100"/>
      <c r="HC7" s="100"/>
      <c r="HD7" s="100"/>
      <c r="HE7" s="100"/>
      <c r="HF7" s="100"/>
      <c r="HG7" s="100"/>
      <c r="HH7" s="100"/>
      <c r="HI7" s="100"/>
      <c r="HJ7" s="100"/>
      <c r="HK7" s="100"/>
      <c r="HL7" s="100"/>
      <c r="HM7" s="100"/>
      <c r="HN7" s="100"/>
      <c r="HO7" s="100"/>
      <c r="HP7" s="100"/>
      <c r="HQ7" s="100"/>
      <c r="HR7" s="100"/>
      <c r="HS7" s="100"/>
      <c r="HT7" s="100"/>
      <c r="HU7" s="100"/>
      <c r="HV7" s="100"/>
      <c r="HW7" s="100"/>
      <c r="HX7" s="100"/>
      <c r="HY7" s="100"/>
      <c r="HZ7" s="100"/>
      <c r="IA7" s="100"/>
      <c r="IB7" s="100"/>
      <c r="IC7" s="100"/>
      <c r="ID7" s="100"/>
      <c r="IE7" s="100"/>
      <c r="IF7" s="100"/>
      <c r="IG7" s="100"/>
      <c r="IH7" s="100"/>
      <c r="II7" s="100"/>
      <c r="IJ7" s="100"/>
      <c r="IK7" s="100"/>
      <c r="IL7" s="100"/>
      <c r="IM7" s="100"/>
      <c r="IN7" s="100"/>
      <c r="IO7" s="100"/>
      <c r="IP7" s="100"/>
      <c r="IQ7" s="100"/>
      <c r="IR7" s="100"/>
      <c r="IS7" s="100"/>
      <c r="IT7" s="100"/>
      <c r="IU7" s="100"/>
      <c r="IV7" s="100"/>
      <c r="IW7" s="100"/>
      <c r="IX7" s="100"/>
      <c r="IY7" s="100"/>
      <c r="IZ7" s="100"/>
      <c r="JA7" s="100"/>
      <c r="JB7" s="100"/>
      <c r="JC7" s="100"/>
      <c r="JD7" s="100"/>
      <c r="JE7" s="100"/>
      <c r="JF7" s="100"/>
      <c r="JG7" s="100"/>
      <c r="JH7" s="100"/>
      <c r="JI7" s="100"/>
      <c r="JJ7" s="100"/>
      <c r="JK7" s="100"/>
      <c r="JL7" s="100"/>
      <c r="JM7" s="100"/>
      <c r="JN7" s="100"/>
      <c r="JO7" s="100"/>
      <c r="JP7" s="100"/>
      <c r="JQ7" s="100"/>
      <c r="JR7" s="100"/>
      <c r="JS7" s="100"/>
      <c r="JT7" s="100"/>
      <c r="JU7" s="100"/>
      <c r="JV7" s="100"/>
      <c r="JW7" s="100"/>
      <c r="JX7" s="100"/>
      <c r="JY7" s="100"/>
      <c r="JZ7" s="100"/>
      <c r="KA7" s="100"/>
      <c r="KB7" s="100"/>
      <c r="KC7" s="100"/>
      <c r="KD7" s="100"/>
      <c r="KE7" s="100"/>
      <c r="KF7" s="100"/>
      <c r="KG7" s="100"/>
      <c r="KH7" s="100"/>
      <c r="KI7" s="100"/>
      <c r="KJ7" s="100"/>
    </row>
    <row r="8" spans="1:296" s="39" customFormat="1" x14ac:dyDescent="0.3">
      <c r="A8" s="71" t="str">
        <f>IF('[1]PRODUCTO NACIONAL'!A14&lt;&gt;"",'[1]PRODUCTO NACIONAL'!A14,"")</f>
        <v>M11</v>
      </c>
      <c r="B8" s="72" t="str">
        <f>VLOOKUP(A8,'[1]PRODUCTO NACIONAL'!$A$4:$R$161,6,FALSE)</f>
        <v>IMPRESIÓN SIN DISEÑO, ANCHO 1.8X90gsm</v>
      </c>
      <c r="C8" s="73">
        <f>IFERROR(HLOOKUP(A8,[3]dimensiones_pdfs!$C$3:$Z$5,3,FALSE),0)</f>
        <v>296.71990923400807</v>
      </c>
      <c r="D8" s="107">
        <f>VLOOKUP(A8,'[1]PRODUCTO NACIONAL'!$A$4:$R$161,18,FALSE)</f>
        <v>1.387984064708671</v>
      </c>
      <c r="E8" s="5">
        <f>-(+C8*D8)</f>
        <v>-411.84250569860643</v>
      </c>
      <c r="F8" s="7"/>
      <c r="G8" s="5"/>
      <c r="H8"/>
      <c r="I8" s="28"/>
      <c r="K8" s="70"/>
      <c r="L8" s="75"/>
      <c r="M8" s="127"/>
      <c r="N8" s="77"/>
      <c r="O8" s="164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0"/>
      <c r="CJ8" s="100"/>
      <c r="CK8" s="100"/>
      <c r="CL8" s="100"/>
      <c r="CM8" s="100"/>
      <c r="CN8" s="100"/>
      <c r="CO8" s="100"/>
      <c r="CP8" s="100"/>
      <c r="CQ8" s="100"/>
      <c r="CR8" s="100"/>
      <c r="CS8" s="100"/>
      <c r="CT8" s="100"/>
      <c r="CU8" s="100"/>
      <c r="CV8" s="100"/>
      <c r="CW8" s="100"/>
      <c r="CX8" s="100"/>
      <c r="CY8" s="100"/>
      <c r="CZ8" s="100"/>
      <c r="DA8" s="100"/>
      <c r="DB8" s="100"/>
      <c r="DC8" s="100"/>
      <c r="DD8" s="100"/>
      <c r="DE8" s="100"/>
      <c r="DF8" s="100"/>
      <c r="DG8" s="100"/>
      <c r="DH8" s="100"/>
      <c r="DI8" s="100"/>
      <c r="DJ8" s="100"/>
      <c r="DK8" s="100"/>
      <c r="DL8" s="100"/>
      <c r="DM8" s="100"/>
      <c r="DN8" s="100"/>
      <c r="DO8" s="100"/>
      <c r="DP8" s="100"/>
      <c r="DQ8" s="100"/>
      <c r="DR8" s="100"/>
      <c r="DS8" s="100"/>
      <c r="DT8" s="100"/>
      <c r="DU8" s="100"/>
      <c r="DV8" s="100"/>
      <c r="DW8" s="100"/>
      <c r="DX8" s="100"/>
      <c r="DY8" s="100"/>
      <c r="DZ8" s="100"/>
      <c r="EA8" s="100"/>
      <c r="EB8" s="100"/>
      <c r="EC8" s="100"/>
      <c r="ED8" s="100"/>
      <c r="EE8" s="100"/>
      <c r="EF8" s="100"/>
      <c r="EG8" s="100"/>
      <c r="EH8" s="100"/>
      <c r="EI8" s="100"/>
      <c r="EJ8" s="100"/>
      <c r="EK8" s="100"/>
      <c r="EL8" s="100"/>
      <c r="EM8" s="100"/>
      <c r="EN8" s="100"/>
      <c r="EO8" s="100"/>
      <c r="EP8" s="100"/>
      <c r="EQ8" s="100"/>
      <c r="ER8" s="100"/>
      <c r="ES8" s="100"/>
      <c r="ET8" s="100"/>
      <c r="EU8" s="100"/>
      <c r="EV8" s="100"/>
      <c r="EW8" s="100"/>
      <c r="EX8" s="100"/>
      <c r="EY8" s="100"/>
      <c r="EZ8" s="100"/>
      <c r="FA8" s="100"/>
      <c r="FB8" s="100"/>
      <c r="FC8" s="100"/>
      <c r="FD8" s="100"/>
      <c r="FE8" s="100"/>
      <c r="FF8" s="100"/>
      <c r="FG8" s="100"/>
      <c r="FH8" s="100"/>
      <c r="FI8" s="100"/>
      <c r="FJ8" s="100"/>
      <c r="FK8" s="100"/>
      <c r="FL8" s="100"/>
      <c r="FM8" s="100"/>
      <c r="FN8" s="100"/>
      <c r="FO8" s="100"/>
      <c r="FP8" s="100"/>
      <c r="FQ8" s="100"/>
      <c r="FR8" s="100"/>
      <c r="FS8" s="100"/>
      <c r="FT8" s="100"/>
      <c r="FU8" s="100"/>
      <c r="FV8" s="100"/>
      <c r="FW8" s="100"/>
      <c r="FX8" s="100"/>
      <c r="FY8" s="100"/>
      <c r="FZ8" s="100"/>
      <c r="GA8" s="100"/>
      <c r="GB8" s="100"/>
      <c r="GC8" s="100"/>
      <c r="GD8" s="100"/>
      <c r="GE8" s="100"/>
      <c r="GF8" s="100"/>
      <c r="GG8" s="100"/>
      <c r="GH8" s="100"/>
      <c r="GI8" s="100"/>
      <c r="GJ8" s="100"/>
      <c r="GK8" s="100"/>
      <c r="GL8" s="100"/>
      <c r="GM8" s="100"/>
      <c r="GN8" s="100"/>
      <c r="GO8" s="100"/>
      <c r="GP8" s="100"/>
      <c r="GQ8" s="100"/>
      <c r="GR8" s="100"/>
      <c r="GS8" s="100"/>
      <c r="GT8" s="100"/>
      <c r="GU8" s="100"/>
      <c r="GV8" s="100"/>
      <c r="GW8" s="100"/>
      <c r="GX8" s="100"/>
      <c r="GY8" s="100"/>
      <c r="GZ8" s="100"/>
      <c r="HA8" s="100"/>
      <c r="HB8" s="100"/>
      <c r="HC8" s="100"/>
      <c r="HD8" s="100"/>
      <c r="HE8" s="100"/>
      <c r="HF8" s="100"/>
      <c r="HG8" s="100"/>
      <c r="HH8" s="100"/>
      <c r="HI8" s="100"/>
      <c r="HJ8" s="100"/>
      <c r="HK8" s="100"/>
      <c r="HL8" s="100"/>
      <c r="HM8" s="100"/>
      <c r="HN8" s="100"/>
      <c r="HO8" s="100"/>
      <c r="HP8" s="100"/>
      <c r="HQ8" s="100"/>
      <c r="HR8" s="100"/>
      <c r="HS8" s="100"/>
      <c r="HT8" s="100"/>
      <c r="HU8" s="100"/>
      <c r="HV8" s="100"/>
      <c r="HW8" s="100"/>
      <c r="HX8" s="100"/>
      <c r="HY8" s="100"/>
      <c r="HZ8" s="100"/>
      <c r="IA8" s="100"/>
      <c r="IB8" s="100"/>
      <c r="IC8" s="100"/>
      <c r="ID8" s="100"/>
      <c r="IE8" s="100"/>
      <c r="IF8" s="100"/>
      <c r="IG8" s="100"/>
      <c r="IH8" s="100"/>
      <c r="II8" s="100"/>
      <c r="IJ8" s="100"/>
      <c r="IK8" s="100"/>
      <c r="IL8" s="100"/>
      <c r="IM8" s="100"/>
      <c r="IN8" s="100"/>
      <c r="IO8" s="100"/>
      <c r="IP8" s="100"/>
      <c r="IQ8" s="100"/>
      <c r="IR8" s="100"/>
      <c r="IS8" s="100"/>
      <c r="IT8" s="100"/>
      <c r="IU8" s="100"/>
      <c r="IV8" s="100"/>
      <c r="IW8" s="100"/>
      <c r="IX8" s="100"/>
      <c r="IY8" s="100"/>
      <c r="IZ8" s="100"/>
      <c r="JA8" s="100"/>
      <c r="JB8" s="100"/>
      <c r="JC8" s="100"/>
      <c r="JD8" s="100"/>
      <c r="JE8" s="100"/>
      <c r="JF8" s="100"/>
      <c r="JG8" s="100"/>
      <c r="JH8" s="100"/>
      <c r="JI8" s="100"/>
      <c r="JJ8" s="100"/>
      <c r="JK8" s="100"/>
      <c r="JL8" s="100"/>
      <c r="JM8" s="100"/>
      <c r="JN8" s="100"/>
      <c r="JO8" s="100"/>
      <c r="JP8" s="100"/>
      <c r="JQ8" s="100"/>
      <c r="JR8" s="100"/>
      <c r="JS8" s="100"/>
      <c r="JT8" s="100"/>
      <c r="JU8" s="100"/>
      <c r="JV8" s="100"/>
      <c r="JW8" s="100"/>
      <c r="JX8" s="100"/>
      <c r="JY8" s="100"/>
      <c r="JZ8" s="100"/>
      <c r="KA8" s="100"/>
      <c r="KB8" s="100"/>
      <c r="KC8" s="100"/>
      <c r="KD8" s="100"/>
      <c r="KE8" s="100"/>
      <c r="KF8" s="100"/>
      <c r="KG8" s="100"/>
      <c r="KH8" s="100"/>
      <c r="KI8" s="100"/>
      <c r="KJ8" s="100"/>
    </row>
    <row r="9" spans="1:296" s="39" customFormat="1" x14ac:dyDescent="0.3">
      <c r="A9" s="71" t="str">
        <f>IF('[1]PRODUCTO NACIONAL'!A18&lt;&gt;"",'[1]PRODUCTO NACIONAL'!A18,"")</f>
        <v>M15</v>
      </c>
      <c r="B9" s="72" t="str">
        <f>VLOOKUP(A9,'[1]PRODUCTO NACIONAL'!$A$4:$R$161,6,FALSE)</f>
        <v>D2006 Rollo Panal 1.70m x 160gr</v>
      </c>
      <c r="C9" s="73">
        <f>IFERROR(HLOOKUP(A9,[3]dimensiones_pdfs!$C$3:$Z$5,3,FALSE),0)</f>
        <v>49.316159494436199</v>
      </c>
      <c r="D9" s="107">
        <f>VLOOKUP(A9,'[1]PRODUCTO NACIONAL'!$A$4:$R$161,18,FALSE)</f>
        <v>1.6348773841961852</v>
      </c>
      <c r="E9" s="5">
        <f>-(+C9*D9)</f>
        <v>-80.625873832865722</v>
      </c>
      <c r="F9" s="7"/>
      <c r="G9" s="5"/>
      <c r="H9" s="5"/>
      <c r="I9" s="83"/>
      <c r="K9" s="70"/>
      <c r="L9" s="75"/>
      <c r="M9" s="127"/>
      <c r="N9" s="77"/>
      <c r="O9" s="164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00"/>
      <c r="CX9" s="100"/>
      <c r="CY9" s="100"/>
      <c r="CZ9" s="100"/>
      <c r="DA9" s="100"/>
      <c r="DB9" s="100"/>
      <c r="DC9" s="100"/>
      <c r="DD9" s="100"/>
      <c r="DE9" s="100"/>
      <c r="DF9" s="100"/>
      <c r="DG9" s="100"/>
      <c r="DH9" s="100"/>
      <c r="DI9" s="100"/>
      <c r="DJ9" s="100"/>
      <c r="DK9" s="100"/>
      <c r="DL9" s="100"/>
      <c r="DM9" s="100"/>
      <c r="DN9" s="100"/>
      <c r="DO9" s="100"/>
      <c r="DP9" s="100"/>
      <c r="DQ9" s="100"/>
      <c r="DR9" s="100"/>
      <c r="DS9" s="100"/>
      <c r="DT9" s="100"/>
      <c r="DU9" s="100"/>
      <c r="DV9" s="100"/>
      <c r="DW9" s="100"/>
      <c r="DX9" s="100"/>
      <c r="DY9" s="100"/>
      <c r="DZ9" s="100"/>
      <c r="EA9" s="100"/>
      <c r="EB9" s="100"/>
      <c r="EC9" s="100"/>
      <c r="ED9" s="100"/>
      <c r="EE9" s="100"/>
      <c r="EF9" s="100"/>
      <c r="EG9" s="100"/>
      <c r="EH9" s="100"/>
      <c r="EI9" s="100"/>
      <c r="EJ9" s="100"/>
      <c r="EK9" s="100"/>
      <c r="EL9" s="100"/>
      <c r="EM9" s="100"/>
      <c r="EN9" s="100"/>
      <c r="EO9" s="100"/>
      <c r="EP9" s="100"/>
      <c r="EQ9" s="100"/>
      <c r="ER9" s="100"/>
      <c r="ES9" s="100"/>
      <c r="ET9" s="100"/>
      <c r="EU9" s="100"/>
      <c r="EV9" s="100"/>
      <c r="EW9" s="100"/>
      <c r="EX9" s="100"/>
      <c r="EY9" s="100"/>
      <c r="EZ9" s="100"/>
      <c r="FA9" s="100"/>
      <c r="FB9" s="100"/>
      <c r="FC9" s="100"/>
      <c r="FD9" s="100"/>
      <c r="FE9" s="100"/>
      <c r="FF9" s="100"/>
      <c r="FG9" s="100"/>
      <c r="FH9" s="100"/>
      <c r="FI9" s="100"/>
      <c r="FJ9" s="100"/>
      <c r="FK9" s="100"/>
      <c r="FL9" s="100"/>
      <c r="FM9" s="100"/>
      <c r="FN9" s="100"/>
      <c r="FO9" s="100"/>
      <c r="FP9" s="100"/>
      <c r="FQ9" s="100"/>
      <c r="FR9" s="100"/>
      <c r="FS9" s="100"/>
      <c r="FT9" s="100"/>
      <c r="FU9" s="100"/>
      <c r="FV9" s="100"/>
      <c r="FW9" s="100"/>
      <c r="FX9" s="100"/>
      <c r="FY9" s="100"/>
      <c r="FZ9" s="100"/>
      <c r="GA9" s="100"/>
      <c r="GB9" s="100"/>
      <c r="GC9" s="100"/>
      <c r="GD9" s="100"/>
      <c r="GE9" s="100"/>
      <c r="GF9" s="100"/>
      <c r="GG9" s="100"/>
      <c r="GH9" s="100"/>
      <c r="GI9" s="100"/>
      <c r="GJ9" s="100"/>
      <c r="GK9" s="100"/>
      <c r="GL9" s="100"/>
      <c r="GM9" s="100"/>
      <c r="GN9" s="100"/>
      <c r="GO9" s="100"/>
      <c r="GP9" s="100"/>
      <c r="GQ9" s="100"/>
      <c r="GR9" s="100"/>
      <c r="GS9" s="100"/>
      <c r="GT9" s="100"/>
      <c r="GU9" s="100"/>
      <c r="GV9" s="100"/>
      <c r="GW9" s="100"/>
      <c r="GX9" s="100"/>
      <c r="GY9" s="100"/>
      <c r="GZ9" s="100"/>
      <c r="HA9" s="100"/>
      <c r="HB9" s="100"/>
      <c r="HC9" s="100"/>
      <c r="HD9" s="100"/>
      <c r="HE9" s="100"/>
      <c r="HF9" s="100"/>
      <c r="HG9" s="100"/>
      <c r="HH9" s="100"/>
      <c r="HI9" s="100"/>
      <c r="HJ9" s="100"/>
      <c r="HK9" s="100"/>
      <c r="HL9" s="100"/>
      <c r="HM9" s="100"/>
      <c r="HN9" s="100"/>
      <c r="HO9" s="100"/>
      <c r="HP9" s="100"/>
      <c r="HQ9" s="100"/>
      <c r="HR9" s="100"/>
      <c r="HS9" s="100"/>
      <c r="HT9" s="100"/>
      <c r="HU9" s="100"/>
      <c r="HV9" s="100"/>
      <c r="HW9" s="100"/>
      <c r="HX9" s="100"/>
      <c r="HY9" s="100"/>
      <c r="HZ9" s="100"/>
      <c r="IA9" s="100"/>
      <c r="IB9" s="100"/>
      <c r="IC9" s="100"/>
      <c r="ID9" s="100"/>
      <c r="IE9" s="100"/>
      <c r="IF9" s="100"/>
      <c r="IG9" s="100"/>
      <c r="IH9" s="100"/>
      <c r="II9" s="100"/>
      <c r="IJ9" s="100"/>
      <c r="IK9" s="100"/>
      <c r="IL9" s="100"/>
      <c r="IM9" s="100"/>
      <c r="IN9" s="100"/>
      <c r="IO9" s="100"/>
      <c r="IP9" s="100"/>
      <c r="IQ9" s="100"/>
      <c r="IR9" s="100"/>
      <c r="IS9" s="100"/>
      <c r="IT9" s="100"/>
      <c r="IU9" s="100"/>
      <c r="IV9" s="100"/>
      <c r="IW9" s="100"/>
      <c r="IX9" s="100"/>
      <c r="IY9" s="100"/>
      <c r="IZ9" s="100"/>
      <c r="JA9" s="100"/>
      <c r="JB9" s="100"/>
      <c r="JC9" s="100"/>
      <c r="JD9" s="100"/>
      <c r="JE9" s="100"/>
      <c r="JF9" s="100"/>
      <c r="JG9" s="100"/>
      <c r="JH9" s="100"/>
      <c r="JI9" s="100"/>
      <c r="JJ9" s="100"/>
      <c r="JK9" s="100"/>
      <c r="JL9" s="100"/>
      <c r="JM9" s="100"/>
      <c r="JN9" s="100"/>
      <c r="JO9" s="100"/>
      <c r="JP9" s="100"/>
      <c r="JQ9" s="100"/>
      <c r="JR9" s="100"/>
      <c r="JS9" s="100"/>
      <c r="JT9" s="100"/>
      <c r="JU9" s="100"/>
      <c r="JV9" s="100"/>
      <c r="JW9" s="100"/>
      <c r="JX9" s="100"/>
      <c r="JY9" s="100"/>
      <c r="JZ9" s="100"/>
      <c r="KA9" s="100"/>
      <c r="KB9" s="100"/>
      <c r="KC9" s="100"/>
      <c r="KD9" s="100"/>
      <c r="KE9" s="100"/>
      <c r="KF9" s="100"/>
      <c r="KG9" s="100"/>
      <c r="KH9" s="100"/>
      <c r="KI9" s="100"/>
      <c r="KJ9" s="100"/>
    </row>
    <row r="10" spans="1:296" s="39" customFormat="1" x14ac:dyDescent="0.3">
      <c r="A10" s="71" t="str">
        <f>IF('[1]PRODUCTO NACIONAL'!A27&lt;&gt;"",'[1]PRODUCTO NACIONAL'!A27,"")</f>
        <v>M24</v>
      </c>
      <c r="B10" s="71" t="str">
        <f>IF('[1]PRODUCTO NACIONAL'!F27&lt;&gt;"",'[1]PRODUCTO NACIONAL'!F27,"")</f>
        <v>POLIN GUTMAN T8-10 | T10-12</v>
      </c>
      <c r="C10" s="67">
        <f>F71</f>
        <v>159</v>
      </c>
      <c r="D10" s="108">
        <f>IF('[1]PRODUCTO NACIONAL'!R27&lt;&gt;"",'[1]PRODUCTO NACIONAL'!R27,"")</f>
        <v>1.925065</v>
      </c>
      <c r="E10" s="5">
        <f>-(+C10*D10)</f>
        <v>-306.08533499999999</v>
      </c>
      <c r="F10" s="7"/>
      <c r="G10" s="5"/>
      <c r="H10"/>
      <c r="I10" s="28"/>
      <c r="K10" s="70"/>
      <c r="L10" s="75"/>
      <c r="M10" s="127"/>
      <c r="N10" s="77"/>
      <c r="O10" s="164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00"/>
      <c r="CX10" s="100"/>
      <c r="CY10" s="100"/>
      <c r="CZ10" s="100"/>
      <c r="DA10" s="100"/>
      <c r="DB10" s="100"/>
      <c r="DC10" s="100"/>
      <c r="DD10" s="100"/>
      <c r="DE10" s="100"/>
      <c r="DF10" s="100"/>
      <c r="DG10" s="100"/>
      <c r="DH10" s="100"/>
      <c r="DI10" s="100"/>
      <c r="DJ10" s="100"/>
      <c r="DK10" s="100"/>
      <c r="DL10" s="100"/>
      <c r="DM10" s="100"/>
      <c r="DN10" s="100"/>
      <c r="DO10" s="100"/>
      <c r="DP10" s="100"/>
      <c r="DQ10" s="100"/>
      <c r="DR10" s="100"/>
      <c r="DS10" s="100"/>
      <c r="DT10" s="100"/>
      <c r="DU10" s="100"/>
      <c r="DV10" s="100"/>
      <c r="DW10" s="100"/>
      <c r="DX10" s="100"/>
      <c r="DY10" s="100"/>
      <c r="DZ10" s="100"/>
      <c r="EA10" s="100"/>
      <c r="EB10" s="100"/>
      <c r="EC10" s="100"/>
      <c r="ED10" s="100"/>
      <c r="EE10" s="100"/>
      <c r="EF10" s="100"/>
      <c r="EG10" s="100"/>
      <c r="EH10" s="100"/>
      <c r="EI10" s="100"/>
      <c r="EJ10" s="100"/>
      <c r="EK10" s="100"/>
      <c r="EL10" s="100"/>
      <c r="EM10" s="100"/>
      <c r="EN10" s="100"/>
      <c r="EO10" s="100"/>
      <c r="EP10" s="100"/>
      <c r="EQ10" s="100"/>
      <c r="ER10" s="100"/>
      <c r="ES10" s="100"/>
      <c r="ET10" s="100"/>
      <c r="EU10" s="100"/>
      <c r="EV10" s="100"/>
      <c r="EW10" s="100"/>
      <c r="EX10" s="100"/>
      <c r="EY10" s="100"/>
      <c r="EZ10" s="100"/>
      <c r="FA10" s="100"/>
      <c r="FB10" s="100"/>
      <c r="FC10" s="100"/>
      <c r="FD10" s="100"/>
      <c r="FE10" s="100"/>
      <c r="FF10" s="100"/>
      <c r="FG10" s="100"/>
      <c r="FH10" s="100"/>
      <c r="FI10" s="100"/>
      <c r="FJ10" s="100"/>
      <c r="FK10" s="100"/>
      <c r="FL10" s="100"/>
      <c r="FM10" s="100"/>
      <c r="FN10" s="100"/>
      <c r="FO10" s="100"/>
      <c r="FP10" s="100"/>
      <c r="FQ10" s="100"/>
      <c r="FR10" s="100"/>
      <c r="FS10" s="100"/>
      <c r="FT10" s="100"/>
      <c r="FU10" s="100"/>
      <c r="FV10" s="100"/>
      <c r="FW10" s="100"/>
      <c r="FX10" s="100"/>
      <c r="FY10" s="100"/>
      <c r="FZ10" s="100"/>
      <c r="GA10" s="100"/>
      <c r="GB10" s="100"/>
      <c r="GC10" s="100"/>
      <c r="GD10" s="100"/>
      <c r="GE10" s="100"/>
      <c r="GF10" s="100"/>
      <c r="GG10" s="100"/>
      <c r="GH10" s="100"/>
      <c r="GI10" s="100"/>
      <c r="GJ10" s="100"/>
      <c r="GK10" s="100"/>
      <c r="GL10" s="100"/>
      <c r="GM10" s="100"/>
      <c r="GN10" s="100"/>
      <c r="GO10" s="100"/>
      <c r="GP10" s="100"/>
      <c r="GQ10" s="100"/>
      <c r="GR10" s="100"/>
      <c r="GS10" s="100"/>
      <c r="GT10" s="100"/>
      <c r="GU10" s="100"/>
      <c r="GV10" s="100"/>
      <c r="GW10" s="100"/>
      <c r="GX10" s="100"/>
      <c r="GY10" s="100"/>
      <c r="GZ10" s="100"/>
      <c r="HA10" s="100"/>
      <c r="HB10" s="100"/>
      <c r="HC10" s="100"/>
      <c r="HD10" s="100"/>
      <c r="HE10" s="100"/>
      <c r="HF10" s="100"/>
      <c r="HG10" s="100"/>
      <c r="HH10" s="100"/>
      <c r="HI10" s="100"/>
      <c r="HJ10" s="100"/>
      <c r="HK10" s="100"/>
      <c r="HL10" s="100"/>
      <c r="HM10" s="100"/>
      <c r="HN10" s="100"/>
      <c r="HO10" s="100"/>
      <c r="HP10" s="100"/>
      <c r="HQ10" s="100"/>
      <c r="HR10" s="100"/>
      <c r="HS10" s="100"/>
      <c r="HT10" s="100"/>
      <c r="HU10" s="100"/>
      <c r="HV10" s="100"/>
      <c r="HW10" s="100"/>
      <c r="HX10" s="100"/>
      <c r="HY10" s="100"/>
      <c r="HZ10" s="100"/>
      <c r="IA10" s="100"/>
      <c r="IB10" s="100"/>
      <c r="IC10" s="100"/>
      <c r="ID10" s="100"/>
      <c r="IE10" s="100"/>
      <c r="IF10" s="100"/>
      <c r="IG10" s="100"/>
      <c r="IH10" s="100"/>
      <c r="II10" s="100"/>
      <c r="IJ10" s="100"/>
      <c r="IK10" s="100"/>
      <c r="IL10" s="100"/>
      <c r="IM10" s="100"/>
      <c r="IN10" s="100"/>
      <c r="IO10" s="100"/>
      <c r="IP10" s="100"/>
      <c r="IQ10" s="100"/>
      <c r="IR10" s="100"/>
      <c r="IS10" s="100"/>
      <c r="IT10" s="100"/>
      <c r="IU10" s="100"/>
      <c r="IV10" s="100"/>
      <c r="IW10" s="100"/>
      <c r="IX10" s="100"/>
      <c r="IY10" s="100"/>
      <c r="IZ10" s="100"/>
      <c r="JA10" s="100"/>
      <c r="JB10" s="100"/>
      <c r="JC10" s="100"/>
      <c r="JD10" s="100"/>
      <c r="JE10" s="100"/>
      <c r="JF10" s="100"/>
      <c r="JG10" s="100"/>
      <c r="JH10" s="100"/>
      <c r="JI10" s="100"/>
      <c r="JJ10" s="100"/>
      <c r="JK10" s="100"/>
      <c r="JL10" s="100"/>
      <c r="JM10" s="100"/>
      <c r="JN10" s="100"/>
      <c r="JO10" s="100"/>
      <c r="JP10" s="100"/>
      <c r="JQ10" s="100"/>
      <c r="JR10" s="100"/>
      <c r="JS10" s="100"/>
      <c r="JT10" s="100"/>
      <c r="JU10" s="100"/>
      <c r="JV10" s="100"/>
      <c r="JW10" s="100"/>
      <c r="JX10" s="100"/>
      <c r="JY10" s="100"/>
      <c r="JZ10" s="100"/>
      <c r="KA10" s="100"/>
      <c r="KB10" s="100"/>
      <c r="KC10" s="100"/>
      <c r="KD10" s="100"/>
      <c r="KE10" s="100"/>
      <c r="KF10" s="100"/>
      <c r="KG10" s="100"/>
      <c r="KH10" s="100"/>
      <c r="KI10" s="100"/>
      <c r="KJ10" s="100"/>
    </row>
    <row r="11" spans="1:296" s="39" customFormat="1" x14ac:dyDescent="0.3">
      <c r="A11" s="71"/>
      <c r="B11" s="22" t="str">
        <f>+G70</f>
        <v>BORDADO</v>
      </c>
      <c r="C11" s="67">
        <f>G71</f>
        <v>0</v>
      </c>
      <c r="D11" s="55">
        <v>1</v>
      </c>
      <c r="E11" s="5">
        <f t="shared" ref="E11:E38" si="0">-(+C11*D11)</f>
        <v>0</v>
      </c>
      <c r="F11" s="7"/>
      <c r="G11" s="5"/>
      <c r="H11"/>
      <c r="I11" s="28"/>
      <c r="K11" s="70"/>
      <c r="L11" s="75"/>
      <c r="M11" s="127"/>
      <c r="N11" s="77"/>
      <c r="O11" s="164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  <c r="CY11" s="100"/>
      <c r="CZ11" s="100"/>
      <c r="DA11" s="100"/>
      <c r="DB11" s="100"/>
      <c r="DC11" s="100"/>
      <c r="DD11" s="100"/>
      <c r="DE11" s="100"/>
      <c r="DF11" s="100"/>
      <c r="DG11" s="100"/>
      <c r="DH11" s="100"/>
      <c r="DI11" s="100"/>
      <c r="DJ11" s="100"/>
      <c r="DK11" s="100"/>
      <c r="DL11" s="100"/>
      <c r="DM11" s="100"/>
      <c r="DN11" s="100"/>
      <c r="DO11" s="100"/>
      <c r="DP11" s="100"/>
      <c r="DQ11" s="100"/>
      <c r="DR11" s="100"/>
      <c r="DS11" s="100"/>
      <c r="DT11" s="100"/>
      <c r="DU11" s="100"/>
      <c r="DV11" s="100"/>
      <c r="DW11" s="100"/>
      <c r="DX11" s="100"/>
      <c r="DY11" s="100"/>
      <c r="DZ11" s="100"/>
      <c r="EA11" s="100"/>
      <c r="EB11" s="100"/>
      <c r="EC11" s="100"/>
      <c r="ED11" s="100"/>
      <c r="EE11" s="100"/>
      <c r="EF11" s="100"/>
      <c r="EG11" s="100"/>
      <c r="EH11" s="100"/>
      <c r="EI11" s="100"/>
      <c r="EJ11" s="100"/>
      <c r="EK11" s="100"/>
      <c r="EL11" s="100"/>
      <c r="EM11" s="100"/>
      <c r="EN11" s="100"/>
      <c r="EO11" s="100"/>
      <c r="EP11" s="100"/>
      <c r="EQ11" s="100"/>
      <c r="ER11" s="100"/>
      <c r="ES11" s="100"/>
      <c r="ET11" s="100"/>
      <c r="EU11" s="100"/>
      <c r="EV11" s="100"/>
      <c r="EW11" s="100"/>
      <c r="EX11" s="100"/>
      <c r="EY11" s="100"/>
      <c r="EZ11" s="100"/>
      <c r="FA11" s="100"/>
      <c r="FB11" s="100"/>
      <c r="FC11" s="100"/>
      <c r="FD11" s="100"/>
      <c r="FE11" s="100"/>
      <c r="FF11" s="100"/>
      <c r="FG11" s="100"/>
      <c r="FH11" s="100"/>
      <c r="FI11" s="100"/>
      <c r="FJ11" s="100"/>
      <c r="FK11" s="100"/>
      <c r="FL11" s="100"/>
      <c r="FM11" s="100"/>
      <c r="FN11" s="100"/>
      <c r="FO11" s="100"/>
      <c r="FP11" s="100"/>
      <c r="FQ11" s="100"/>
      <c r="FR11" s="100"/>
      <c r="FS11" s="100"/>
      <c r="FT11" s="100"/>
      <c r="FU11" s="100"/>
      <c r="FV11" s="100"/>
      <c r="FW11" s="100"/>
      <c r="FX11" s="100"/>
      <c r="FY11" s="100"/>
      <c r="FZ11" s="100"/>
      <c r="GA11" s="100"/>
      <c r="GB11" s="100"/>
      <c r="GC11" s="100"/>
      <c r="GD11" s="100"/>
      <c r="GE11" s="100"/>
      <c r="GF11" s="100"/>
      <c r="GG11" s="100"/>
      <c r="GH11" s="100"/>
      <c r="GI11" s="100"/>
      <c r="GJ11" s="100"/>
      <c r="GK11" s="100"/>
      <c r="GL11" s="100"/>
      <c r="GM11" s="100"/>
      <c r="GN11" s="100"/>
      <c r="GO11" s="100"/>
      <c r="GP11" s="100"/>
      <c r="GQ11" s="100"/>
      <c r="GR11" s="100"/>
      <c r="GS11" s="100"/>
      <c r="GT11" s="100"/>
      <c r="GU11" s="100"/>
      <c r="GV11" s="100"/>
      <c r="GW11" s="100"/>
      <c r="GX11" s="100"/>
      <c r="GY11" s="100"/>
      <c r="GZ11" s="100"/>
      <c r="HA11" s="100"/>
      <c r="HB11" s="100"/>
      <c r="HC11" s="100"/>
      <c r="HD11" s="100"/>
      <c r="HE11" s="100"/>
      <c r="HF11" s="100"/>
      <c r="HG11" s="100"/>
      <c r="HH11" s="100"/>
      <c r="HI11" s="100"/>
      <c r="HJ11" s="100"/>
      <c r="HK11" s="100"/>
      <c r="HL11" s="100"/>
      <c r="HM11" s="100"/>
      <c r="HN11" s="100"/>
      <c r="HO11" s="100"/>
      <c r="HP11" s="100"/>
      <c r="HQ11" s="100"/>
      <c r="HR11" s="100"/>
      <c r="HS11" s="100"/>
      <c r="HT11" s="100"/>
      <c r="HU11" s="100"/>
      <c r="HV11" s="100"/>
      <c r="HW11" s="100"/>
      <c r="HX11" s="100"/>
      <c r="HY11" s="100"/>
      <c r="HZ11" s="100"/>
      <c r="IA11" s="100"/>
      <c r="IB11" s="100"/>
      <c r="IC11" s="100"/>
      <c r="ID11" s="100"/>
      <c r="IE11" s="100"/>
      <c r="IF11" s="100"/>
      <c r="IG11" s="100"/>
      <c r="IH11" s="100"/>
      <c r="II11" s="100"/>
      <c r="IJ11" s="100"/>
      <c r="IK11" s="100"/>
      <c r="IL11" s="100"/>
      <c r="IM11" s="100"/>
      <c r="IN11" s="100"/>
      <c r="IO11" s="100"/>
      <c r="IP11" s="100"/>
      <c r="IQ11" s="100"/>
      <c r="IR11" s="100"/>
      <c r="IS11" s="100"/>
      <c r="IT11" s="100"/>
      <c r="IU11" s="100"/>
      <c r="IV11" s="100"/>
      <c r="IW11" s="100"/>
      <c r="IX11" s="100"/>
      <c r="IY11" s="100"/>
      <c r="IZ11" s="100"/>
      <c r="JA11" s="100"/>
      <c r="JB11" s="100"/>
      <c r="JC11" s="100"/>
      <c r="JD11" s="100"/>
      <c r="JE11" s="100"/>
      <c r="JF11" s="100"/>
      <c r="JG11" s="100"/>
      <c r="JH11" s="100"/>
      <c r="JI11" s="100"/>
      <c r="JJ11" s="100"/>
      <c r="JK11" s="100"/>
      <c r="JL11" s="100"/>
      <c r="JM11" s="100"/>
      <c r="JN11" s="100"/>
      <c r="JO11" s="100"/>
      <c r="JP11" s="100"/>
      <c r="JQ11" s="100"/>
      <c r="JR11" s="100"/>
      <c r="JS11" s="100"/>
      <c r="JT11" s="100"/>
      <c r="JU11" s="100"/>
      <c r="JV11" s="100"/>
      <c r="JW11" s="100"/>
      <c r="JX11" s="100"/>
      <c r="JY11" s="100"/>
      <c r="JZ11" s="100"/>
      <c r="KA11" s="100"/>
      <c r="KB11" s="100"/>
      <c r="KC11" s="100"/>
      <c r="KD11" s="100"/>
      <c r="KE11" s="100"/>
      <c r="KF11" s="100"/>
      <c r="KG11" s="100"/>
      <c r="KH11" s="100"/>
      <c r="KI11" s="100"/>
      <c r="KJ11" s="100"/>
    </row>
    <row r="12" spans="1:296" s="39" customFormat="1" x14ac:dyDescent="0.3">
      <c r="A12" s="71"/>
      <c r="B12" s="2" t="str">
        <f>+H70</f>
        <v>DTF/TPU</v>
      </c>
      <c r="C12" s="67">
        <f>H71</f>
        <v>35</v>
      </c>
      <c r="D12" s="55">
        <v>1</v>
      </c>
      <c r="E12" s="5">
        <f t="shared" si="0"/>
        <v>-35</v>
      </c>
      <c r="F12" s="7"/>
      <c r="G12" s="5"/>
      <c r="H12"/>
      <c r="I12" s="28"/>
      <c r="K12" s="70"/>
      <c r="L12" s="75"/>
      <c r="M12" s="127"/>
      <c r="N12" s="77"/>
      <c r="O12" s="164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100"/>
      <c r="CR12" s="100"/>
      <c r="CS12" s="100"/>
      <c r="CT12" s="100"/>
      <c r="CU12" s="100"/>
      <c r="CV12" s="100"/>
      <c r="CW12" s="100"/>
      <c r="CX12" s="100"/>
      <c r="CY12" s="100"/>
      <c r="CZ12" s="100"/>
      <c r="DA12" s="100"/>
      <c r="DB12" s="100"/>
      <c r="DC12" s="100"/>
      <c r="DD12" s="100"/>
      <c r="DE12" s="100"/>
      <c r="DF12" s="100"/>
      <c r="DG12" s="100"/>
      <c r="DH12" s="100"/>
      <c r="DI12" s="100"/>
      <c r="DJ12" s="100"/>
      <c r="DK12" s="100"/>
      <c r="DL12" s="100"/>
      <c r="DM12" s="100"/>
      <c r="DN12" s="100"/>
      <c r="DO12" s="100"/>
      <c r="DP12" s="100"/>
      <c r="DQ12" s="100"/>
      <c r="DR12" s="100"/>
      <c r="DS12" s="100"/>
      <c r="DT12" s="100"/>
      <c r="DU12" s="100"/>
      <c r="DV12" s="100"/>
      <c r="DW12" s="100"/>
      <c r="DX12" s="100"/>
      <c r="DY12" s="100"/>
      <c r="DZ12" s="100"/>
      <c r="EA12" s="100"/>
      <c r="EB12" s="100"/>
      <c r="EC12" s="100"/>
      <c r="ED12" s="100"/>
      <c r="EE12" s="100"/>
      <c r="EF12" s="100"/>
      <c r="EG12" s="100"/>
      <c r="EH12" s="100"/>
      <c r="EI12" s="100"/>
      <c r="EJ12" s="100"/>
      <c r="EK12" s="100"/>
      <c r="EL12" s="100"/>
      <c r="EM12" s="100"/>
      <c r="EN12" s="100"/>
      <c r="EO12" s="100"/>
      <c r="EP12" s="100"/>
      <c r="EQ12" s="100"/>
      <c r="ER12" s="100"/>
      <c r="ES12" s="100"/>
      <c r="ET12" s="100"/>
      <c r="EU12" s="100"/>
      <c r="EV12" s="100"/>
      <c r="EW12" s="100"/>
      <c r="EX12" s="100"/>
      <c r="EY12" s="100"/>
      <c r="EZ12" s="100"/>
      <c r="FA12" s="100"/>
      <c r="FB12" s="100"/>
      <c r="FC12" s="100"/>
      <c r="FD12" s="100"/>
      <c r="FE12" s="100"/>
      <c r="FF12" s="100"/>
      <c r="FG12" s="100"/>
      <c r="FH12" s="100"/>
      <c r="FI12" s="100"/>
      <c r="FJ12" s="100"/>
      <c r="FK12" s="100"/>
      <c r="FL12" s="100"/>
      <c r="FM12" s="100"/>
      <c r="FN12" s="100"/>
      <c r="FO12" s="100"/>
      <c r="FP12" s="100"/>
      <c r="FQ12" s="100"/>
      <c r="FR12" s="100"/>
      <c r="FS12" s="100"/>
      <c r="FT12" s="100"/>
      <c r="FU12" s="100"/>
      <c r="FV12" s="100"/>
      <c r="FW12" s="100"/>
      <c r="FX12" s="100"/>
      <c r="FY12" s="100"/>
      <c r="FZ12" s="100"/>
      <c r="GA12" s="100"/>
      <c r="GB12" s="100"/>
      <c r="GC12" s="100"/>
      <c r="GD12" s="100"/>
      <c r="GE12" s="100"/>
      <c r="GF12" s="100"/>
      <c r="GG12" s="100"/>
      <c r="GH12" s="100"/>
      <c r="GI12" s="100"/>
      <c r="GJ12" s="100"/>
      <c r="GK12" s="100"/>
      <c r="GL12" s="100"/>
      <c r="GM12" s="100"/>
      <c r="GN12" s="100"/>
      <c r="GO12" s="100"/>
      <c r="GP12" s="100"/>
      <c r="GQ12" s="100"/>
      <c r="GR12" s="100"/>
      <c r="GS12" s="100"/>
      <c r="GT12" s="100"/>
      <c r="GU12" s="100"/>
      <c r="GV12" s="100"/>
      <c r="GW12" s="100"/>
      <c r="GX12" s="100"/>
      <c r="GY12" s="100"/>
      <c r="GZ12" s="100"/>
      <c r="HA12" s="100"/>
      <c r="HB12" s="100"/>
      <c r="HC12" s="100"/>
      <c r="HD12" s="100"/>
      <c r="HE12" s="100"/>
      <c r="HF12" s="100"/>
      <c r="HG12" s="100"/>
      <c r="HH12" s="100"/>
      <c r="HI12" s="100"/>
      <c r="HJ12" s="100"/>
      <c r="HK12" s="100"/>
      <c r="HL12" s="100"/>
      <c r="HM12" s="100"/>
      <c r="HN12" s="100"/>
      <c r="HO12" s="100"/>
      <c r="HP12" s="100"/>
      <c r="HQ12" s="100"/>
      <c r="HR12" s="100"/>
      <c r="HS12" s="100"/>
      <c r="HT12" s="100"/>
      <c r="HU12" s="100"/>
      <c r="HV12" s="100"/>
      <c r="HW12" s="100"/>
      <c r="HX12" s="100"/>
      <c r="HY12" s="100"/>
      <c r="HZ12" s="100"/>
      <c r="IA12" s="100"/>
      <c r="IB12" s="100"/>
      <c r="IC12" s="100"/>
      <c r="ID12" s="100"/>
      <c r="IE12" s="100"/>
      <c r="IF12" s="100"/>
      <c r="IG12" s="100"/>
      <c r="IH12" s="100"/>
      <c r="II12" s="100"/>
      <c r="IJ12" s="100"/>
      <c r="IK12" s="100"/>
      <c r="IL12" s="100"/>
      <c r="IM12" s="100"/>
      <c r="IN12" s="100"/>
      <c r="IO12" s="100"/>
      <c r="IP12" s="100"/>
      <c r="IQ12" s="100"/>
      <c r="IR12" s="100"/>
      <c r="IS12" s="100"/>
      <c r="IT12" s="100"/>
      <c r="IU12" s="100"/>
      <c r="IV12" s="100"/>
      <c r="IW12" s="100"/>
      <c r="IX12" s="100"/>
      <c r="IY12" s="100"/>
      <c r="IZ12" s="100"/>
      <c r="JA12" s="100"/>
      <c r="JB12" s="100"/>
      <c r="JC12" s="100"/>
      <c r="JD12" s="100"/>
      <c r="JE12" s="100"/>
      <c r="JF12" s="100"/>
      <c r="JG12" s="100"/>
      <c r="JH12" s="100"/>
      <c r="JI12" s="100"/>
      <c r="JJ12" s="100"/>
      <c r="JK12" s="100"/>
      <c r="JL12" s="100"/>
      <c r="JM12" s="100"/>
      <c r="JN12" s="100"/>
      <c r="JO12" s="100"/>
      <c r="JP12" s="100"/>
      <c r="JQ12" s="100"/>
      <c r="JR12" s="100"/>
      <c r="JS12" s="100"/>
      <c r="JT12" s="100"/>
      <c r="JU12" s="100"/>
      <c r="JV12" s="100"/>
      <c r="JW12" s="100"/>
      <c r="JX12" s="100"/>
      <c r="JY12" s="100"/>
      <c r="JZ12" s="100"/>
      <c r="KA12" s="100"/>
      <c r="KB12" s="100"/>
      <c r="KC12" s="100"/>
      <c r="KD12" s="100"/>
      <c r="KE12" s="100"/>
      <c r="KF12" s="100"/>
      <c r="KG12" s="100"/>
      <c r="KH12" s="100"/>
      <c r="KI12" s="100"/>
      <c r="KJ12" s="100"/>
    </row>
    <row r="13" spans="1:296" s="39" customFormat="1" x14ac:dyDescent="0.3">
      <c r="A13" s="71"/>
      <c r="B13" s="2" t="str">
        <f>+I70</f>
        <v>GORRAS</v>
      </c>
      <c r="C13" s="67">
        <f>I71</f>
        <v>0</v>
      </c>
      <c r="D13" s="55">
        <v>2</v>
      </c>
      <c r="E13" s="5">
        <f t="shared" si="0"/>
        <v>0</v>
      </c>
      <c r="F13" s="22"/>
      <c r="G13" s="5"/>
      <c r="H13"/>
      <c r="I13" s="28"/>
      <c r="K13" s="70"/>
      <c r="L13" s="75"/>
      <c r="M13" s="127"/>
      <c r="N13" s="77"/>
      <c r="O13" s="164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100"/>
      <c r="CX13" s="100"/>
      <c r="CY13" s="100"/>
      <c r="CZ13" s="100"/>
      <c r="DA13" s="100"/>
      <c r="DB13" s="100"/>
      <c r="DC13" s="100"/>
      <c r="DD13" s="100"/>
      <c r="DE13" s="100"/>
      <c r="DF13" s="100"/>
      <c r="DG13" s="100"/>
      <c r="DH13" s="100"/>
      <c r="DI13" s="100"/>
      <c r="DJ13" s="100"/>
      <c r="DK13" s="100"/>
      <c r="DL13" s="100"/>
      <c r="DM13" s="100"/>
      <c r="DN13" s="100"/>
      <c r="DO13" s="100"/>
      <c r="DP13" s="100"/>
      <c r="DQ13" s="100"/>
      <c r="DR13" s="100"/>
      <c r="DS13" s="100"/>
      <c r="DT13" s="100"/>
      <c r="DU13" s="100"/>
      <c r="DV13" s="100"/>
      <c r="DW13" s="100"/>
      <c r="DX13" s="100"/>
      <c r="DY13" s="100"/>
      <c r="DZ13" s="100"/>
      <c r="EA13" s="100"/>
      <c r="EB13" s="100"/>
      <c r="EC13" s="100"/>
      <c r="ED13" s="100"/>
      <c r="EE13" s="100"/>
      <c r="EF13" s="100"/>
      <c r="EG13" s="100"/>
      <c r="EH13" s="100"/>
      <c r="EI13" s="100"/>
      <c r="EJ13" s="100"/>
      <c r="EK13" s="100"/>
      <c r="EL13" s="100"/>
      <c r="EM13" s="100"/>
      <c r="EN13" s="100"/>
      <c r="EO13" s="100"/>
      <c r="EP13" s="100"/>
      <c r="EQ13" s="100"/>
      <c r="ER13" s="100"/>
      <c r="ES13" s="100"/>
      <c r="ET13" s="100"/>
      <c r="EU13" s="100"/>
      <c r="EV13" s="100"/>
      <c r="EW13" s="100"/>
      <c r="EX13" s="100"/>
      <c r="EY13" s="100"/>
      <c r="EZ13" s="100"/>
      <c r="FA13" s="100"/>
      <c r="FB13" s="100"/>
      <c r="FC13" s="100"/>
      <c r="FD13" s="100"/>
      <c r="FE13" s="100"/>
      <c r="FF13" s="100"/>
      <c r="FG13" s="100"/>
      <c r="FH13" s="100"/>
      <c r="FI13" s="100"/>
      <c r="FJ13" s="100"/>
      <c r="FK13" s="100"/>
      <c r="FL13" s="100"/>
      <c r="FM13" s="100"/>
      <c r="FN13" s="100"/>
      <c r="FO13" s="100"/>
      <c r="FP13" s="100"/>
      <c r="FQ13" s="100"/>
      <c r="FR13" s="100"/>
      <c r="FS13" s="100"/>
      <c r="FT13" s="100"/>
      <c r="FU13" s="100"/>
      <c r="FV13" s="100"/>
      <c r="FW13" s="100"/>
      <c r="FX13" s="100"/>
      <c r="FY13" s="100"/>
      <c r="FZ13" s="100"/>
      <c r="GA13" s="100"/>
      <c r="GB13" s="100"/>
      <c r="GC13" s="100"/>
      <c r="GD13" s="100"/>
      <c r="GE13" s="100"/>
      <c r="GF13" s="100"/>
      <c r="GG13" s="100"/>
      <c r="GH13" s="100"/>
      <c r="GI13" s="100"/>
      <c r="GJ13" s="100"/>
      <c r="GK13" s="100"/>
      <c r="GL13" s="100"/>
      <c r="GM13" s="100"/>
      <c r="GN13" s="100"/>
      <c r="GO13" s="100"/>
      <c r="GP13" s="100"/>
      <c r="GQ13" s="100"/>
      <c r="GR13" s="100"/>
      <c r="GS13" s="100"/>
      <c r="GT13" s="100"/>
      <c r="GU13" s="100"/>
      <c r="GV13" s="100"/>
      <c r="GW13" s="100"/>
      <c r="GX13" s="100"/>
      <c r="GY13" s="100"/>
      <c r="GZ13" s="100"/>
      <c r="HA13" s="100"/>
      <c r="HB13" s="100"/>
      <c r="HC13" s="100"/>
      <c r="HD13" s="100"/>
      <c r="HE13" s="100"/>
      <c r="HF13" s="100"/>
      <c r="HG13" s="100"/>
      <c r="HH13" s="100"/>
      <c r="HI13" s="100"/>
      <c r="HJ13" s="100"/>
      <c r="HK13" s="100"/>
      <c r="HL13" s="100"/>
      <c r="HM13" s="100"/>
      <c r="HN13" s="100"/>
      <c r="HO13" s="100"/>
      <c r="HP13" s="100"/>
      <c r="HQ13" s="100"/>
      <c r="HR13" s="100"/>
      <c r="HS13" s="100"/>
      <c r="HT13" s="100"/>
      <c r="HU13" s="100"/>
      <c r="HV13" s="100"/>
      <c r="HW13" s="100"/>
      <c r="HX13" s="100"/>
      <c r="HY13" s="100"/>
      <c r="HZ13" s="100"/>
      <c r="IA13" s="100"/>
      <c r="IB13" s="100"/>
      <c r="IC13" s="100"/>
      <c r="ID13" s="100"/>
      <c r="IE13" s="100"/>
      <c r="IF13" s="100"/>
      <c r="IG13" s="100"/>
      <c r="IH13" s="100"/>
      <c r="II13" s="100"/>
      <c r="IJ13" s="100"/>
      <c r="IK13" s="100"/>
      <c r="IL13" s="100"/>
      <c r="IM13" s="100"/>
      <c r="IN13" s="100"/>
      <c r="IO13" s="100"/>
      <c r="IP13" s="100"/>
      <c r="IQ13" s="100"/>
      <c r="IR13" s="100"/>
      <c r="IS13" s="100"/>
      <c r="IT13" s="100"/>
      <c r="IU13" s="100"/>
      <c r="IV13" s="100"/>
      <c r="IW13" s="100"/>
      <c r="IX13" s="100"/>
      <c r="IY13" s="100"/>
      <c r="IZ13" s="100"/>
      <c r="JA13" s="100"/>
      <c r="JB13" s="100"/>
      <c r="JC13" s="100"/>
      <c r="JD13" s="100"/>
      <c r="JE13" s="100"/>
      <c r="JF13" s="100"/>
      <c r="JG13" s="100"/>
      <c r="JH13" s="100"/>
      <c r="JI13" s="100"/>
      <c r="JJ13" s="100"/>
      <c r="JK13" s="100"/>
      <c r="JL13" s="100"/>
      <c r="JM13" s="100"/>
      <c r="JN13" s="100"/>
      <c r="JO13" s="100"/>
      <c r="JP13" s="100"/>
      <c r="JQ13" s="100"/>
      <c r="JR13" s="100"/>
      <c r="JS13" s="100"/>
      <c r="JT13" s="100"/>
      <c r="JU13" s="100"/>
      <c r="JV13" s="100"/>
      <c r="JW13" s="100"/>
      <c r="JX13" s="100"/>
      <c r="JY13" s="100"/>
      <c r="JZ13" s="100"/>
      <c r="KA13" s="100"/>
      <c r="KB13" s="100"/>
      <c r="KC13" s="100"/>
      <c r="KD13" s="100"/>
      <c r="KE13" s="100"/>
      <c r="KF13" s="100"/>
      <c r="KG13" s="100"/>
      <c r="KH13" s="100"/>
      <c r="KI13" s="100"/>
      <c r="KJ13" s="100"/>
    </row>
    <row r="14" spans="1:296" s="39" customFormat="1" x14ac:dyDescent="0.3">
      <c r="A14" s="71"/>
      <c r="B14" s="2" t="str">
        <f>+J70</f>
        <v>JARRO</v>
      </c>
      <c r="C14" s="67">
        <f>J71</f>
        <v>0</v>
      </c>
      <c r="D14" s="55"/>
      <c r="E14" s="5">
        <f t="shared" si="0"/>
        <v>0</v>
      </c>
      <c r="F14" s="22"/>
      <c r="G14" s="5"/>
      <c r="H14"/>
      <c r="I14" s="28"/>
      <c r="K14" s="70"/>
      <c r="L14" s="75"/>
      <c r="M14" s="127"/>
      <c r="N14" s="77"/>
      <c r="O14" s="164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00"/>
      <c r="CX14" s="100"/>
      <c r="CY14" s="100"/>
      <c r="CZ14" s="100"/>
      <c r="DA14" s="100"/>
      <c r="DB14" s="100"/>
      <c r="DC14" s="100"/>
      <c r="DD14" s="100"/>
      <c r="DE14" s="100"/>
      <c r="DF14" s="100"/>
      <c r="DG14" s="100"/>
      <c r="DH14" s="100"/>
      <c r="DI14" s="100"/>
      <c r="DJ14" s="100"/>
      <c r="DK14" s="100"/>
      <c r="DL14" s="100"/>
      <c r="DM14" s="100"/>
      <c r="DN14" s="100"/>
      <c r="DO14" s="100"/>
      <c r="DP14" s="100"/>
      <c r="DQ14" s="100"/>
      <c r="DR14" s="100"/>
      <c r="DS14" s="100"/>
      <c r="DT14" s="100"/>
      <c r="DU14" s="100"/>
      <c r="DV14" s="100"/>
      <c r="DW14" s="100"/>
      <c r="DX14" s="100"/>
      <c r="DY14" s="100"/>
      <c r="DZ14" s="100"/>
      <c r="EA14" s="100"/>
      <c r="EB14" s="100"/>
      <c r="EC14" s="100"/>
      <c r="ED14" s="100"/>
      <c r="EE14" s="100"/>
      <c r="EF14" s="100"/>
      <c r="EG14" s="100"/>
      <c r="EH14" s="100"/>
      <c r="EI14" s="100"/>
      <c r="EJ14" s="100"/>
      <c r="EK14" s="100"/>
      <c r="EL14" s="100"/>
      <c r="EM14" s="100"/>
      <c r="EN14" s="100"/>
      <c r="EO14" s="100"/>
      <c r="EP14" s="100"/>
      <c r="EQ14" s="100"/>
      <c r="ER14" s="100"/>
      <c r="ES14" s="100"/>
      <c r="ET14" s="100"/>
      <c r="EU14" s="100"/>
      <c r="EV14" s="100"/>
      <c r="EW14" s="100"/>
      <c r="EX14" s="100"/>
      <c r="EY14" s="100"/>
      <c r="EZ14" s="100"/>
      <c r="FA14" s="100"/>
      <c r="FB14" s="100"/>
      <c r="FC14" s="100"/>
      <c r="FD14" s="100"/>
      <c r="FE14" s="100"/>
      <c r="FF14" s="100"/>
      <c r="FG14" s="100"/>
      <c r="FH14" s="100"/>
      <c r="FI14" s="100"/>
      <c r="FJ14" s="100"/>
      <c r="FK14" s="100"/>
      <c r="FL14" s="100"/>
      <c r="FM14" s="100"/>
      <c r="FN14" s="100"/>
      <c r="FO14" s="100"/>
      <c r="FP14" s="100"/>
      <c r="FQ14" s="100"/>
      <c r="FR14" s="100"/>
      <c r="FS14" s="100"/>
      <c r="FT14" s="100"/>
      <c r="FU14" s="100"/>
      <c r="FV14" s="100"/>
      <c r="FW14" s="100"/>
      <c r="FX14" s="100"/>
      <c r="FY14" s="100"/>
      <c r="FZ14" s="100"/>
      <c r="GA14" s="100"/>
      <c r="GB14" s="100"/>
      <c r="GC14" s="100"/>
      <c r="GD14" s="100"/>
      <c r="GE14" s="100"/>
      <c r="GF14" s="100"/>
      <c r="GG14" s="100"/>
      <c r="GH14" s="100"/>
      <c r="GI14" s="100"/>
      <c r="GJ14" s="100"/>
      <c r="GK14" s="100"/>
      <c r="GL14" s="100"/>
      <c r="GM14" s="100"/>
      <c r="GN14" s="100"/>
      <c r="GO14" s="100"/>
      <c r="GP14" s="100"/>
      <c r="GQ14" s="100"/>
      <c r="GR14" s="100"/>
      <c r="GS14" s="100"/>
      <c r="GT14" s="100"/>
      <c r="GU14" s="100"/>
      <c r="GV14" s="100"/>
      <c r="GW14" s="100"/>
      <c r="GX14" s="100"/>
      <c r="GY14" s="100"/>
      <c r="GZ14" s="100"/>
      <c r="HA14" s="100"/>
      <c r="HB14" s="100"/>
      <c r="HC14" s="100"/>
      <c r="HD14" s="100"/>
      <c r="HE14" s="100"/>
      <c r="HF14" s="100"/>
      <c r="HG14" s="100"/>
      <c r="HH14" s="100"/>
      <c r="HI14" s="100"/>
      <c r="HJ14" s="100"/>
      <c r="HK14" s="100"/>
      <c r="HL14" s="100"/>
      <c r="HM14" s="100"/>
      <c r="HN14" s="100"/>
      <c r="HO14" s="100"/>
      <c r="HP14" s="100"/>
      <c r="HQ14" s="100"/>
      <c r="HR14" s="100"/>
      <c r="HS14" s="100"/>
      <c r="HT14" s="100"/>
      <c r="HU14" s="100"/>
      <c r="HV14" s="100"/>
      <c r="HW14" s="100"/>
      <c r="HX14" s="100"/>
      <c r="HY14" s="100"/>
      <c r="HZ14" s="100"/>
      <c r="IA14" s="100"/>
      <c r="IB14" s="100"/>
      <c r="IC14" s="100"/>
      <c r="ID14" s="100"/>
      <c r="IE14" s="100"/>
      <c r="IF14" s="100"/>
      <c r="IG14" s="100"/>
      <c r="IH14" s="100"/>
      <c r="II14" s="100"/>
      <c r="IJ14" s="100"/>
      <c r="IK14" s="100"/>
      <c r="IL14" s="100"/>
      <c r="IM14" s="100"/>
      <c r="IN14" s="100"/>
      <c r="IO14" s="100"/>
      <c r="IP14" s="100"/>
      <c r="IQ14" s="100"/>
      <c r="IR14" s="100"/>
      <c r="IS14" s="100"/>
      <c r="IT14" s="100"/>
      <c r="IU14" s="100"/>
      <c r="IV14" s="100"/>
      <c r="IW14" s="100"/>
      <c r="IX14" s="100"/>
      <c r="IY14" s="100"/>
      <c r="IZ14" s="100"/>
      <c r="JA14" s="100"/>
      <c r="JB14" s="100"/>
      <c r="JC14" s="100"/>
      <c r="JD14" s="100"/>
      <c r="JE14" s="100"/>
      <c r="JF14" s="100"/>
      <c r="JG14" s="100"/>
      <c r="JH14" s="100"/>
      <c r="JI14" s="100"/>
      <c r="JJ14" s="100"/>
      <c r="JK14" s="100"/>
      <c r="JL14" s="100"/>
      <c r="JM14" s="100"/>
      <c r="JN14" s="100"/>
      <c r="JO14" s="100"/>
      <c r="JP14" s="100"/>
      <c r="JQ14" s="100"/>
      <c r="JR14" s="100"/>
      <c r="JS14" s="100"/>
      <c r="JT14" s="100"/>
      <c r="JU14" s="100"/>
      <c r="JV14" s="100"/>
      <c r="JW14" s="100"/>
      <c r="JX14" s="100"/>
      <c r="JY14" s="100"/>
      <c r="JZ14" s="100"/>
      <c r="KA14" s="100"/>
      <c r="KB14" s="100"/>
      <c r="KC14" s="100"/>
      <c r="KD14" s="100"/>
      <c r="KE14" s="100"/>
      <c r="KF14" s="100"/>
      <c r="KG14" s="100"/>
      <c r="KH14" s="100"/>
      <c r="KI14" s="100"/>
      <c r="KJ14" s="100"/>
    </row>
    <row r="15" spans="1:296" s="39" customFormat="1" x14ac:dyDescent="0.3">
      <c r="A15" s="71" t="str">
        <f>IF('[1]PRODUCTO NACIONAL'!A67&lt;&gt;"",'[1]PRODUCTO NACIONAL'!A67,"")</f>
        <v>M64</v>
      </c>
      <c r="B15" s="71" t="str">
        <f>IF('[1]PRODUCTO NACIONAL'!F67&lt;&gt;"",'[1]PRODUCTO NACIONAL'!F67,"")</f>
        <v>CUELLOS20 PEI|NEGRO AZABACHE Y MAS.</v>
      </c>
      <c r="C15" s="67">
        <f>K71</f>
        <v>6</v>
      </c>
      <c r="D15" s="107">
        <f>VLOOKUP(A15,'[1]PRODUCTO NACIONAL'!$A$4:$R$161,18,FALSE)</f>
        <v>0.4764460606060606</v>
      </c>
      <c r="E15" s="5">
        <f t="shared" si="0"/>
        <v>-2.8586763636363637</v>
      </c>
      <c r="F15" s="22"/>
      <c r="G15" s="5"/>
      <c r="H15"/>
      <c r="I15" s="28"/>
      <c r="K15" s="70"/>
      <c r="L15" s="75"/>
      <c r="M15" s="127"/>
      <c r="N15" s="77"/>
      <c r="O15" s="164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00"/>
      <c r="CX15" s="100"/>
      <c r="CY15" s="100"/>
      <c r="CZ15" s="100"/>
      <c r="DA15" s="100"/>
      <c r="DB15" s="100"/>
      <c r="DC15" s="100"/>
      <c r="DD15" s="100"/>
      <c r="DE15" s="100"/>
      <c r="DF15" s="100"/>
      <c r="DG15" s="100"/>
      <c r="DH15" s="100"/>
      <c r="DI15" s="100"/>
      <c r="DJ15" s="100"/>
      <c r="DK15" s="100"/>
      <c r="DL15" s="100"/>
      <c r="DM15" s="100"/>
      <c r="DN15" s="100"/>
      <c r="DO15" s="100"/>
      <c r="DP15" s="100"/>
      <c r="DQ15" s="100"/>
      <c r="DR15" s="100"/>
      <c r="DS15" s="100"/>
      <c r="DT15" s="100"/>
      <c r="DU15" s="100"/>
      <c r="DV15" s="100"/>
      <c r="DW15" s="100"/>
      <c r="DX15" s="100"/>
      <c r="DY15" s="100"/>
      <c r="DZ15" s="100"/>
      <c r="EA15" s="100"/>
      <c r="EB15" s="100"/>
      <c r="EC15" s="100"/>
      <c r="ED15" s="100"/>
      <c r="EE15" s="100"/>
      <c r="EF15" s="100"/>
      <c r="EG15" s="100"/>
      <c r="EH15" s="100"/>
      <c r="EI15" s="100"/>
      <c r="EJ15" s="100"/>
      <c r="EK15" s="100"/>
      <c r="EL15" s="100"/>
      <c r="EM15" s="100"/>
      <c r="EN15" s="100"/>
      <c r="EO15" s="100"/>
      <c r="EP15" s="100"/>
      <c r="EQ15" s="100"/>
      <c r="ER15" s="100"/>
      <c r="ES15" s="100"/>
      <c r="ET15" s="100"/>
      <c r="EU15" s="100"/>
      <c r="EV15" s="100"/>
      <c r="EW15" s="100"/>
      <c r="EX15" s="100"/>
      <c r="EY15" s="100"/>
      <c r="EZ15" s="100"/>
      <c r="FA15" s="100"/>
      <c r="FB15" s="100"/>
      <c r="FC15" s="100"/>
      <c r="FD15" s="100"/>
      <c r="FE15" s="100"/>
      <c r="FF15" s="100"/>
      <c r="FG15" s="100"/>
      <c r="FH15" s="100"/>
      <c r="FI15" s="100"/>
      <c r="FJ15" s="100"/>
      <c r="FK15" s="100"/>
      <c r="FL15" s="100"/>
      <c r="FM15" s="100"/>
      <c r="FN15" s="100"/>
      <c r="FO15" s="100"/>
      <c r="FP15" s="100"/>
      <c r="FQ15" s="100"/>
      <c r="FR15" s="100"/>
      <c r="FS15" s="100"/>
      <c r="FT15" s="100"/>
      <c r="FU15" s="100"/>
      <c r="FV15" s="100"/>
      <c r="FW15" s="100"/>
      <c r="FX15" s="100"/>
      <c r="FY15" s="100"/>
      <c r="FZ15" s="100"/>
      <c r="GA15" s="100"/>
      <c r="GB15" s="100"/>
      <c r="GC15" s="100"/>
      <c r="GD15" s="100"/>
      <c r="GE15" s="100"/>
      <c r="GF15" s="100"/>
      <c r="GG15" s="100"/>
      <c r="GH15" s="100"/>
      <c r="GI15" s="100"/>
      <c r="GJ15" s="100"/>
      <c r="GK15" s="100"/>
      <c r="GL15" s="100"/>
      <c r="GM15" s="100"/>
      <c r="GN15" s="100"/>
      <c r="GO15" s="100"/>
      <c r="GP15" s="100"/>
      <c r="GQ15" s="100"/>
      <c r="GR15" s="100"/>
      <c r="GS15" s="100"/>
      <c r="GT15" s="100"/>
      <c r="GU15" s="100"/>
      <c r="GV15" s="100"/>
      <c r="GW15" s="100"/>
      <c r="GX15" s="100"/>
      <c r="GY15" s="100"/>
      <c r="GZ15" s="100"/>
      <c r="HA15" s="100"/>
      <c r="HB15" s="100"/>
      <c r="HC15" s="100"/>
      <c r="HD15" s="100"/>
      <c r="HE15" s="100"/>
      <c r="HF15" s="100"/>
      <c r="HG15" s="100"/>
      <c r="HH15" s="100"/>
      <c r="HI15" s="100"/>
      <c r="HJ15" s="100"/>
      <c r="HK15" s="100"/>
      <c r="HL15" s="100"/>
      <c r="HM15" s="100"/>
      <c r="HN15" s="100"/>
      <c r="HO15" s="100"/>
      <c r="HP15" s="100"/>
      <c r="HQ15" s="100"/>
      <c r="HR15" s="100"/>
      <c r="HS15" s="100"/>
      <c r="HT15" s="100"/>
      <c r="HU15" s="100"/>
      <c r="HV15" s="100"/>
      <c r="HW15" s="100"/>
      <c r="HX15" s="100"/>
      <c r="HY15" s="100"/>
      <c r="HZ15" s="100"/>
      <c r="IA15" s="100"/>
      <c r="IB15" s="100"/>
      <c r="IC15" s="100"/>
      <c r="ID15" s="100"/>
      <c r="IE15" s="100"/>
      <c r="IF15" s="100"/>
      <c r="IG15" s="100"/>
      <c r="IH15" s="100"/>
      <c r="II15" s="100"/>
      <c r="IJ15" s="100"/>
      <c r="IK15" s="100"/>
      <c r="IL15" s="100"/>
      <c r="IM15" s="100"/>
      <c r="IN15" s="100"/>
      <c r="IO15" s="100"/>
      <c r="IP15" s="100"/>
      <c r="IQ15" s="100"/>
      <c r="IR15" s="100"/>
      <c r="IS15" s="100"/>
      <c r="IT15" s="100"/>
      <c r="IU15" s="100"/>
      <c r="IV15" s="100"/>
      <c r="IW15" s="100"/>
      <c r="IX15" s="100"/>
      <c r="IY15" s="100"/>
      <c r="IZ15" s="100"/>
      <c r="JA15" s="100"/>
      <c r="JB15" s="100"/>
      <c r="JC15" s="100"/>
      <c r="JD15" s="100"/>
      <c r="JE15" s="100"/>
      <c r="JF15" s="100"/>
      <c r="JG15" s="100"/>
      <c r="JH15" s="100"/>
      <c r="JI15" s="100"/>
      <c r="JJ15" s="100"/>
      <c r="JK15" s="100"/>
      <c r="JL15" s="100"/>
      <c r="JM15" s="100"/>
      <c r="JN15" s="100"/>
      <c r="JO15" s="100"/>
      <c r="JP15" s="100"/>
      <c r="JQ15" s="100"/>
      <c r="JR15" s="100"/>
      <c r="JS15" s="100"/>
      <c r="JT15" s="100"/>
      <c r="JU15" s="100"/>
      <c r="JV15" s="100"/>
      <c r="JW15" s="100"/>
      <c r="JX15" s="100"/>
      <c r="JY15" s="100"/>
      <c r="JZ15" s="100"/>
      <c r="KA15" s="100"/>
      <c r="KB15" s="100"/>
      <c r="KC15" s="100"/>
      <c r="KD15" s="100"/>
      <c r="KE15" s="100"/>
      <c r="KF15" s="100"/>
      <c r="KG15" s="100"/>
      <c r="KH15" s="100"/>
      <c r="KI15" s="100"/>
      <c r="KJ15" s="100"/>
    </row>
    <row r="16" spans="1:296" s="39" customFormat="1" x14ac:dyDescent="0.3">
      <c r="A16" s="71" t="str">
        <f>IF('[1]PRODUCTO NACIONAL'!A68&lt;&gt;"",'[1]PRODUCTO NACIONAL'!A68,"")</f>
        <v>M65</v>
      </c>
      <c r="B16" s="71" t="str">
        <f>IF('[1]PRODUCTO NACIONAL'!F68&lt;&gt;"",'[1]PRODUCTO NACIONAL'!F68,"")</f>
        <v>PUÑOS20 PEI|NEGRO AZABACHE Y MAS.</v>
      </c>
      <c r="C16" s="67">
        <f>L71</f>
        <v>6</v>
      </c>
      <c r="D16" s="107">
        <f>VLOOKUP(A16,'[1]PRODUCTO NACIONAL'!$A$4:$R$161,18,FALSE)</f>
        <v>0.23822303030303027</v>
      </c>
      <c r="E16" s="5">
        <f t="shared" si="0"/>
        <v>-1.4293381818181816</v>
      </c>
      <c r="F16" s="22"/>
      <c r="G16" s="5"/>
      <c r="H16"/>
      <c r="I16" s="28"/>
      <c r="K16" s="70"/>
      <c r="L16" s="75"/>
      <c r="M16" s="127"/>
      <c r="N16" s="77"/>
      <c r="O16" s="164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  <c r="CX16" s="100"/>
      <c r="CY16" s="100"/>
      <c r="CZ16" s="100"/>
      <c r="DA16" s="100"/>
      <c r="DB16" s="100"/>
      <c r="DC16" s="100"/>
      <c r="DD16" s="100"/>
      <c r="DE16" s="100"/>
      <c r="DF16" s="100"/>
      <c r="DG16" s="100"/>
      <c r="DH16" s="100"/>
      <c r="DI16" s="100"/>
      <c r="DJ16" s="100"/>
      <c r="DK16" s="100"/>
      <c r="DL16" s="100"/>
      <c r="DM16" s="100"/>
      <c r="DN16" s="100"/>
      <c r="DO16" s="100"/>
      <c r="DP16" s="100"/>
      <c r="DQ16" s="100"/>
      <c r="DR16" s="100"/>
      <c r="DS16" s="100"/>
      <c r="DT16" s="100"/>
      <c r="DU16" s="100"/>
      <c r="DV16" s="100"/>
      <c r="DW16" s="100"/>
      <c r="DX16" s="100"/>
      <c r="DY16" s="100"/>
      <c r="DZ16" s="100"/>
      <c r="EA16" s="100"/>
      <c r="EB16" s="100"/>
      <c r="EC16" s="100"/>
      <c r="ED16" s="100"/>
      <c r="EE16" s="100"/>
      <c r="EF16" s="100"/>
      <c r="EG16" s="100"/>
      <c r="EH16" s="100"/>
      <c r="EI16" s="100"/>
      <c r="EJ16" s="100"/>
      <c r="EK16" s="100"/>
      <c r="EL16" s="100"/>
      <c r="EM16" s="100"/>
      <c r="EN16" s="100"/>
      <c r="EO16" s="100"/>
      <c r="EP16" s="100"/>
      <c r="EQ16" s="100"/>
      <c r="ER16" s="100"/>
      <c r="ES16" s="100"/>
      <c r="ET16" s="100"/>
      <c r="EU16" s="100"/>
      <c r="EV16" s="100"/>
      <c r="EW16" s="100"/>
      <c r="EX16" s="100"/>
      <c r="EY16" s="100"/>
      <c r="EZ16" s="100"/>
      <c r="FA16" s="100"/>
      <c r="FB16" s="100"/>
      <c r="FC16" s="100"/>
      <c r="FD16" s="100"/>
      <c r="FE16" s="100"/>
      <c r="FF16" s="100"/>
      <c r="FG16" s="100"/>
      <c r="FH16" s="100"/>
      <c r="FI16" s="100"/>
      <c r="FJ16" s="100"/>
      <c r="FK16" s="100"/>
      <c r="FL16" s="100"/>
      <c r="FM16" s="100"/>
      <c r="FN16" s="100"/>
      <c r="FO16" s="100"/>
      <c r="FP16" s="100"/>
      <c r="FQ16" s="100"/>
      <c r="FR16" s="100"/>
      <c r="FS16" s="100"/>
      <c r="FT16" s="100"/>
      <c r="FU16" s="100"/>
      <c r="FV16" s="100"/>
      <c r="FW16" s="100"/>
      <c r="FX16" s="100"/>
      <c r="FY16" s="100"/>
      <c r="FZ16" s="100"/>
      <c r="GA16" s="100"/>
      <c r="GB16" s="100"/>
      <c r="GC16" s="100"/>
      <c r="GD16" s="100"/>
      <c r="GE16" s="100"/>
      <c r="GF16" s="100"/>
      <c r="GG16" s="100"/>
      <c r="GH16" s="100"/>
      <c r="GI16" s="100"/>
      <c r="GJ16" s="100"/>
      <c r="GK16" s="100"/>
      <c r="GL16" s="100"/>
      <c r="GM16" s="100"/>
      <c r="GN16" s="100"/>
      <c r="GO16" s="100"/>
      <c r="GP16" s="100"/>
      <c r="GQ16" s="100"/>
      <c r="GR16" s="100"/>
      <c r="GS16" s="100"/>
      <c r="GT16" s="100"/>
      <c r="GU16" s="100"/>
      <c r="GV16" s="100"/>
      <c r="GW16" s="100"/>
      <c r="GX16" s="100"/>
      <c r="GY16" s="100"/>
      <c r="GZ16" s="100"/>
      <c r="HA16" s="100"/>
      <c r="HB16" s="100"/>
      <c r="HC16" s="100"/>
      <c r="HD16" s="100"/>
      <c r="HE16" s="100"/>
      <c r="HF16" s="100"/>
      <c r="HG16" s="100"/>
      <c r="HH16" s="100"/>
      <c r="HI16" s="100"/>
      <c r="HJ16" s="100"/>
      <c r="HK16" s="100"/>
      <c r="HL16" s="100"/>
      <c r="HM16" s="100"/>
      <c r="HN16" s="100"/>
      <c r="HO16" s="100"/>
      <c r="HP16" s="100"/>
      <c r="HQ16" s="100"/>
      <c r="HR16" s="100"/>
      <c r="HS16" s="100"/>
      <c r="HT16" s="100"/>
      <c r="HU16" s="100"/>
      <c r="HV16" s="100"/>
      <c r="HW16" s="100"/>
      <c r="HX16" s="100"/>
      <c r="HY16" s="100"/>
      <c r="HZ16" s="100"/>
      <c r="IA16" s="100"/>
      <c r="IB16" s="100"/>
      <c r="IC16" s="100"/>
      <c r="ID16" s="100"/>
      <c r="IE16" s="100"/>
      <c r="IF16" s="100"/>
      <c r="IG16" s="100"/>
      <c r="IH16" s="100"/>
      <c r="II16" s="100"/>
      <c r="IJ16" s="100"/>
      <c r="IK16" s="100"/>
      <c r="IL16" s="100"/>
      <c r="IM16" s="100"/>
      <c r="IN16" s="100"/>
      <c r="IO16" s="100"/>
      <c r="IP16" s="100"/>
      <c r="IQ16" s="100"/>
      <c r="IR16" s="100"/>
      <c r="IS16" s="100"/>
      <c r="IT16" s="100"/>
      <c r="IU16" s="100"/>
      <c r="IV16" s="100"/>
      <c r="IW16" s="100"/>
      <c r="IX16" s="100"/>
      <c r="IY16" s="100"/>
      <c r="IZ16" s="100"/>
      <c r="JA16" s="100"/>
      <c r="JB16" s="100"/>
      <c r="JC16" s="100"/>
      <c r="JD16" s="100"/>
      <c r="JE16" s="100"/>
      <c r="JF16" s="100"/>
      <c r="JG16" s="100"/>
      <c r="JH16" s="100"/>
      <c r="JI16" s="100"/>
      <c r="JJ16" s="100"/>
      <c r="JK16" s="100"/>
      <c r="JL16" s="100"/>
      <c r="JM16" s="100"/>
      <c r="JN16" s="100"/>
      <c r="JO16" s="100"/>
      <c r="JP16" s="100"/>
      <c r="JQ16" s="100"/>
      <c r="JR16" s="100"/>
      <c r="JS16" s="100"/>
      <c r="JT16" s="100"/>
      <c r="JU16" s="100"/>
      <c r="JV16" s="100"/>
      <c r="JW16" s="100"/>
      <c r="JX16" s="100"/>
      <c r="JY16" s="100"/>
      <c r="JZ16" s="100"/>
      <c r="KA16" s="100"/>
      <c r="KB16" s="100"/>
      <c r="KC16" s="100"/>
      <c r="KD16" s="100"/>
      <c r="KE16" s="100"/>
      <c r="KF16" s="100"/>
      <c r="KG16" s="100"/>
      <c r="KH16" s="100"/>
      <c r="KI16" s="100"/>
      <c r="KJ16" s="100"/>
    </row>
    <row r="17" spans="1:296" s="39" customFormat="1" x14ac:dyDescent="0.3">
      <c r="A17" s="127"/>
      <c r="B17" s="129" t="str">
        <f>+M70</f>
        <v>ENVIOS</v>
      </c>
      <c r="C17" s="67">
        <f>M71</f>
        <v>8</v>
      </c>
      <c r="D17" s="127">
        <v>1</v>
      </c>
      <c r="E17" s="5">
        <f t="shared" si="0"/>
        <v>-8</v>
      </c>
      <c r="F17" s="22"/>
      <c r="G17" s="5"/>
      <c r="H17"/>
      <c r="I17" s="28"/>
      <c r="K17" s="70"/>
      <c r="L17" s="75"/>
      <c r="M17" s="127"/>
      <c r="N17" s="77"/>
      <c r="O17" s="164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  <c r="DC17" s="100"/>
      <c r="DD17" s="100"/>
      <c r="DE17" s="100"/>
      <c r="DF17" s="100"/>
      <c r="DG17" s="100"/>
      <c r="DH17" s="100"/>
      <c r="DI17" s="100"/>
      <c r="DJ17" s="100"/>
      <c r="DK17" s="100"/>
      <c r="DL17" s="100"/>
      <c r="DM17" s="100"/>
      <c r="DN17" s="100"/>
      <c r="DO17" s="100"/>
      <c r="DP17" s="100"/>
      <c r="DQ17" s="100"/>
      <c r="DR17" s="100"/>
      <c r="DS17" s="100"/>
      <c r="DT17" s="100"/>
      <c r="DU17" s="100"/>
      <c r="DV17" s="100"/>
      <c r="DW17" s="100"/>
      <c r="DX17" s="100"/>
      <c r="DY17" s="100"/>
      <c r="DZ17" s="100"/>
      <c r="EA17" s="100"/>
      <c r="EB17" s="100"/>
      <c r="EC17" s="100"/>
      <c r="ED17" s="100"/>
      <c r="EE17" s="100"/>
      <c r="EF17" s="100"/>
      <c r="EG17" s="100"/>
      <c r="EH17" s="100"/>
      <c r="EI17" s="100"/>
      <c r="EJ17" s="100"/>
      <c r="EK17" s="100"/>
      <c r="EL17" s="100"/>
      <c r="EM17" s="100"/>
      <c r="EN17" s="100"/>
      <c r="EO17" s="100"/>
      <c r="EP17" s="100"/>
      <c r="EQ17" s="100"/>
      <c r="ER17" s="100"/>
      <c r="ES17" s="100"/>
      <c r="ET17" s="100"/>
      <c r="EU17" s="100"/>
      <c r="EV17" s="100"/>
      <c r="EW17" s="100"/>
      <c r="EX17" s="100"/>
      <c r="EY17" s="100"/>
      <c r="EZ17" s="100"/>
      <c r="FA17" s="100"/>
      <c r="FB17" s="100"/>
      <c r="FC17" s="100"/>
      <c r="FD17" s="100"/>
      <c r="FE17" s="100"/>
      <c r="FF17" s="100"/>
      <c r="FG17" s="100"/>
      <c r="FH17" s="100"/>
      <c r="FI17" s="100"/>
      <c r="FJ17" s="100"/>
      <c r="FK17" s="100"/>
      <c r="FL17" s="100"/>
      <c r="FM17" s="100"/>
      <c r="FN17" s="100"/>
      <c r="FO17" s="100"/>
      <c r="FP17" s="100"/>
      <c r="FQ17" s="100"/>
      <c r="FR17" s="100"/>
      <c r="FS17" s="100"/>
      <c r="FT17" s="100"/>
      <c r="FU17" s="100"/>
      <c r="FV17" s="100"/>
      <c r="FW17" s="100"/>
      <c r="FX17" s="100"/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0"/>
      <c r="GV17" s="100"/>
      <c r="GW17" s="100"/>
      <c r="GX17" s="100"/>
      <c r="GY17" s="100"/>
      <c r="GZ17" s="100"/>
      <c r="HA17" s="100"/>
      <c r="HB17" s="100"/>
      <c r="HC17" s="100"/>
      <c r="HD17" s="100"/>
      <c r="HE17" s="100"/>
      <c r="HF17" s="100"/>
      <c r="HG17" s="100"/>
      <c r="HH17" s="100"/>
      <c r="HI17" s="100"/>
      <c r="HJ17" s="100"/>
      <c r="HK17" s="100"/>
      <c r="HL17" s="100"/>
      <c r="HM17" s="100"/>
      <c r="HN17" s="100"/>
      <c r="HO17" s="100"/>
      <c r="HP17" s="100"/>
      <c r="HQ17" s="100"/>
      <c r="HR17" s="100"/>
      <c r="HS17" s="100"/>
      <c r="HT17" s="100"/>
      <c r="HU17" s="100"/>
      <c r="HV17" s="100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0"/>
      <c r="II17" s="100"/>
      <c r="IJ17" s="100"/>
      <c r="IK17" s="100"/>
      <c r="IL17" s="100"/>
      <c r="IM17" s="100"/>
      <c r="IN17" s="100"/>
      <c r="IO17" s="100"/>
      <c r="IP17" s="100"/>
      <c r="IQ17" s="100"/>
      <c r="IR17" s="100"/>
      <c r="IS17" s="100"/>
      <c r="IT17" s="100"/>
      <c r="IU17" s="100"/>
      <c r="IV17" s="100"/>
      <c r="IW17" s="100"/>
      <c r="IX17" s="100"/>
      <c r="IY17" s="100"/>
      <c r="IZ17" s="100"/>
      <c r="JA17" s="100"/>
      <c r="JB17" s="100"/>
      <c r="JC17" s="100"/>
      <c r="JD17" s="100"/>
      <c r="JE17" s="100"/>
      <c r="JF17" s="100"/>
      <c r="JG17" s="100"/>
      <c r="JH17" s="100"/>
      <c r="JI17" s="100"/>
      <c r="JJ17" s="100"/>
      <c r="JK17" s="100"/>
      <c r="JL17" s="100"/>
      <c r="JM17" s="100"/>
      <c r="JN17" s="100"/>
      <c r="JO17" s="100"/>
      <c r="JP17" s="100"/>
      <c r="JQ17" s="100"/>
      <c r="JR17" s="100"/>
      <c r="JS17" s="100"/>
      <c r="JT17" s="100"/>
      <c r="JU17" s="100"/>
      <c r="JV17" s="100"/>
      <c r="JW17" s="100"/>
      <c r="JX17" s="100"/>
      <c r="JY17" s="100"/>
      <c r="JZ17" s="100"/>
      <c r="KA17" s="100"/>
      <c r="KB17" s="100"/>
      <c r="KC17" s="100"/>
      <c r="KD17" s="100"/>
      <c r="KE17" s="100"/>
      <c r="KF17" s="100"/>
      <c r="KG17" s="100"/>
      <c r="KH17" s="100"/>
      <c r="KI17" s="100"/>
      <c r="KJ17" s="100"/>
    </row>
    <row r="18" spans="1:296" s="5" customFormat="1" x14ac:dyDescent="0.3">
      <c r="A18" s="71" t="str">
        <f>IF('[1]PRODUCTO NACIONAL'!A76&lt;&gt;"",'[1]PRODUCTO NACIONAL'!A76,"")</f>
        <v>M73</v>
      </c>
      <c r="B18" s="71" t="str">
        <f>IF('[1]PRODUCTO NACIONAL'!F76&lt;&gt;"",'[1]PRODUCTO NACIONAL'!F76,"")</f>
        <v>CINTA REFLECTIVA DE 3cm de anchox1m</v>
      </c>
      <c r="C18" s="67">
        <f>N71</f>
        <v>0</v>
      </c>
      <c r="D18" s="107">
        <f>VLOOKUP(A18,'[1]PRODUCTO NACIONAL'!$A$4:$R$161,18,FALSE)</f>
        <v>1.3999945</v>
      </c>
      <c r="E18" s="5">
        <f t="shared" si="0"/>
        <v>0</v>
      </c>
      <c r="F18" s="22"/>
      <c r="H18"/>
      <c r="I18" s="28"/>
      <c r="J18" s="39"/>
      <c r="K18" s="70"/>
      <c r="L18" s="75"/>
      <c r="M18" s="127"/>
      <c r="N18" s="77"/>
      <c r="O18" s="165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  <c r="DM18" s="116"/>
      <c r="DN18" s="116"/>
      <c r="DO18" s="116"/>
      <c r="DP18" s="116"/>
      <c r="DQ18" s="116"/>
      <c r="DR18" s="116"/>
      <c r="DS18" s="116"/>
      <c r="DT18" s="116"/>
      <c r="DU18" s="116"/>
      <c r="DV18" s="116"/>
      <c r="DW18" s="116"/>
      <c r="DX18" s="116"/>
      <c r="DY18" s="116"/>
      <c r="DZ18" s="116"/>
      <c r="EA18" s="116"/>
      <c r="EB18" s="116"/>
      <c r="EC18" s="116"/>
      <c r="ED18" s="116"/>
      <c r="EE18" s="116"/>
      <c r="EF18" s="116"/>
      <c r="EG18" s="116"/>
      <c r="EH18" s="116"/>
      <c r="EI18" s="116"/>
      <c r="EJ18" s="116"/>
      <c r="EK18" s="116"/>
      <c r="EL18" s="116"/>
      <c r="EM18" s="116"/>
      <c r="EN18" s="116"/>
      <c r="EO18" s="116"/>
      <c r="EP18" s="116"/>
      <c r="EQ18" s="116"/>
      <c r="ER18" s="116"/>
      <c r="ES18" s="116"/>
      <c r="ET18" s="116"/>
      <c r="EU18" s="116"/>
      <c r="EV18" s="116"/>
      <c r="EW18" s="116"/>
      <c r="EX18" s="116"/>
      <c r="EY18" s="116"/>
      <c r="EZ18" s="116"/>
      <c r="FA18" s="116"/>
      <c r="FB18" s="116"/>
      <c r="FC18" s="116"/>
      <c r="FD18" s="116"/>
      <c r="FE18" s="116"/>
      <c r="FF18" s="116"/>
      <c r="FG18" s="116"/>
      <c r="FH18" s="116"/>
      <c r="FI18" s="116"/>
      <c r="FJ18" s="116"/>
      <c r="FK18" s="116"/>
      <c r="FL18" s="116"/>
      <c r="FM18" s="116"/>
      <c r="FN18" s="116"/>
      <c r="FO18" s="116"/>
      <c r="FP18" s="116"/>
      <c r="FQ18" s="116"/>
      <c r="FR18" s="116"/>
      <c r="FS18" s="116"/>
      <c r="FT18" s="116"/>
      <c r="FU18" s="116"/>
      <c r="FV18" s="116"/>
      <c r="FW18" s="116"/>
      <c r="FX18" s="116"/>
      <c r="FY18" s="116"/>
      <c r="FZ18" s="116"/>
      <c r="GA18" s="116"/>
      <c r="GB18" s="116"/>
      <c r="GC18" s="116"/>
      <c r="GD18" s="116"/>
      <c r="GE18" s="116"/>
      <c r="GF18" s="116"/>
      <c r="GG18" s="116"/>
      <c r="GH18" s="116"/>
      <c r="GI18" s="116"/>
      <c r="GJ18" s="116"/>
      <c r="GK18" s="116"/>
      <c r="GL18" s="116"/>
      <c r="GM18" s="116"/>
      <c r="GN18" s="116"/>
      <c r="GO18" s="116"/>
      <c r="GP18" s="116"/>
      <c r="GQ18" s="116"/>
      <c r="GR18" s="116"/>
      <c r="GS18" s="116"/>
      <c r="GT18" s="116"/>
      <c r="GU18" s="116"/>
      <c r="GV18" s="116"/>
      <c r="GW18" s="116"/>
      <c r="GX18" s="116"/>
      <c r="GY18" s="116"/>
      <c r="GZ18" s="116"/>
      <c r="HA18" s="116"/>
      <c r="HB18" s="116"/>
      <c r="HC18" s="116"/>
      <c r="HD18" s="116"/>
      <c r="HE18" s="116"/>
      <c r="HF18" s="116"/>
      <c r="HG18" s="116"/>
      <c r="HH18" s="116"/>
      <c r="HI18" s="116"/>
      <c r="HJ18" s="116"/>
      <c r="HK18" s="116"/>
      <c r="HL18" s="116"/>
      <c r="HM18" s="116"/>
      <c r="HN18" s="116"/>
      <c r="HO18" s="116"/>
      <c r="HP18" s="116"/>
      <c r="HQ18" s="116"/>
      <c r="HR18" s="116"/>
      <c r="HS18" s="116"/>
      <c r="HT18" s="116"/>
      <c r="HU18" s="116"/>
      <c r="HV18" s="116"/>
      <c r="HW18" s="116"/>
      <c r="HX18" s="116"/>
      <c r="HY18" s="116"/>
      <c r="HZ18" s="116"/>
      <c r="IA18" s="116"/>
      <c r="IB18" s="116"/>
      <c r="IC18" s="116"/>
      <c r="ID18" s="116"/>
      <c r="IE18" s="116"/>
      <c r="IF18" s="116"/>
      <c r="IG18" s="116"/>
      <c r="IH18" s="116"/>
      <c r="II18" s="116"/>
      <c r="IJ18" s="116"/>
      <c r="IK18" s="116"/>
      <c r="IL18" s="116"/>
      <c r="IM18" s="116"/>
      <c r="IN18" s="116"/>
      <c r="IO18" s="116"/>
      <c r="IP18" s="116"/>
      <c r="IQ18" s="116"/>
      <c r="IR18" s="116"/>
      <c r="IS18" s="116"/>
      <c r="IT18" s="116"/>
      <c r="IU18" s="116"/>
      <c r="IV18" s="116"/>
      <c r="IW18" s="116"/>
      <c r="IX18" s="116"/>
      <c r="IY18" s="116"/>
      <c r="IZ18" s="116"/>
      <c r="JA18" s="116"/>
      <c r="JB18" s="116"/>
      <c r="JC18" s="116"/>
      <c r="JD18" s="116"/>
      <c r="JE18" s="116"/>
      <c r="JF18" s="116"/>
      <c r="JG18" s="116"/>
      <c r="JH18" s="116"/>
      <c r="JI18" s="116"/>
      <c r="JJ18" s="116"/>
      <c r="JK18" s="116"/>
      <c r="JL18" s="116"/>
      <c r="JM18" s="116"/>
      <c r="JN18" s="116"/>
      <c r="JO18" s="116"/>
      <c r="JP18" s="116"/>
      <c r="JQ18" s="116"/>
      <c r="JR18" s="116"/>
      <c r="JS18" s="116"/>
      <c r="JT18" s="116"/>
      <c r="JU18" s="116"/>
      <c r="JV18" s="116"/>
      <c r="JW18" s="116"/>
      <c r="JX18" s="116"/>
      <c r="JY18" s="116"/>
      <c r="JZ18" s="116"/>
      <c r="KA18" s="116"/>
      <c r="KB18" s="116"/>
      <c r="KC18" s="116"/>
      <c r="KD18" s="116"/>
      <c r="KE18" s="116"/>
      <c r="KF18" s="116"/>
      <c r="KG18" s="116"/>
      <c r="KH18" s="116"/>
      <c r="KI18" s="116"/>
      <c r="KJ18" s="116"/>
    </row>
    <row r="19" spans="1:296" s="5" customFormat="1" x14ac:dyDescent="0.3">
      <c r="A19" s="71" t="str">
        <f>IF('[1]PRODUCTO NACIONAL'!A28&lt;&gt;"",'[1]PRODUCTO NACIONAL'!A28,"")</f>
        <v>M25</v>
      </c>
      <c r="B19" s="72" t="str">
        <f>VLOOKUP(A19,'[1]PRODUCTO NACIONAL'!$A$4:$R$161,6,FALSE)</f>
        <v>ALGODÓN ARUBA PEI AZUL MARINO| COLORES| BLANCO</v>
      </c>
      <c r="C19" s="73">
        <f>IFERROR(HLOOKUP(A19,[3]dimensiones_pdfs!$C$3:$Z$5,3,FALSE),0)</f>
        <v>0</v>
      </c>
      <c r="D19" s="107">
        <f>VLOOKUP(A19,'[1]PRODUCTO NACIONAL'!$A$4:$R$161,18,FALSE)</f>
        <v>4.8341953441295544</v>
      </c>
      <c r="E19" s="5">
        <f t="shared" si="0"/>
        <v>0</v>
      </c>
      <c r="F19" s="22"/>
      <c r="H19"/>
      <c r="I19" s="28"/>
      <c r="J19" s="39"/>
      <c r="K19" s="70"/>
      <c r="L19" s="75"/>
      <c r="M19" s="127"/>
      <c r="N19" s="77"/>
      <c r="O19" s="165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  <c r="DA19" s="116"/>
      <c r="DB19" s="116"/>
      <c r="DC19" s="116"/>
      <c r="DD19" s="116"/>
      <c r="DE19" s="116"/>
      <c r="DF19" s="116"/>
      <c r="DG19" s="116"/>
      <c r="DH19" s="116"/>
      <c r="DI19" s="116"/>
      <c r="DJ19" s="116"/>
      <c r="DK19" s="116"/>
      <c r="DL19" s="116"/>
      <c r="DM19" s="116"/>
      <c r="DN19" s="116"/>
      <c r="DO19" s="116"/>
      <c r="DP19" s="116"/>
      <c r="DQ19" s="116"/>
      <c r="DR19" s="116"/>
      <c r="DS19" s="116"/>
      <c r="DT19" s="116"/>
      <c r="DU19" s="116"/>
      <c r="DV19" s="116"/>
      <c r="DW19" s="116"/>
      <c r="DX19" s="116"/>
      <c r="DY19" s="116"/>
      <c r="DZ19" s="116"/>
      <c r="EA19" s="116"/>
      <c r="EB19" s="116"/>
      <c r="EC19" s="116"/>
      <c r="ED19" s="116"/>
      <c r="EE19" s="116"/>
      <c r="EF19" s="116"/>
      <c r="EG19" s="116"/>
      <c r="EH19" s="116"/>
      <c r="EI19" s="116"/>
      <c r="EJ19" s="116"/>
      <c r="EK19" s="116"/>
      <c r="EL19" s="116"/>
      <c r="EM19" s="116"/>
      <c r="EN19" s="116"/>
      <c r="EO19" s="116"/>
      <c r="EP19" s="116"/>
      <c r="EQ19" s="116"/>
      <c r="ER19" s="116"/>
      <c r="ES19" s="116"/>
      <c r="ET19" s="116"/>
      <c r="EU19" s="116"/>
      <c r="EV19" s="116"/>
      <c r="EW19" s="116"/>
      <c r="EX19" s="116"/>
      <c r="EY19" s="116"/>
      <c r="EZ19" s="116"/>
      <c r="FA19" s="116"/>
      <c r="FB19" s="116"/>
      <c r="FC19" s="116"/>
      <c r="FD19" s="116"/>
      <c r="FE19" s="116"/>
      <c r="FF19" s="116"/>
      <c r="FG19" s="116"/>
      <c r="FH19" s="116"/>
      <c r="FI19" s="116"/>
      <c r="FJ19" s="116"/>
      <c r="FK19" s="116"/>
      <c r="FL19" s="116"/>
      <c r="FM19" s="116"/>
      <c r="FN19" s="116"/>
      <c r="FO19" s="116"/>
      <c r="FP19" s="116"/>
      <c r="FQ19" s="116"/>
      <c r="FR19" s="116"/>
      <c r="FS19" s="116"/>
      <c r="FT19" s="116"/>
      <c r="FU19" s="116"/>
      <c r="FV19" s="116"/>
      <c r="FW19" s="116"/>
      <c r="FX19" s="116"/>
      <c r="FY19" s="116"/>
      <c r="FZ19" s="116"/>
      <c r="GA19" s="116"/>
      <c r="GB19" s="116"/>
      <c r="GC19" s="116"/>
      <c r="GD19" s="116"/>
      <c r="GE19" s="116"/>
      <c r="GF19" s="116"/>
      <c r="GG19" s="116"/>
      <c r="GH19" s="116"/>
      <c r="GI19" s="116"/>
      <c r="GJ19" s="116"/>
      <c r="GK19" s="116"/>
      <c r="GL19" s="116"/>
      <c r="GM19" s="116"/>
      <c r="GN19" s="116"/>
      <c r="GO19" s="116"/>
      <c r="GP19" s="116"/>
      <c r="GQ19" s="116"/>
      <c r="GR19" s="116"/>
      <c r="GS19" s="116"/>
      <c r="GT19" s="116"/>
      <c r="GU19" s="116"/>
      <c r="GV19" s="116"/>
      <c r="GW19" s="116"/>
      <c r="GX19" s="116"/>
      <c r="GY19" s="116"/>
      <c r="GZ19" s="116"/>
      <c r="HA19" s="116"/>
      <c r="HB19" s="116"/>
      <c r="HC19" s="116"/>
      <c r="HD19" s="116"/>
      <c r="HE19" s="116"/>
      <c r="HF19" s="116"/>
      <c r="HG19" s="116"/>
      <c r="HH19" s="116"/>
      <c r="HI19" s="116"/>
      <c r="HJ19" s="116"/>
      <c r="HK19" s="116"/>
      <c r="HL19" s="116"/>
      <c r="HM19" s="116"/>
      <c r="HN19" s="116"/>
      <c r="HO19" s="116"/>
      <c r="HP19" s="116"/>
      <c r="HQ19" s="116"/>
      <c r="HR19" s="116"/>
      <c r="HS19" s="116"/>
      <c r="HT19" s="116"/>
      <c r="HU19" s="116"/>
      <c r="HV19" s="116"/>
      <c r="HW19" s="116"/>
      <c r="HX19" s="116"/>
      <c r="HY19" s="116"/>
      <c r="HZ19" s="116"/>
      <c r="IA19" s="116"/>
      <c r="IB19" s="116"/>
      <c r="IC19" s="116"/>
      <c r="ID19" s="116"/>
      <c r="IE19" s="116"/>
      <c r="IF19" s="116"/>
      <c r="IG19" s="116"/>
      <c r="IH19" s="116"/>
      <c r="II19" s="116"/>
      <c r="IJ19" s="116"/>
      <c r="IK19" s="116"/>
      <c r="IL19" s="116"/>
      <c r="IM19" s="116"/>
      <c r="IN19" s="116"/>
      <c r="IO19" s="116"/>
      <c r="IP19" s="116"/>
      <c r="IQ19" s="116"/>
      <c r="IR19" s="116"/>
      <c r="IS19" s="116"/>
      <c r="IT19" s="116"/>
      <c r="IU19" s="116"/>
      <c r="IV19" s="116"/>
      <c r="IW19" s="116"/>
      <c r="IX19" s="116"/>
      <c r="IY19" s="116"/>
      <c r="IZ19" s="116"/>
      <c r="JA19" s="116"/>
      <c r="JB19" s="116"/>
      <c r="JC19" s="116"/>
      <c r="JD19" s="116"/>
      <c r="JE19" s="116"/>
      <c r="JF19" s="116"/>
      <c r="JG19" s="116"/>
      <c r="JH19" s="116"/>
      <c r="JI19" s="116"/>
      <c r="JJ19" s="116"/>
      <c r="JK19" s="116"/>
      <c r="JL19" s="116"/>
      <c r="JM19" s="116"/>
      <c r="JN19" s="116"/>
      <c r="JO19" s="116"/>
      <c r="JP19" s="116"/>
      <c r="JQ19" s="116"/>
      <c r="JR19" s="116"/>
      <c r="JS19" s="116"/>
      <c r="JT19" s="116"/>
      <c r="JU19" s="116"/>
      <c r="JV19" s="116"/>
      <c r="JW19" s="116"/>
      <c r="JX19" s="116"/>
      <c r="JY19" s="116"/>
      <c r="JZ19" s="116"/>
      <c r="KA19" s="116"/>
      <c r="KB19" s="116"/>
      <c r="KC19" s="116"/>
      <c r="KD19" s="116"/>
      <c r="KE19" s="116"/>
      <c r="KF19" s="116"/>
      <c r="KG19" s="116"/>
      <c r="KH19" s="116"/>
      <c r="KI19" s="116"/>
      <c r="KJ19" s="116"/>
    </row>
    <row r="20" spans="1:296" s="5" customFormat="1" x14ac:dyDescent="0.3">
      <c r="A20" s="71" t="s">
        <v>104</v>
      </c>
      <c r="B20" s="72" t="str">
        <f>VLOOKUP(A20,'[1]PRODUCTO NACIONAL'!$A$4:$R$161,6,FALSE)</f>
        <v>INTERLOCK 40 SPUN 1.2 BLANCO FROZEN</v>
      </c>
      <c r="C20" s="73">
        <f>IFERROR(HLOOKUP(A20,[3]dimensiones_pdfs!$C$3:$Z$5,3,FALSE),0)</f>
        <v>2.3655136479504368</v>
      </c>
      <c r="D20" s="107">
        <f>VLOOKUP(A20,'[1]PRODUCTO NACIONAL'!$A$4:$R$161,18,FALSE)</f>
        <v>4.2071436915887848</v>
      </c>
      <c r="E20" s="5">
        <f t="shared" si="0"/>
        <v>-9.9520558213418546</v>
      </c>
      <c r="F20" s="22"/>
      <c r="H20"/>
      <c r="I20" s="28"/>
      <c r="J20" s="39"/>
      <c r="K20" s="70"/>
      <c r="L20" s="75"/>
      <c r="M20" s="127"/>
      <c r="N20" s="77"/>
      <c r="O20" s="165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6"/>
      <c r="DU20" s="116"/>
      <c r="DV20" s="116"/>
      <c r="DW20" s="116"/>
      <c r="DX20" s="116"/>
      <c r="DY20" s="116"/>
      <c r="DZ20" s="116"/>
      <c r="EA20" s="116"/>
      <c r="EB20" s="116"/>
      <c r="EC20" s="116"/>
      <c r="ED20" s="116"/>
      <c r="EE20" s="116"/>
      <c r="EF20" s="116"/>
      <c r="EG20" s="116"/>
      <c r="EH20" s="116"/>
      <c r="EI20" s="116"/>
      <c r="EJ20" s="116"/>
      <c r="EK20" s="116"/>
      <c r="EL20" s="116"/>
      <c r="EM20" s="116"/>
      <c r="EN20" s="116"/>
      <c r="EO20" s="116"/>
      <c r="EP20" s="116"/>
      <c r="EQ20" s="116"/>
      <c r="ER20" s="116"/>
      <c r="ES20" s="116"/>
      <c r="ET20" s="116"/>
      <c r="EU20" s="116"/>
      <c r="EV20" s="116"/>
      <c r="EW20" s="116"/>
      <c r="EX20" s="116"/>
      <c r="EY20" s="116"/>
      <c r="EZ20" s="116"/>
      <c r="FA20" s="116"/>
      <c r="FB20" s="116"/>
      <c r="FC20" s="116"/>
      <c r="FD20" s="116"/>
      <c r="FE20" s="116"/>
      <c r="FF20" s="116"/>
      <c r="FG20" s="116"/>
      <c r="FH20" s="116"/>
      <c r="FI20" s="116"/>
      <c r="FJ20" s="116"/>
      <c r="FK20" s="116"/>
      <c r="FL20" s="116"/>
      <c r="FM20" s="116"/>
      <c r="FN20" s="116"/>
      <c r="FO20" s="116"/>
      <c r="FP20" s="116"/>
      <c r="FQ20" s="116"/>
      <c r="FR20" s="116"/>
      <c r="FS20" s="116"/>
      <c r="FT20" s="116"/>
      <c r="FU20" s="116"/>
      <c r="FV20" s="116"/>
      <c r="FW20" s="116"/>
      <c r="FX20" s="116"/>
      <c r="FY20" s="116"/>
      <c r="FZ20" s="116"/>
      <c r="GA20" s="116"/>
      <c r="GB20" s="116"/>
      <c r="GC20" s="116"/>
      <c r="GD20" s="116"/>
      <c r="GE20" s="116"/>
      <c r="GF20" s="116"/>
      <c r="GG20" s="116"/>
      <c r="GH20" s="116"/>
      <c r="GI20" s="116"/>
      <c r="GJ20" s="116"/>
      <c r="GK20" s="116"/>
      <c r="GL20" s="116"/>
      <c r="GM20" s="116"/>
      <c r="GN20" s="116"/>
      <c r="GO20" s="116"/>
      <c r="GP20" s="116"/>
      <c r="GQ20" s="116"/>
      <c r="GR20" s="116"/>
      <c r="GS20" s="116"/>
      <c r="GT20" s="116"/>
      <c r="GU20" s="116"/>
      <c r="GV20" s="116"/>
      <c r="GW20" s="116"/>
      <c r="GX20" s="116"/>
      <c r="GY20" s="116"/>
      <c r="GZ20" s="116"/>
      <c r="HA20" s="116"/>
      <c r="HB20" s="116"/>
      <c r="HC20" s="116"/>
      <c r="HD20" s="116"/>
      <c r="HE20" s="116"/>
      <c r="HF20" s="116"/>
      <c r="HG20" s="116"/>
      <c r="HH20" s="116"/>
      <c r="HI20" s="116"/>
      <c r="HJ20" s="116"/>
      <c r="HK20" s="116"/>
      <c r="HL20" s="116"/>
      <c r="HM20" s="116"/>
      <c r="HN20" s="116"/>
      <c r="HO20" s="116"/>
      <c r="HP20" s="116"/>
      <c r="HQ20" s="116"/>
      <c r="HR20" s="116"/>
      <c r="HS20" s="116"/>
      <c r="HT20" s="116"/>
      <c r="HU20" s="116"/>
      <c r="HV20" s="116"/>
      <c r="HW20" s="116"/>
      <c r="HX20" s="116"/>
      <c r="HY20" s="116"/>
      <c r="HZ20" s="116"/>
      <c r="IA20" s="116"/>
      <c r="IB20" s="116"/>
      <c r="IC20" s="116"/>
      <c r="ID20" s="116"/>
      <c r="IE20" s="116"/>
      <c r="IF20" s="116"/>
      <c r="IG20" s="116"/>
      <c r="IH20" s="116"/>
      <c r="II20" s="116"/>
      <c r="IJ20" s="116"/>
      <c r="IK20" s="116"/>
      <c r="IL20" s="116"/>
      <c r="IM20" s="116"/>
      <c r="IN20" s="116"/>
      <c r="IO20" s="116"/>
      <c r="IP20" s="116"/>
      <c r="IQ20" s="116"/>
      <c r="IR20" s="116"/>
      <c r="IS20" s="116"/>
      <c r="IT20" s="116"/>
      <c r="IU20" s="116"/>
      <c r="IV20" s="116"/>
      <c r="IW20" s="116"/>
      <c r="IX20" s="116"/>
      <c r="IY20" s="116"/>
      <c r="IZ20" s="116"/>
      <c r="JA20" s="116"/>
      <c r="JB20" s="116"/>
      <c r="JC20" s="116"/>
      <c r="JD20" s="116"/>
      <c r="JE20" s="116"/>
      <c r="JF20" s="116"/>
      <c r="JG20" s="116"/>
      <c r="JH20" s="116"/>
      <c r="JI20" s="116"/>
      <c r="JJ20" s="116"/>
      <c r="JK20" s="116"/>
      <c r="JL20" s="116"/>
      <c r="JM20" s="116"/>
      <c r="JN20" s="116"/>
      <c r="JO20" s="116"/>
      <c r="JP20" s="116"/>
      <c r="JQ20" s="116"/>
      <c r="JR20" s="116"/>
      <c r="JS20" s="116"/>
      <c r="JT20" s="116"/>
      <c r="JU20" s="116"/>
      <c r="JV20" s="116"/>
      <c r="JW20" s="116"/>
      <c r="JX20" s="116"/>
      <c r="JY20" s="116"/>
      <c r="JZ20" s="116"/>
      <c r="KA20" s="116"/>
      <c r="KB20" s="116"/>
      <c r="KC20" s="116"/>
      <c r="KD20" s="116"/>
      <c r="KE20" s="116"/>
      <c r="KF20" s="116"/>
      <c r="KG20" s="116"/>
      <c r="KH20" s="116"/>
      <c r="KI20" s="116"/>
      <c r="KJ20" s="116"/>
    </row>
    <row r="21" spans="1:296" s="5" customFormat="1" x14ac:dyDescent="0.3">
      <c r="A21" s="71" t="str">
        <f>IF('[1]PRODUCTO NACIONAL'!A61&lt;&gt;"",'[1]PRODUCTO NACIONAL'!A61,"")</f>
        <v>M58</v>
      </c>
      <c r="B21" s="72" t="str">
        <f>VLOOKUP(A21,'[1]PRODUCTO NACIONAL'!$A$4:$R$161,6,FALSE)</f>
        <v>PIKE LACOAST 20 PEI CELESTE| CLARO</v>
      </c>
      <c r="C21" s="73">
        <f>IFERROR(HLOOKUP(A21,[3]dimensiones_pdfs!$C$3:$Z$5,3,FALSE),0)</f>
        <v>0</v>
      </c>
      <c r="D21" s="107">
        <f>VLOOKUP(A21,'[1]PRODUCTO NACIONAL'!$A$4:$R$161,18,FALSE)</f>
        <v>4.9711999999999987</v>
      </c>
      <c r="E21" s="5">
        <f t="shared" si="0"/>
        <v>0</v>
      </c>
      <c r="F21" s="22"/>
      <c r="H21"/>
      <c r="I21" s="28"/>
      <c r="J21" s="39"/>
      <c r="K21" s="70"/>
      <c r="L21" s="75"/>
      <c r="M21" s="127"/>
      <c r="N21" s="77"/>
      <c r="O21" s="165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  <c r="DM21" s="116"/>
      <c r="DN21" s="116"/>
      <c r="DO21" s="116"/>
      <c r="DP21" s="116"/>
      <c r="DQ21" s="116"/>
      <c r="DR21" s="116"/>
      <c r="DS21" s="116"/>
      <c r="DT21" s="116"/>
      <c r="DU21" s="116"/>
      <c r="DV21" s="116"/>
      <c r="DW21" s="116"/>
      <c r="DX21" s="116"/>
      <c r="DY21" s="116"/>
      <c r="DZ21" s="116"/>
      <c r="EA21" s="116"/>
      <c r="EB21" s="116"/>
      <c r="EC21" s="116"/>
      <c r="ED21" s="116"/>
      <c r="EE21" s="116"/>
      <c r="EF21" s="116"/>
      <c r="EG21" s="116"/>
      <c r="EH21" s="116"/>
      <c r="EI21" s="116"/>
      <c r="EJ21" s="116"/>
      <c r="EK21" s="116"/>
      <c r="EL21" s="116"/>
      <c r="EM21" s="116"/>
      <c r="EN21" s="116"/>
      <c r="EO21" s="116"/>
      <c r="EP21" s="116"/>
      <c r="EQ21" s="116"/>
      <c r="ER21" s="116"/>
      <c r="ES21" s="116"/>
      <c r="ET21" s="116"/>
      <c r="EU21" s="116"/>
      <c r="EV21" s="116"/>
      <c r="EW21" s="116"/>
      <c r="EX21" s="116"/>
      <c r="EY21" s="116"/>
      <c r="EZ21" s="116"/>
      <c r="FA21" s="116"/>
      <c r="FB21" s="116"/>
      <c r="FC21" s="116"/>
      <c r="FD21" s="116"/>
      <c r="FE21" s="116"/>
      <c r="FF21" s="116"/>
      <c r="FG21" s="116"/>
      <c r="FH21" s="116"/>
      <c r="FI21" s="116"/>
      <c r="FJ21" s="116"/>
      <c r="FK21" s="116"/>
      <c r="FL21" s="116"/>
      <c r="FM21" s="116"/>
      <c r="FN21" s="116"/>
      <c r="FO21" s="116"/>
      <c r="FP21" s="116"/>
      <c r="FQ21" s="116"/>
      <c r="FR21" s="116"/>
      <c r="FS21" s="116"/>
      <c r="FT21" s="116"/>
      <c r="FU21" s="116"/>
      <c r="FV21" s="116"/>
      <c r="FW21" s="116"/>
      <c r="FX21" s="116"/>
      <c r="FY21" s="116"/>
      <c r="FZ21" s="116"/>
      <c r="GA21" s="116"/>
      <c r="GB21" s="116"/>
      <c r="GC21" s="116"/>
      <c r="GD21" s="116"/>
      <c r="GE21" s="116"/>
      <c r="GF21" s="116"/>
      <c r="GG21" s="116"/>
      <c r="GH21" s="116"/>
      <c r="GI21" s="116"/>
      <c r="GJ21" s="116"/>
      <c r="GK21" s="116"/>
      <c r="GL21" s="116"/>
      <c r="GM21" s="116"/>
      <c r="GN21" s="116"/>
      <c r="GO21" s="116"/>
      <c r="GP21" s="116"/>
      <c r="GQ21" s="116"/>
      <c r="GR21" s="116"/>
      <c r="GS21" s="116"/>
      <c r="GT21" s="116"/>
      <c r="GU21" s="116"/>
      <c r="GV21" s="116"/>
      <c r="GW21" s="116"/>
      <c r="GX21" s="116"/>
      <c r="GY21" s="116"/>
      <c r="GZ21" s="116"/>
      <c r="HA21" s="116"/>
      <c r="HB21" s="116"/>
      <c r="HC21" s="116"/>
      <c r="HD21" s="116"/>
      <c r="HE21" s="116"/>
      <c r="HF21" s="116"/>
      <c r="HG21" s="116"/>
      <c r="HH21" s="116"/>
      <c r="HI21" s="116"/>
      <c r="HJ21" s="116"/>
      <c r="HK21" s="116"/>
      <c r="HL21" s="116"/>
      <c r="HM21" s="116"/>
      <c r="HN21" s="116"/>
      <c r="HO21" s="116"/>
      <c r="HP21" s="116"/>
      <c r="HQ21" s="116"/>
      <c r="HR21" s="116"/>
      <c r="HS21" s="116"/>
      <c r="HT21" s="116"/>
      <c r="HU21" s="116"/>
      <c r="HV21" s="116"/>
      <c r="HW21" s="116"/>
      <c r="HX21" s="116"/>
      <c r="HY21" s="116"/>
      <c r="HZ21" s="116"/>
      <c r="IA21" s="116"/>
      <c r="IB21" s="116"/>
      <c r="IC21" s="116"/>
      <c r="ID21" s="116"/>
      <c r="IE21" s="116"/>
      <c r="IF21" s="116"/>
      <c r="IG21" s="116"/>
      <c r="IH21" s="116"/>
      <c r="II21" s="116"/>
      <c r="IJ21" s="116"/>
      <c r="IK21" s="116"/>
      <c r="IL21" s="116"/>
      <c r="IM21" s="116"/>
      <c r="IN21" s="116"/>
      <c r="IO21" s="116"/>
      <c r="IP21" s="116"/>
      <c r="IQ21" s="116"/>
      <c r="IR21" s="116"/>
      <c r="IS21" s="116"/>
      <c r="IT21" s="116"/>
      <c r="IU21" s="116"/>
      <c r="IV21" s="116"/>
      <c r="IW21" s="116"/>
      <c r="IX21" s="116"/>
      <c r="IY21" s="116"/>
      <c r="IZ21" s="116"/>
      <c r="JA21" s="116"/>
      <c r="JB21" s="116"/>
      <c r="JC21" s="116"/>
      <c r="JD21" s="116"/>
      <c r="JE21" s="116"/>
      <c r="JF21" s="116"/>
      <c r="JG21" s="116"/>
      <c r="JH21" s="116"/>
      <c r="JI21" s="116"/>
      <c r="JJ21" s="116"/>
      <c r="JK21" s="116"/>
      <c r="JL21" s="116"/>
      <c r="JM21" s="116"/>
      <c r="JN21" s="116"/>
      <c r="JO21" s="116"/>
      <c r="JP21" s="116"/>
      <c r="JQ21" s="116"/>
      <c r="JR21" s="116"/>
      <c r="JS21" s="116"/>
      <c r="JT21" s="116"/>
      <c r="JU21" s="116"/>
      <c r="JV21" s="116"/>
      <c r="JW21" s="116"/>
      <c r="JX21" s="116"/>
      <c r="JY21" s="116"/>
      <c r="JZ21" s="116"/>
      <c r="KA21" s="116"/>
      <c r="KB21" s="116"/>
      <c r="KC21" s="116"/>
      <c r="KD21" s="116"/>
      <c r="KE21" s="116"/>
      <c r="KF21" s="116"/>
      <c r="KG21" s="116"/>
      <c r="KH21" s="116"/>
      <c r="KI21" s="116"/>
      <c r="KJ21" s="116"/>
    </row>
    <row r="22" spans="1:296" s="5" customFormat="1" x14ac:dyDescent="0.3">
      <c r="A22" s="71" t="str">
        <f>IF('[1]PRODUCTO NACIONAL'!A62&lt;&gt;"",'[1]PRODUCTO NACIONAL'!A62,"")</f>
        <v>M59</v>
      </c>
      <c r="B22" s="72" t="str">
        <f>VLOOKUP(A22,'[1]PRODUCTO NACIONAL'!$A$4:$R$161,6,FALSE)</f>
        <v>PIKE LACOAST 20 PEI AZUL MARINO| OSCURO</v>
      </c>
      <c r="C22" s="73">
        <f>IFERROR(HLOOKUP(A22,[3]dimensiones_pdfs!$C$3:$Z$5,3,FALSE),0)</f>
        <v>0</v>
      </c>
      <c r="D22" s="107">
        <f>VLOOKUP(A22,'[1]PRODUCTO NACIONAL'!$A$4:$R$161,18,FALSE)</f>
        <v>5.5618400000000001</v>
      </c>
      <c r="E22" s="5">
        <f t="shared" si="0"/>
        <v>0</v>
      </c>
      <c r="F22" s="7"/>
      <c r="H22"/>
      <c r="I22" s="28"/>
      <c r="J22" s="39"/>
      <c r="K22" s="70"/>
      <c r="L22" s="75"/>
      <c r="M22" s="127"/>
      <c r="N22" s="77"/>
      <c r="O22" s="165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  <c r="DT22" s="116"/>
      <c r="DU22" s="116"/>
      <c r="DV22" s="116"/>
      <c r="DW22" s="116"/>
      <c r="DX22" s="116"/>
      <c r="DY22" s="116"/>
      <c r="DZ22" s="116"/>
      <c r="EA22" s="116"/>
      <c r="EB22" s="116"/>
      <c r="EC22" s="116"/>
      <c r="ED22" s="116"/>
      <c r="EE22" s="116"/>
      <c r="EF22" s="116"/>
      <c r="EG22" s="116"/>
      <c r="EH22" s="116"/>
      <c r="EI22" s="116"/>
      <c r="EJ22" s="116"/>
      <c r="EK22" s="116"/>
      <c r="EL22" s="116"/>
      <c r="EM22" s="116"/>
      <c r="EN22" s="116"/>
      <c r="EO22" s="116"/>
      <c r="EP22" s="116"/>
      <c r="EQ22" s="116"/>
      <c r="ER22" s="116"/>
      <c r="ES22" s="116"/>
      <c r="ET22" s="116"/>
      <c r="EU22" s="116"/>
      <c r="EV22" s="116"/>
      <c r="EW22" s="116"/>
      <c r="EX22" s="116"/>
      <c r="EY22" s="116"/>
      <c r="EZ22" s="116"/>
      <c r="FA22" s="116"/>
      <c r="FB22" s="116"/>
      <c r="FC22" s="116"/>
      <c r="FD22" s="116"/>
      <c r="FE22" s="116"/>
      <c r="FF22" s="116"/>
      <c r="FG22" s="116"/>
      <c r="FH22" s="116"/>
      <c r="FI22" s="116"/>
      <c r="FJ22" s="116"/>
      <c r="FK22" s="116"/>
      <c r="FL22" s="116"/>
      <c r="FM22" s="116"/>
      <c r="FN22" s="116"/>
      <c r="FO22" s="116"/>
      <c r="FP22" s="116"/>
      <c r="FQ22" s="116"/>
      <c r="FR22" s="116"/>
      <c r="FS22" s="116"/>
      <c r="FT22" s="116"/>
      <c r="FU22" s="116"/>
      <c r="FV22" s="116"/>
      <c r="FW22" s="116"/>
      <c r="FX22" s="116"/>
      <c r="FY22" s="116"/>
      <c r="FZ22" s="116"/>
      <c r="GA22" s="116"/>
      <c r="GB22" s="116"/>
      <c r="GC22" s="116"/>
      <c r="GD22" s="116"/>
      <c r="GE22" s="116"/>
      <c r="GF22" s="116"/>
      <c r="GG22" s="116"/>
      <c r="GH22" s="116"/>
      <c r="GI22" s="116"/>
      <c r="GJ22" s="116"/>
      <c r="GK22" s="116"/>
      <c r="GL22" s="116"/>
      <c r="GM22" s="116"/>
      <c r="GN22" s="116"/>
      <c r="GO22" s="116"/>
      <c r="GP22" s="116"/>
      <c r="GQ22" s="116"/>
      <c r="GR22" s="116"/>
      <c r="GS22" s="116"/>
      <c r="GT22" s="116"/>
      <c r="GU22" s="116"/>
      <c r="GV22" s="116"/>
      <c r="GW22" s="116"/>
      <c r="GX22" s="116"/>
      <c r="GY22" s="116"/>
      <c r="GZ22" s="116"/>
      <c r="HA22" s="116"/>
      <c r="HB22" s="116"/>
      <c r="HC22" s="116"/>
      <c r="HD22" s="116"/>
      <c r="HE22" s="116"/>
      <c r="HF22" s="116"/>
      <c r="HG22" s="116"/>
      <c r="HH22" s="116"/>
      <c r="HI22" s="116"/>
      <c r="HJ22" s="116"/>
      <c r="HK22" s="116"/>
      <c r="HL22" s="116"/>
      <c r="HM22" s="116"/>
      <c r="HN22" s="116"/>
      <c r="HO22" s="116"/>
      <c r="HP22" s="116"/>
      <c r="HQ22" s="116"/>
      <c r="HR22" s="116"/>
      <c r="HS22" s="116"/>
      <c r="HT22" s="116"/>
      <c r="HU22" s="116"/>
      <c r="HV22" s="116"/>
      <c r="HW22" s="116"/>
      <c r="HX22" s="116"/>
      <c r="HY22" s="116"/>
      <c r="HZ22" s="116"/>
      <c r="IA22" s="116"/>
      <c r="IB22" s="116"/>
      <c r="IC22" s="116"/>
      <c r="ID22" s="116"/>
      <c r="IE22" s="116"/>
      <c r="IF22" s="116"/>
      <c r="IG22" s="116"/>
      <c r="IH22" s="116"/>
      <c r="II22" s="116"/>
      <c r="IJ22" s="116"/>
      <c r="IK22" s="116"/>
      <c r="IL22" s="116"/>
      <c r="IM22" s="116"/>
      <c r="IN22" s="116"/>
      <c r="IO22" s="116"/>
      <c r="IP22" s="116"/>
      <c r="IQ22" s="116"/>
      <c r="IR22" s="116"/>
      <c r="IS22" s="116"/>
      <c r="IT22" s="116"/>
      <c r="IU22" s="116"/>
      <c r="IV22" s="116"/>
      <c r="IW22" s="116"/>
      <c r="IX22" s="116"/>
      <c r="IY22" s="116"/>
      <c r="IZ22" s="116"/>
      <c r="JA22" s="116"/>
      <c r="JB22" s="116"/>
      <c r="JC22" s="116"/>
      <c r="JD22" s="116"/>
      <c r="JE22" s="116"/>
      <c r="JF22" s="116"/>
      <c r="JG22" s="116"/>
      <c r="JH22" s="116"/>
      <c r="JI22" s="116"/>
      <c r="JJ22" s="116"/>
      <c r="JK22" s="116"/>
      <c r="JL22" s="116"/>
      <c r="JM22" s="116"/>
      <c r="JN22" s="116"/>
      <c r="JO22" s="116"/>
      <c r="JP22" s="116"/>
      <c r="JQ22" s="116"/>
      <c r="JR22" s="116"/>
      <c r="JS22" s="116"/>
      <c r="JT22" s="116"/>
      <c r="JU22" s="116"/>
      <c r="JV22" s="116"/>
      <c r="JW22" s="116"/>
      <c r="JX22" s="116"/>
      <c r="JY22" s="116"/>
      <c r="JZ22" s="116"/>
      <c r="KA22" s="116"/>
      <c r="KB22" s="116"/>
      <c r="KC22" s="116"/>
      <c r="KD22" s="116"/>
      <c r="KE22" s="116"/>
      <c r="KF22" s="116"/>
      <c r="KG22" s="116"/>
      <c r="KH22" s="116"/>
      <c r="KI22" s="116"/>
      <c r="KJ22" s="116"/>
    </row>
    <row r="23" spans="1:296" s="5" customFormat="1" x14ac:dyDescent="0.3">
      <c r="A23" s="71" t="str">
        <f>IF('[1]PRODUCTO NACIONAL'!A21&lt;&gt;"",'[1]PRODUCTO NACIONAL'!A21,"")</f>
        <v>M18</v>
      </c>
      <c r="B23" s="72" t="str">
        <f>VLOOKUP(A23,'[1]PRODUCTO NACIONAL'!$A$4:$R$161,6,FALSE)</f>
        <v>RIBB 150TEX COLORES| POLIESTER</v>
      </c>
      <c r="C23" s="155">
        <f>IFERROR(HLOOKUP(A23,[3]dimensiones_pdfs!$C$3:$Z$5,3,FALSE),0)+1</f>
        <v>2.3581335250926454</v>
      </c>
      <c r="D23" s="107">
        <f>VLOOKUP(A23,'[1]PRODUCTO NACIONAL'!$A$4:$R$161,18,FALSE)</f>
        <v>2.1063822222222219</v>
      </c>
      <c r="E23" s="5">
        <f t="shared" si="0"/>
        <v>-4.9671305348813686</v>
      </c>
      <c r="F23" s="22"/>
      <c r="G23" s="15"/>
      <c r="H23"/>
      <c r="I23" s="28"/>
      <c r="J23" s="39"/>
      <c r="K23" s="70"/>
      <c r="L23" s="75"/>
      <c r="M23" s="127"/>
      <c r="N23" s="77"/>
      <c r="O23" s="165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  <c r="CF23" s="116"/>
      <c r="CG23" s="116"/>
      <c r="CH23" s="116"/>
      <c r="CI23" s="116"/>
      <c r="CJ23" s="116"/>
      <c r="CK23" s="116"/>
      <c r="CL23" s="116"/>
      <c r="CM23" s="116"/>
      <c r="CN23" s="116"/>
      <c r="CO23" s="116"/>
      <c r="CP23" s="116"/>
      <c r="CQ23" s="116"/>
      <c r="CR23" s="116"/>
      <c r="CS23" s="116"/>
      <c r="CT23" s="116"/>
      <c r="CU23" s="116"/>
      <c r="CV23" s="116"/>
      <c r="CW23" s="116"/>
      <c r="CX23" s="116"/>
      <c r="CY23" s="116"/>
      <c r="CZ23" s="116"/>
      <c r="DA23" s="116"/>
      <c r="DB23" s="116"/>
      <c r="DC23" s="116"/>
      <c r="DD23" s="116"/>
      <c r="DE23" s="116"/>
      <c r="DF23" s="116"/>
      <c r="DG23" s="116"/>
      <c r="DH23" s="116"/>
      <c r="DI23" s="116"/>
      <c r="DJ23" s="116"/>
      <c r="DK23" s="116"/>
      <c r="DL23" s="116"/>
      <c r="DM23" s="116"/>
      <c r="DN23" s="116"/>
      <c r="DO23" s="116"/>
      <c r="DP23" s="116"/>
      <c r="DQ23" s="116"/>
      <c r="DR23" s="116"/>
      <c r="DS23" s="116"/>
      <c r="DT23" s="116"/>
      <c r="DU23" s="116"/>
      <c r="DV23" s="116"/>
      <c r="DW23" s="116"/>
      <c r="DX23" s="116"/>
      <c r="DY23" s="116"/>
      <c r="DZ23" s="116"/>
      <c r="EA23" s="116"/>
      <c r="EB23" s="116"/>
      <c r="EC23" s="116"/>
      <c r="ED23" s="116"/>
      <c r="EE23" s="116"/>
      <c r="EF23" s="116"/>
      <c r="EG23" s="116"/>
      <c r="EH23" s="116"/>
      <c r="EI23" s="116"/>
      <c r="EJ23" s="116"/>
      <c r="EK23" s="116"/>
      <c r="EL23" s="116"/>
      <c r="EM23" s="116"/>
      <c r="EN23" s="116"/>
      <c r="EO23" s="116"/>
      <c r="EP23" s="116"/>
      <c r="EQ23" s="116"/>
      <c r="ER23" s="116"/>
      <c r="ES23" s="116"/>
      <c r="ET23" s="116"/>
      <c r="EU23" s="116"/>
      <c r="EV23" s="116"/>
      <c r="EW23" s="116"/>
      <c r="EX23" s="116"/>
      <c r="EY23" s="116"/>
      <c r="EZ23" s="116"/>
      <c r="FA23" s="116"/>
      <c r="FB23" s="116"/>
      <c r="FC23" s="116"/>
      <c r="FD23" s="116"/>
      <c r="FE23" s="116"/>
      <c r="FF23" s="116"/>
      <c r="FG23" s="116"/>
      <c r="FH23" s="116"/>
      <c r="FI23" s="116"/>
      <c r="FJ23" s="116"/>
      <c r="FK23" s="116"/>
      <c r="FL23" s="116"/>
      <c r="FM23" s="116"/>
      <c r="FN23" s="116"/>
      <c r="FO23" s="116"/>
      <c r="FP23" s="116"/>
      <c r="FQ23" s="116"/>
      <c r="FR23" s="116"/>
      <c r="FS23" s="116"/>
      <c r="FT23" s="116"/>
      <c r="FU23" s="116"/>
      <c r="FV23" s="116"/>
      <c r="FW23" s="116"/>
      <c r="FX23" s="116"/>
      <c r="FY23" s="116"/>
      <c r="FZ23" s="116"/>
      <c r="GA23" s="116"/>
      <c r="GB23" s="116"/>
      <c r="GC23" s="116"/>
      <c r="GD23" s="116"/>
      <c r="GE23" s="116"/>
      <c r="GF23" s="116"/>
      <c r="GG23" s="116"/>
      <c r="GH23" s="116"/>
      <c r="GI23" s="116"/>
      <c r="GJ23" s="116"/>
      <c r="GK23" s="116"/>
      <c r="GL23" s="116"/>
      <c r="GM23" s="116"/>
      <c r="GN23" s="116"/>
      <c r="GO23" s="116"/>
      <c r="GP23" s="116"/>
      <c r="GQ23" s="116"/>
      <c r="GR23" s="116"/>
      <c r="GS23" s="116"/>
      <c r="GT23" s="116"/>
      <c r="GU23" s="116"/>
      <c r="GV23" s="116"/>
      <c r="GW23" s="116"/>
      <c r="GX23" s="116"/>
      <c r="GY23" s="116"/>
      <c r="GZ23" s="116"/>
      <c r="HA23" s="116"/>
      <c r="HB23" s="116"/>
      <c r="HC23" s="116"/>
      <c r="HD23" s="116"/>
      <c r="HE23" s="116"/>
      <c r="HF23" s="116"/>
      <c r="HG23" s="116"/>
      <c r="HH23" s="116"/>
      <c r="HI23" s="116"/>
      <c r="HJ23" s="116"/>
      <c r="HK23" s="116"/>
      <c r="HL23" s="116"/>
      <c r="HM23" s="116"/>
      <c r="HN23" s="116"/>
      <c r="HO23" s="116"/>
      <c r="HP23" s="116"/>
      <c r="HQ23" s="116"/>
      <c r="HR23" s="116"/>
      <c r="HS23" s="116"/>
      <c r="HT23" s="116"/>
      <c r="HU23" s="116"/>
      <c r="HV23" s="116"/>
      <c r="HW23" s="116"/>
      <c r="HX23" s="116"/>
      <c r="HY23" s="116"/>
      <c r="HZ23" s="116"/>
      <c r="IA23" s="116"/>
      <c r="IB23" s="116"/>
      <c r="IC23" s="116"/>
      <c r="ID23" s="116"/>
      <c r="IE23" s="116"/>
      <c r="IF23" s="116"/>
      <c r="IG23" s="116"/>
      <c r="IH23" s="116"/>
      <c r="II23" s="116"/>
      <c r="IJ23" s="116"/>
      <c r="IK23" s="116"/>
      <c r="IL23" s="116"/>
      <c r="IM23" s="116"/>
      <c r="IN23" s="116"/>
      <c r="IO23" s="116"/>
      <c r="IP23" s="116"/>
      <c r="IQ23" s="116"/>
      <c r="IR23" s="116"/>
      <c r="IS23" s="116"/>
      <c r="IT23" s="116"/>
      <c r="IU23" s="116"/>
      <c r="IV23" s="116"/>
      <c r="IW23" s="116"/>
      <c r="IX23" s="116"/>
      <c r="IY23" s="116"/>
      <c r="IZ23" s="116"/>
      <c r="JA23" s="116"/>
      <c r="JB23" s="116"/>
      <c r="JC23" s="116"/>
      <c r="JD23" s="116"/>
      <c r="JE23" s="116"/>
      <c r="JF23" s="116"/>
      <c r="JG23" s="116"/>
      <c r="JH23" s="116"/>
      <c r="JI23" s="116"/>
      <c r="JJ23" s="116"/>
      <c r="JK23" s="116"/>
      <c r="JL23" s="116"/>
      <c r="JM23" s="116"/>
      <c r="JN23" s="116"/>
      <c r="JO23" s="116"/>
      <c r="JP23" s="116"/>
      <c r="JQ23" s="116"/>
      <c r="JR23" s="116"/>
      <c r="JS23" s="116"/>
      <c r="JT23" s="116"/>
      <c r="JU23" s="116"/>
      <c r="JV23" s="116"/>
      <c r="JW23" s="116"/>
      <c r="JX23" s="116"/>
      <c r="JY23" s="116"/>
      <c r="JZ23" s="116"/>
      <c r="KA23" s="116"/>
      <c r="KB23" s="116"/>
      <c r="KC23" s="116"/>
      <c r="KD23" s="116"/>
      <c r="KE23" s="116"/>
      <c r="KF23" s="116"/>
      <c r="KG23" s="116"/>
      <c r="KH23" s="116"/>
      <c r="KI23" s="116"/>
      <c r="KJ23" s="116"/>
    </row>
    <row r="24" spans="1:296" s="5" customFormat="1" x14ac:dyDescent="0.3">
      <c r="A24" s="71" t="str">
        <f>IF('[1]PRODUCTO NACIONAL'!A78&lt;&gt;"",'[1]PRODUCTO NACIONAL'!A78,"")</f>
        <v>M75</v>
      </c>
      <c r="B24" s="72" t="str">
        <f>VLOOKUP(A24,'[1]PRODUCTO NACIONAL'!$A$4:$R$161,6,FALSE)</f>
        <v>Ribb Lugano 100% POLIESTER</v>
      </c>
      <c r="C24" s="73">
        <f>IFERROR(HLOOKUP(A24,[3]dimensiones_pdfs!$C$3:$Z$5,3,FALSE),0)</f>
        <v>0</v>
      </c>
      <c r="D24" s="107">
        <f>VLOOKUP(A24,'[1]PRODUCTO NACIONAL'!$A$4:$R$161,18,FALSE)</f>
        <v>4.5377999999999989</v>
      </c>
      <c r="E24" s="5">
        <f t="shared" si="0"/>
        <v>0</v>
      </c>
      <c r="F24" s="22"/>
      <c r="H24"/>
      <c r="I24" s="28"/>
      <c r="J24" s="39"/>
      <c r="K24" s="70"/>
      <c r="L24" s="75"/>
      <c r="M24" s="127"/>
      <c r="N24" s="77"/>
      <c r="O24" s="165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  <c r="CF24" s="116"/>
      <c r="CG24" s="116"/>
      <c r="CH24" s="116"/>
      <c r="CI24" s="116"/>
      <c r="CJ24" s="116"/>
      <c r="CK24" s="116"/>
      <c r="CL24" s="11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  <c r="CY24" s="116"/>
      <c r="CZ24" s="116"/>
      <c r="DA24" s="116"/>
      <c r="DB24" s="116"/>
      <c r="DC24" s="116"/>
      <c r="DD24" s="116"/>
      <c r="DE24" s="116"/>
      <c r="DF24" s="116"/>
      <c r="DG24" s="116"/>
      <c r="DH24" s="116"/>
      <c r="DI24" s="116"/>
      <c r="DJ24" s="116"/>
      <c r="DK24" s="116"/>
      <c r="DL24" s="116"/>
      <c r="DM24" s="116"/>
      <c r="DN24" s="116"/>
      <c r="DO24" s="116"/>
      <c r="DP24" s="116"/>
      <c r="DQ24" s="116"/>
      <c r="DR24" s="116"/>
      <c r="DS24" s="116"/>
      <c r="DT24" s="116"/>
      <c r="DU24" s="116"/>
      <c r="DV24" s="116"/>
      <c r="DW24" s="116"/>
      <c r="DX24" s="116"/>
      <c r="DY24" s="116"/>
      <c r="DZ24" s="116"/>
      <c r="EA24" s="116"/>
      <c r="EB24" s="116"/>
      <c r="EC24" s="116"/>
      <c r="ED24" s="116"/>
      <c r="EE24" s="116"/>
      <c r="EF24" s="116"/>
      <c r="EG24" s="116"/>
      <c r="EH24" s="116"/>
      <c r="EI24" s="116"/>
      <c r="EJ24" s="116"/>
      <c r="EK24" s="116"/>
      <c r="EL24" s="116"/>
      <c r="EM24" s="116"/>
      <c r="EN24" s="116"/>
      <c r="EO24" s="116"/>
      <c r="EP24" s="116"/>
      <c r="EQ24" s="116"/>
      <c r="ER24" s="116"/>
      <c r="ES24" s="116"/>
      <c r="ET24" s="116"/>
      <c r="EU24" s="116"/>
      <c r="EV24" s="116"/>
      <c r="EW24" s="116"/>
      <c r="EX24" s="116"/>
      <c r="EY24" s="116"/>
      <c r="EZ24" s="116"/>
      <c r="FA24" s="116"/>
      <c r="FB24" s="116"/>
      <c r="FC24" s="116"/>
      <c r="FD24" s="116"/>
      <c r="FE24" s="116"/>
      <c r="FF24" s="116"/>
      <c r="FG24" s="116"/>
      <c r="FH24" s="116"/>
      <c r="FI24" s="116"/>
      <c r="FJ24" s="116"/>
      <c r="FK24" s="116"/>
      <c r="FL24" s="116"/>
      <c r="FM24" s="116"/>
      <c r="FN24" s="116"/>
      <c r="FO24" s="116"/>
      <c r="FP24" s="116"/>
      <c r="FQ24" s="116"/>
      <c r="FR24" s="116"/>
      <c r="FS24" s="116"/>
      <c r="FT24" s="116"/>
      <c r="FU24" s="116"/>
      <c r="FV24" s="116"/>
      <c r="FW24" s="116"/>
      <c r="FX24" s="116"/>
      <c r="FY24" s="116"/>
      <c r="FZ24" s="116"/>
      <c r="GA24" s="116"/>
      <c r="GB24" s="116"/>
      <c r="GC24" s="116"/>
      <c r="GD24" s="116"/>
      <c r="GE24" s="116"/>
      <c r="GF24" s="116"/>
      <c r="GG24" s="116"/>
      <c r="GH24" s="116"/>
      <c r="GI24" s="116"/>
      <c r="GJ24" s="116"/>
      <c r="GK24" s="116"/>
      <c r="GL24" s="116"/>
      <c r="GM24" s="116"/>
      <c r="GN24" s="116"/>
      <c r="GO24" s="116"/>
      <c r="GP24" s="116"/>
      <c r="GQ24" s="116"/>
      <c r="GR24" s="116"/>
      <c r="GS24" s="116"/>
      <c r="GT24" s="116"/>
      <c r="GU24" s="116"/>
      <c r="GV24" s="116"/>
      <c r="GW24" s="116"/>
      <c r="GX24" s="116"/>
      <c r="GY24" s="116"/>
      <c r="GZ24" s="116"/>
      <c r="HA24" s="116"/>
      <c r="HB24" s="116"/>
      <c r="HC24" s="116"/>
      <c r="HD24" s="116"/>
      <c r="HE24" s="116"/>
      <c r="HF24" s="116"/>
      <c r="HG24" s="116"/>
      <c r="HH24" s="116"/>
      <c r="HI24" s="116"/>
      <c r="HJ24" s="116"/>
      <c r="HK24" s="116"/>
      <c r="HL24" s="116"/>
      <c r="HM24" s="116"/>
      <c r="HN24" s="116"/>
      <c r="HO24" s="116"/>
      <c r="HP24" s="116"/>
      <c r="HQ24" s="116"/>
      <c r="HR24" s="116"/>
      <c r="HS24" s="116"/>
      <c r="HT24" s="116"/>
      <c r="HU24" s="116"/>
      <c r="HV24" s="116"/>
      <c r="HW24" s="116"/>
      <c r="HX24" s="116"/>
      <c r="HY24" s="116"/>
      <c r="HZ24" s="116"/>
      <c r="IA24" s="116"/>
      <c r="IB24" s="116"/>
      <c r="IC24" s="116"/>
      <c r="ID24" s="116"/>
      <c r="IE24" s="116"/>
      <c r="IF24" s="116"/>
      <c r="IG24" s="116"/>
      <c r="IH24" s="116"/>
      <c r="II24" s="116"/>
      <c r="IJ24" s="116"/>
      <c r="IK24" s="116"/>
      <c r="IL24" s="116"/>
      <c r="IM24" s="116"/>
      <c r="IN24" s="116"/>
      <c r="IO24" s="116"/>
      <c r="IP24" s="116"/>
      <c r="IQ24" s="116"/>
      <c r="IR24" s="116"/>
      <c r="IS24" s="116"/>
      <c r="IT24" s="116"/>
      <c r="IU24" s="116"/>
      <c r="IV24" s="116"/>
      <c r="IW24" s="116"/>
      <c r="IX24" s="116"/>
      <c r="IY24" s="116"/>
      <c r="IZ24" s="116"/>
      <c r="JA24" s="116"/>
      <c r="JB24" s="116"/>
      <c r="JC24" s="116"/>
      <c r="JD24" s="116"/>
      <c r="JE24" s="116"/>
      <c r="JF24" s="116"/>
      <c r="JG24" s="116"/>
      <c r="JH24" s="116"/>
      <c r="JI24" s="116"/>
      <c r="JJ24" s="116"/>
      <c r="JK24" s="116"/>
      <c r="JL24" s="116"/>
      <c r="JM24" s="116"/>
      <c r="JN24" s="116"/>
      <c r="JO24" s="116"/>
      <c r="JP24" s="116"/>
      <c r="JQ24" s="116"/>
      <c r="JR24" s="116"/>
      <c r="JS24" s="116"/>
      <c r="JT24" s="116"/>
      <c r="JU24" s="116"/>
      <c r="JV24" s="116"/>
      <c r="JW24" s="116"/>
      <c r="JX24" s="116"/>
      <c r="JY24" s="116"/>
      <c r="JZ24" s="116"/>
      <c r="KA24" s="116"/>
      <c r="KB24" s="116"/>
      <c r="KC24" s="116"/>
      <c r="KD24" s="116"/>
      <c r="KE24" s="116"/>
      <c r="KF24" s="116"/>
      <c r="KG24" s="116"/>
      <c r="KH24" s="116"/>
      <c r="KI24" s="116"/>
      <c r="KJ24" s="116"/>
    </row>
    <row r="25" spans="1:296" s="5" customFormat="1" x14ac:dyDescent="0.3">
      <c r="A25" s="71" t="str">
        <f>IF('[1]PRODUCTO NACIONAL'!A30&lt;&gt;"",'[1]PRODUCTO NACIONAL'!A30,"")</f>
        <v>M27</v>
      </c>
      <c r="B25" s="72" t="str">
        <f>VLOOKUP(A25,'[1]PRODUCTO NACIONAL'!$A$4:$R$161,6,FALSE)</f>
        <v>VIOTO PESADA BLANCA|NEGRO|NARANJA FOSFORESCENTE</v>
      </c>
      <c r="C25" s="73">
        <f>IFERROR(HLOOKUP(A25,[3]dimensiones_pdfs!$C$3:$Z$5,3,FALSE),0)</f>
        <v>43.586310322679616</v>
      </c>
      <c r="D25" s="107">
        <f>VLOOKUP(A25,'[1]PRODUCTO NACIONAL'!$A$4:$R$161,18,FALSE)</f>
        <v>1.9499894999999998</v>
      </c>
      <c r="E25" s="5">
        <f t="shared" si="0"/>
        <v>-84.992847472966858</v>
      </c>
      <c r="F25" s="22"/>
      <c r="H25" t="s">
        <v>40</v>
      </c>
      <c r="I25" s="28"/>
      <c r="J25" s="39"/>
      <c r="K25" s="70"/>
      <c r="L25" s="75"/>
      <c r="M25" s="127"/>
      <c r="N25" s="77"/>
      <c r="O25" s="165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  <c r="CF25" s="116"/>
      <c r="CG25" s="116"/>
      <c r="CH25" s="116"/>
      <c r="CI25" s="116"/>
      <c r="CJ25" s="116"/>
      <c r="CK25" s="116"/>
      <c r="CL25" s="116"/>
      <c r="CM25" s="116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6"/>
      <c r="DA25" s="116"/>
      <c r="DB25" s="116"/>
      <c r="DC25" s="116"/>
      <c r="DD25" s="116"/>
      <c r="DE25" s="116"/>
      <c r="DF25" s="116"/>
      <c r="DG25" s="116"/>
      <c r="DH25" s="116"/>
      <c r="DI25" s="116"/>
      <c r="DJ25" s="116"/>
      <c r="DK25" s="116"/>
      <c r="DL25" s="116"/>
      <c r="DM25" s="116"/>
      <c r="DN25" s="116"/>
      <c r="DO25" s="116"/>
      <c r="DP25" s="116"/>
      <c r="DQ25" s="116"/>
      <c r="DR25" s="116"/>
      <c r="DS25" s="116"/>
      <c r="DT25" s="116"/>
      <c r="DU25" s="116"/>
      <c r="DV25" s="116"/>
      <c r="DW25" s="116"/>
      <c r="DX25" s="116"/>
      <c r="DY25" s="116"/>
      <c r="DZ25" s="116"/>
      <c r="EA25" s="116"/>
      <c r="EB25" s="116"/>
      <c r="EC25" s="116"/>
      <c r="ED25" s="116"/>
      <c r="EE25" s="116"/>
      <c r="EF25" s="116"/>
      <c r="EG25" s="116"/>
      <c r="EH25" s="116"/>
      <c r="EI25" s="116"/>
      <c r="EJ25" s="116"/>
      <c r="EK25" s="116"/>
      <c r="EL25" s="116"/>
      <c r="EM25" s="116"/>
      <c r="EN25" s="116"/>
      <c r="EO25" s="116"/>
      <c r="EP25" s="116"/>
      <c r="EQ25" s="116"/>
      <c r="ER25" s="116"/>
      <c r="ES25" s="116"/>
      <c r="ET25" s="116"/>
      <c r="EU25" s="116"/>
      <c r="EV25" s="116"/>
      <c r="EW25" s="116"/>
      <c r="EX25" s="116"/>
      <c r="EY25" s="116"/>
      <c r="EZ25" s="116"/>
      <c r="FA25" s="116"/>
      <c r="FB25" s="116"/>
      <c r="FC25" s="116"/>
      <c r="FD25" s="116"/>
      <c r="FE25" s="116"/>
      <c r="FF25" s="116"/>
      <c r="FG25" s="116"/>
      <c r="FH25" s="116"/>
      <c r="FI25" s="116"/>
      <c r="FJ25" s="116"/>
      <c r="FK25" s="116"/>
      <c r="FL25" s="116"/>
      <c r="FM25" s="116"/>
      <c r="FN25" s="116"/>
      <c r="FO25" s="116"/>
      <c r="FP25" s="116"/>
      <c r="FQ25" s="116"/>
      <c r="FR25" s="116"/>
      <c r="FS25" s="116"/>
      <c r="FT25" s="116"/>
      <c r="FU25" s="116"/>
      <c r="FV25" s="116"/>
      <c r="FW25" s="116"/>
      <c r="FX25" s="116"/>
      <c r="FY25" s="116"/>
      <c r="FZ25" s="116"/>
      <c r="GA25" s="116"/>
      <c r="GB25" s="116"/>
      <c r="GC25" s="116"/>
      <c r="GD25" s="116"/>
      <c r="GE25" s="116"/>
      <c r="GF25" s="116"/>
      <c r="GG25" s="116"/>
      <c r="GH25" s="116"/>
      <c r="GI25" s="116"/>
      <c r="GJ25" s="116"/>
      <c r="GK25" s="116"/>
      <c r="GL25" s="116"/>
      <c r="GM25" s="116"/>
      <c r="GN25" s="116"/>
      <c r="GO25" s="116"/>
      <c r="GP25" s="116"/>
      <c r="GQ25" s="116"/>
      <c r="GR25" s="116"/>
      <c r="GS25" s="116"/>
      <c r="GT25" s="116"/>
      <c r="GU25" s="116"/>
      <c r="GV25" s="116"/>
      <c r="GW25" s="116"/>
      <c r="GX25" s="116"/>
      <c r="GY25" s="116"/>
      <c r="GZ25" s="116"/>
      <c r="HA25" s="116"/>
      <c r="HB25" s="116"/>
      <c r="HC25" s="116"/>
      <c r="HD25" s="116"/>
      <c r="HE25" s="116"/>
      <c r="HF25" s="116"/>
      <c r="HG25" s="116"/>
      <c r="HH25" s="116"/>
      <c r="HI25" s="116"/>
      <c r="HJ25" s="116"/>
      <c r="HK25" s="116"/>
      <c r="HL25" s="116"/>
      <c r="HM25" s="116"/>
      <c r="HN25" s="116"/>
      <c r="HO25" s="116"/>
      <c r="HP25" s="116"/>
      <c r="HQ25" s="116"/>
      <c r="HR25" s="116"/>
      <c r="HS25" s="116"/>
      <c r="HT25" s="116"/>
      <c r="HU25" s="116"/>
      <c r="HV25" s="116"/>
      <c r="HW25" s="116"/>
      <c r="HX25" s="116"/>
      <c r="HY25" s="116"/>
      <c r="HZ25" s="116"/>
      <c r="IA25" s="116"/>
      <c r="IB25" s="116"/>
      <c r="IC25" s="116"/>
      <c r="ID25" s="116"/>
      <c r="IE25" s="116"/>
      <c r="IF25" s="116"/>
      <c r="IG25" s="116"/>
      <c r="IH25" s="116"/>
      <c r="II25" s="116"/>
      <c r="IJ25" s="116"/>
      <c r="IK25" s="116"/>
      <c r="IL25" s="116"/>
      <c r="IM25" s="116"/>
      <c r="IN25" s="116"/>
      <c r="IO25" s="116"/>
      <c r="IP25" s="116"/>
      <c r="IQ25" s="116"/>
      <c r="IR25" s="116"/>
      <c r="IS25" s="116"/>
      <c r="IT25" s="116"/>
      <c r="IU25" s="116"/>
      <c r="IV25" s="116"/>
      <c r="IW25" s="116"/>
      <c r="IX25" s="116"/>
      <c r="IY25" s="116"/>
      <c r="IZ25" s="116"/>
      <c r="JA25" s="116"/>
      <c r="JB25" s="116"/>
      <c r="JC25" s="116"/>
      <c r="JD25" s="116"/>
      <c r="JE25" s="116"/>
      <c r="JF25" s="116"/>
      <c r="JG25" s="116"/>
      <c r="JH25" s="116"/>
      <c r="JI25" s="116"/>
      <c r="JJ25" s="116"/>
      <c r="JK25" s="116"/>
      <c r="JL25" s="116"/>
      <c r="JM25" s="116"/>
      <c r="JN25" s="116"/>
      <c r="JO25" s="116"/>
      <c r="JP25" s="116"/>
      <c r="JQ25" s="116"/>
      <c r="JR25" s="116"/>
      <c r="JS25" s="116"/>
      <c r="JT25" s="116"/>
      <c r="JU25" s="116"/>
      <c r="JV25" s="116"/>
      <c r="JW25" s="116"/>
      <c r="JX25" s="116"/>
      <c r="JY25" s="116"/>
      <c r="JZ25" s="116"/>
      <c r="KA25" s="116"/>
      <c r="KB25" s="116"/>
      <c r="KC25" s="116"/>
      <c r="KD25" s="116"/>
      <c r="KE25" s="116"/>
      <c r="KF25" s="116"/>
      <c r="KG25" s="116"/>
      <c r="KH25" s="116"/>
      <c r="KI25" s="116"/>
      <c r="KJ25" s="116"/>
    </row>
    <row r="26" spans="1:296" s="5" customFormat="1" x14ac:dyDescent="0.3">
      <c r="A26" s="71" t="str">
        <f>IF('[1]PRODUCTO NACIONAL'!A22&lt;&gt;"",'[1]PRODUCTO NACIONAL'!A22,"")</f>
        <v>M19</v>
      </c>
      <c r="B26" s="72" t="str">
        <f>VLOOKUP(A26,'[1]PRODUCTO NACIONAL'!$A$4:$R$161,6,FALSE)</f>
        <v>RIVER TEX NEGRO|COLORES</v>
      </c>
      <c r="C26" s="73">
        <f>IFERROR(HLOOKUP(A26,[3]dimensiones_pdfs!$C$3:$Z$5,3,FALSE),0)</f>
        <v>0</v>
      </c>
      <c r="D26" s="107">
        <f>VLOOKUP(A26,'[1]PRODUCTO NACIONAL'!$A$4:$R$161,18,FALSE)</f>
        <v>2.4101473684210521</v>
      </c>
      <c r="E26" s="5">
        <f t="shared" si="0"/>
        <v>0</v>
      </c>
      <c r="F26" s="22"/>
      <c r="H26"/>
      <c r="I26" s="28"/>
      <c r="J26" s="39"/>
      <c r="K26" s="70"/>
      <c r="L26" s="75"/>
      <c r="M26" s="127"/>
      <c r="N26" s="77"/>
      <c r="O26" s="165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  <c r="CF26" s="116"/>
      <c r="CG26" s="116"/>
      <c r="CH26" s="116"/>
      <c r="CI26" s="116"/>
      <c r="CJ26" s="116"/>
      <c r="CK26" s="116"/>
      <c r="CL26" s="116"/>
      <c r="CM26" s="116"/>
      <c r="CN26" s="116"/>
      <c r="CO26" s="116"/>
      <c r="CP26" s="116"/>
      <c r="CQ26" s="116"/>
      <c r="CR26" s="116"/>
      <c r="CS26" s="116"/>
      <c r="CT26" s="116"/>
      <c r="CU26" s="116"/>
      <c r="CV26" s="116"/>
      <c r="CW26" s="116"/>
      <c r="CX26" s="116"/>
      <c r="CY26" s="116"/>
      <c r="CZ26" s="116"/>
      <c r="DA26" s="116"/>
      <c r="DB26" s="116"/>
      <c r="DC26" s="116"/>
      <c r="DD26" s="116"/>
      <c r="DE26" s="116"/>
      <c r="DF26" s="116"/>
      <c r="DG26" s="116"/>
      <c r="DH26" s="116"/>
      <c r="DI26" s="116"/>
      <c r="DJ26" s="116"/>
      <c r="DK26" s="116"/>
      <c r="DL26" s="116"/>
      <c r="DM26" s="116"/>
      <c r="DN26" s="116"/>
      <c r="DO26" s="116"/>
      <c r="DP26" s="116"/>
      <c r="DQ26" s="116"/>
      <c r="DR26" s="116"/>
      <c r="DS26" s="116"/>
      <c r="DT26" s="116"/>
      <c r="DU26" s="116"/>
      <c r="DV26" s="116"/>
      <c r="DW26" s="116"/>
      <c r="DX26" s="116"/>
      <c r="DY26" s="116"/>
      <c r="DZ26" s="116"/>
      <c r="EA26" s="116"/>
      <c r="EB26" s="116"/>
      <c r="EC26" s="116"/>
      <c r="ED26" s="116"/>
      <c r="EE26" s="116"/>
      <c r="EF26" s="116"/>
      <c r="EG26" s="116"/>
      <c r="EH26" s="116"/>
      <c r="EI26" s="116"/>
      <c r="EJ26" s="116"/>
      <c r="EK26" s="116"/>
      <c r="EL26" s="116"/>
      <c r="EM26" s="116"/>
      <c r="EN26" s="116"/>
      <c r="EO26" s="116"/>
      <c r="EP26" s="116"/>
      <c r="EQ26" s="116"/>
      <c r="ER26" s="116"/>
      <c r="ES26" s="116"/>
      <c r="ET26" s="116"/>
      <c r="EU26" s="116"/>
      <c r="EV26" s="116"/>
      <c r="EW26" s="116"/>
      <c r="EX26" s="116"/>
      <c r="EY26" s="116"/>
      <c r="EZ26" s="116"/>
      <c r="FA26" s="116"/>
      <c r="FB26" s="116"/>
      <c r="FC26" s="116"/>
      <c r="FD26" s="116"/>
      <c r="FE26" s="116"/>
      <c r="FF26" s="116"/>
      <c r="FG26" s="116"/>
      <c r="FH26" s="116"/>
      <c r="FI26" s="116"/>
      <c r="FJ26" s="116"/>
      <c r="FK26" s="116"/>
      <c r="FL26" s="116"/>
      <c r="FM26" s="116"/>
      <c r="FN26" s="116"/>
      <c r="FO26" s="116"/>
      <c r="FP26" s="116"/>
      <c r="FQ26" s="116"/>
      <c r="FR26" s="116"/>
      <c r="FS26" s="116"/>
      <c r="FT26" s="116"/>
      <c r="FU26" s="116"/>
      <c r="FV26" s="116"/>
      <c r="FW26" s="116"/>
      <c r="FX26" s="116"/>
      <c r="FY26" s="116"/>
      <c r="FZ26" s="116"/>
      <c r="GA26" s="116"/>
      <c r="GB26" s="116"/>
      <c r="GC26" s="116"/>
      <c r="GD26" s="116"/>
      <c r="GE26" s="116"/>
      <c r="GF26" s="116"/>
      <c r="GG26" s="116"/>
      <c r="GH26" s="116"/>
      <c r="GI26" s="116"/>
      <c r="GJ26" s="116"/>
      <c r="GK26" s="116"/>
      <c r="GL26" s="116"/>
      <c r="GM26" s="116"/>
      <c r="GN26" s="116"/>
      <c r="GO26" s="116"/>
      <c r="GP26" s="116"/>
      <c r="GQ26" s="116"/>
      <c r="GR26" s="116"/>
      <c r="GS26" s="116"/>
      <c r="GT26" s="116"/>
      <c r="GU26" s="116"/>
      <c r="GV26" s="116"/>
      <c r="GW26" s="116"/>
      <c r="GX26" s="116"/>
      <c r="GY26" s="116"/>
      <c r="GZ26" s="116"/>
      <c r="HA26" s="116"/>
      <c r="HB26" s="116"/>
      <c r="HC26" s="116"/>
      <c r="HD26" s="116"/>
      <c r="HE26" s="116"/>
      <c r="HF26" s="116"/>
      <c r="HG26" s="116"/>
      <c r="HH26" s="116"/>
      <c r="HI26" s="116"/>
      <c r="HJ26" s="116"/>
      <c r="HK26" s="116"/>
      <c r="HL26" s="116"/>
      <c r="HM26" s="116"/>
      <c r="HN26" s="116"/>
      <c r="HO26" s="116"/>
      <c r="HP26" s="116"/>
      <c r="HQ26" s="116"/>
      <c r="HR26" s="116"/>
      <c r="HS26" s="116"/>
      <c r="HT26" s="116"/>
      <c r="HU26" s="116"/>
      <c r="HV26" s="116"/>
      <c r="HW26" s="116"/>
      <c r="HX26" s="116"/>
      <c r="HY26" s="116"/>
      <c r="HZ26" s="116"/>
      <c r="IA26" s="116"/>
      <c r="IB26" s="116"/>
      <c r="IC26" s="116"/>
      <c r="ID26" s="116"/>
      <c r="IE26" s="116"/>
      <c r="IF26" s="116"/>
      <c r="IG26" s="116"/>
      <c r="IH26" s="116"/>
      <c r="II26" s="116"/>
      <c r="IJ26" s="116"/>
      <c r="IK26" s="116"/>
      <c r="IL26" s="116"/>
      <c r="IM26" s="116"/>
      <c r="IN26" s="116"/>
      <c r="IO26" s="116"/>
      <c r="IP26" s="116"/>
      <c r="IQ26" s="116"/>
      <c r="IR26" s="116"/>
      <c r="IS26" s="116"/>
      <c r="IT26" s="116"/>
      <c r="IU26" s="116"/>
      <c r="IV26" s="116"/>
      <c r="IW26" s="116"/>
      <c r="IX26" s="116"/>
      <c r="IY26" s="116"/>
      <c r="IZ26" s="116"/>
      <c r="JA26" s="116"/>
      <c r="JB26" s="116"/>
      <c r="JC26" s="116"/>
      <c r="JD26" s="116"/>
      <c r="JE26" s="116"/>
      <c r="JF26" s="116"/>
      <c r="JG26" s="116"/>
      <c r="JH26" s="116"/>
      <c r="JI26" s="116"/>
      <c r="JJ26" s="116"/>
      <c r="JK26" s="116"/>
      <c r="JL26" s="116"/>
      <c r="JM26" s="116"/>
      <c r="JN26" s="116"/>
      <c r="JO26" s="116"/>
      <c r="JP26" s="116"/>
      <c r="JQ26" s="116"/>
      <c r="JR26" s="116"/>
      <c r="JS26" s="116"/>
      <c r="JT26" s="116"/>
      <c r="JU26" s="116"/>
      <c r="JV26" s="116"/>
      <c r="JW26" s="116"/>
      <c r="JX26" s="116"/>
      <c r="JY26" s="116"/>
      <c r="JZ26" s="116"/>
      <c r="KA26" s="116"/>
      <c r="KB26" s="116"/>
      <c r="KC26" s="116"/>
      <c r="KD26" s="116"/>
      <c r="KE26" s="116"/>
      <c r="KF26" s="116"/>
      <c r="KG26" s="116"/>
      <c r="KH26" s="116"/>
      <c r="KI26" s="116"/>
      <c r="KJ26" s="116"/>
    </row>
    <row r="27" spans="1:296" s="5" customFormat="1" x14ac:dyDescent="0.3">
      <c r="A27" s="71" t="str">
        <f>IF('[1]PRODUCTO NACIONAL'!A15&lt;&gt;"",'[1]PRODUCTO NACIONAL'!A15,"")</f>
        <v>M12</v>
      </c>
      <c r="B27" s="72" t="str">
        <f>VLOOKUP(A27,'[1]PRODUCTO NACIONAL'!$A$4:$R$161,6,FALSE)</f>
        <v>LINO JARUBA</v>
      </c>
      <c r="C27" s="73">
        <f>IFERROR(HLOOKUP(A27,[3]dimensiones_pdfs!$C$3:$Z$5,3,FALSE),0)</f>
        <v>0</v>
      </c>
      <c r="D27" s="107">
        <f>VLOOKUP(A27,'[1]PRODUCTO NACIONAL'!$A$4:$R$161,18,FALSE)</f>
        <v>1.8904999999999998</v>
      </c>
      <c r="E27" s="5">
        <f t="shared" si="0"/>
        <v>0</v>
      </c>
      <c r="F27" s="22"/>
      <c r="H27"/>
      <c r="I27" s="28"/>
      <c r="J27" s="39"/>
      <c r="K27" s="70"/>
      <c r="L27" s="75"/>
      <c r="M27" s="127"/>
      <c r="N27" s="77"/>
      <c r="O27" s="165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  <c r="CF27" s="116"/>
      <c r="CG27" s="116"/>
      <c r="CH27" s="116"/>
      <c r="CI27" s="116"/>
      <c r="CJ27" s="116"/>
      <c r="CK27" s="116"/>
      <c r="CL27" s="116"/>
      <c r="CM27" s="116"/>
      <c r="CN27" s="116"/>
      <c r="CO27" s="116"/>
      <c r="CP27" s="116"/>
      <c r="CQ27" s="116"/>
      <c r="CR27" s="116"/>
      <c r="CS27" s="116"/>
      <c r="CT27" s="116"/>
      <c r="CU27" s="116"/>
      <c r="CV27" s="116"/>
      <c r="CW27" s="116"/>
      <c r="CX27" s="116"/>
      <c r="CY27" s="116"/>
      <c r="CZ27" s="116"/>
      <c r="DA27" s="116"/>
      <c r="DB27" s="116"/>
      <c r="DC27" s="116"/>
      <c r="DD27" s="116"/>
      <c r="DE27" s="116"/>
      <c r="DF27" s="116"/>
      <c r="DG27" s="116"/>
      <c r="DH27" s="116"/>
      <c r="DI27" s="116"/>
      <c r="DJ27" s="116"/>
      <c r="DK27" s="116"/>
      <c r="DL27" s="116"/>
      <c r="DM27" s="116"/>
      <c r="DN27" s="116"/>
      <c r="DO27" s="116"/>
      <c r="DP27" s="116"/>
      <c r="DQ27" s="116"/>
      <c r="DR27" s="116"/>
      <c r="DS27" s="116"/>
      <c r="DT27" s="116"/>
      <c r="DU27" s="116"/>
      <c r="DV27" s="116"/>
      <c r="DW27" s="116"/>
      <c r="DX27" s="116"/>
      <c r="DY27" s="116"/>
      <c r="DZ27" s="116"/>
      <c r="EA27" s="116"/>
      <c r="EB27" s="116"/>
      <c r="EC27" s="116"/>
      <c r="ED27" s="116"/>
      <c r="EE27" s="116"/>
      <c r="EF27" s="116"/>
      <c r="EG27" s="116"/>
      <c r="EH27" s="116"/>
      <c r="EI27" s="116"/>
      <c r="EJ27" s="116"/>
      <c r="EK27" s="116"/>
      <c r="EL27" s="116"/>
      <c r="EM27" s="116"/>
      <c r="EN27" s="116"/>
      <c r="EO27" s="116"/>
      <c r="EP27" s="116"/>
      <c r="EQ27" s="116"/>
      <c r="ER27" s="116"/>
      <c r="ES27" s="116"/>
      <c r="ET27" s="116"/>
      <c r="EU27" s="116"/>
      <c r="EV27" s="116"/>
      <c r="EW27" s="116"/>
      <c r="EX27" s="116"/>
      <c r="EY27" s="116"/>
      <c r="EZ27" s="116"/>
      <c r="FA27" s="116"/>
      <c r="FB27" s="116"/>
      <c r="FC27" s="116"/>
      <c r="FD27" s="116"/>
      <c r="FE27" s="116"/>
      <c r="FF27" s="116"/>
      <c r="FG27" s="116"/>
      <c r="FH27" s="116"/>
      <c r="FI27" s="116"/>
      <c r="FJ27" s="116"/>
      <c r="FK27" s="116"/>
      <c r="FL27" s="116"/>
      <c r="FM27" s="116"/>
      <c r="FN27" s="116"/>
      <c r="FO27" s="116"/>
      <c r="FP27" s="116"/>
      <c r="FQ27" s="116"/>
      <c r="FR27" s="116"/>
      <c r="FS27" s="116"/>
      <c r="FT27" s="116"/>
      <c r="FU27" s="116"/>
      <c r="FV27" s="116"/>
      <c r="FW27" s="116"/>
      <c r="FX27" s="116"/>
      <c r="FY27" s="116"/>
      <c r="FZ27" s="116"/>
      <c r="GA27" s="116"/>
      <c r="GB27" s="116"/>
      <c r="GC27" s="116"/>
      <c r="GD27" s="116"/>
      <c r="GE27" s="116"/>
      <c r="GF27" s="116"/>
      <c r="GG27" s="116"/>
      <c r="GH27" s="116"/>
      <c r="GI27" s="116"/>
      <c r="GJ27" s="116"/>
      <c r="GK27" s="116"/>
      <c r="GL27" s="116"/>
      <c r="GM27" s="116"/>
      <c r="GN27" s="116"/>
      <c r="GO27" s="116"/>
      <c r="GP27" s="116"/>
      <c r="GQ27" s="116"/>
      <c r="GR27" s="116"/>
      <c r="GS27" s="116"/>
      <c r="GT27" s="116"/>
      <c r="GU27" s="116"/>
      <c r="GV27" s="116"/>
      <c r="GW27" s="116"/>
      <c r="GX27" s="116"/>
      <c r="GY27" s="116"/>
      <c r="GZ27" s="116"/>
      <c r="HA27" s="116"/>
      <c r="HB27" s="116"/>
      <c r="HC27" s="116"/>
      <c r="HD27" s="116"/>
      <c r="HE27" s="116"/>
      <c r="HF27" s="116"/>
      <c r="HG27" s="116"/>
      <c r="HH27" s="116"/>
      <c r="HI27" s="116"/>
      <c r="HJ27" s="116"/>
      <c r="HK27" s="116"/>
      <c r="HL27" s="116"/>
      <c r="HM27" s="116"/>
      <c r="HN27" s="116"/>
      <c r="HO27" s="116"/>
      <c r="HP27" s="116"/>
      <c r="HQ27" s="116"/>
      <c r="HR27" s="116"/>
      <c r="HS27" s="116"/>
      <c r="HT27" s="116"/>
      <c r="HU27" s="116"/>
      <c r="HV27" s="116"/>
      <c r="HW27" s="116"/>
      <c r="HX27" s="116"/>
      <c r="HY27" s="116"/>
      <c r="HZ27" s="116"/>
      <c r="IA27" s="116"/>
      <c r="IB27" s="116"/>
      <c r="IC27" s="116"/>
      <c r="ID27" s="116"/>
      <c r="IE27" s="116"/>
      <c r="IF27" s="116"/>
      <c r="IG27" s="116"/>
      <c r="IH27" s="116"/>
      <c r="II27" s="116"/>
      <c r="IJ27" s="116"/>
      <c r="IK27" s="116"/>
      <c r="IL27" s="116"/>
      <c r="IM27" s="116"/>
      <c r="IN27" s="116"/>
      <c r="IO27" s="116"/>
      <c r="IP27" s="116"/>
      <c r="IQ27" s="116"/>
      <c r="IR27" s="116"/>
      <c r="IS27" s="116"/>
      <c r="IT27" s="116"/>
      <c r="IU27" s="116"/>
      <c r="IV27" s="116"/>
      <c r="IW27" s="116"/>
      <c r="IX27" s="116"/>
      <c r="IY27" s="116"/>
      <c r="IZ27" s="116"/>
      <c r="JA27" s="116"/>
      <c r="JB27" s="116"/>
      <c r="JC27" s="116"/>
      <c r="JD27" s="116"/>
      <c r="JE27" s="116"/>
      <c r="JF27" s="116"/>
      <c r="JG27" s="116"/>
      <c r="JH27" s="116"/>
      <c r="JI27" s="116"/>
      <c r="JJ27" s="116"/>
      <c r="JK27" s="116"/>
      <c r="JL27" s="116"/>
      <c r="JM27" s="116"/>
      <c r="JN27" s="116"/>
      <c r="JO27" s="116"/>
      <c r="JP27" s="116"/>
      <c r="JQ27" s="116"/>
      <c r="JR27" s="116"/>
      <c r="JS27" s="116"/>
      <c r="JT27" s="116"/>
      <c r="JU27" s="116"/>
      <c r="JV27" s="116"/>
      <c r="JW27" s="116"/>
      <c r="JX27" s="116"/>
      <c r="JY27" s="116"/>
      <c r="JZ27" s="116"/>
      <c r="KA27" s="116"/>
      <c r="KB27" s="116"/>
      <c r="KC27" s="116"/>
      <c r="KD27" s="116"/>
      <c r="KE27" s="116"/>
      <c r="KF27" s="116"/>
      <c r="KG27" s="116"/>
      <c r="KH27" s="116"/>
      <c r="KI27" s="116"/>
      <c r="KJ27" s="116"/>
    </row>
    <row r="28" spans="1:296" s="5" customFormat="1" x14ac:dyDescent="0.3">
      <c r="A28" s="71" t="str">
        <f>+'[1]PRODUCTO NACIONAL'!$A$4</f>
        <v>M1</v>
      </c>
      <c r="B28" s="72" t="str">
        <f>VLOOKUP(A28,'[1]PRODUCTO NACIONAL'!$A$4:$R$161,6,FALSE)</f>
        <v>NYLON</v>
      </c>
      <c r="C28" s="73">
        <f>IFERROR(HLOOKUP(A28,[3]dimensiones_pdfs!$C$3:$Z$5,3,FALSE),0)</f>
        <v>2.9505187046354959</v>
      </c>
      <c r="D28" s="107">
        <f>VLOOKUP(A28,'[1]PRODUCTO NACIONAL'!$A$4:$R$161,18,FALSE)</f>
        <v>1.7899899999999995</v>
      </c>
      <c r="E28" s="5">
        <f t="shared" si="0"/>
        <v>-5.2813989761104896</v>
      </c>
      <c r="F28" s="22"/>
      <c r="H28"/>
      <c r="I28" s="28"/>
      <c r="J28" s="39"/>
      <c r="K28" s="70"/>
      <c r="L28" s="75"/>
      <c r="M28" s="127"/>
      <c r="N28" s="77"/>
      <c r="O28" s="165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6"/>
      <c r="CI28" s="116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/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  <c r="DM28" s="116"/>
      <c r="DN28" s="116"/>
      <c r="DO28" s="116"/>
      <c r="DP28" s="116"/>
      <c r="DQ28" s="116"/>
      <c r="DR28" s="116"/>
      <c r="DS28" s="116"/>
      <c r="DT28" s="116"/>
      <c r="DU28" s="116"/>
      <c r="DV28" s="116"/>
      <c r="DW28" s="116"/>
      <c r="DX28" s="116"/>
      <c r="DY28" s="116"/>
      <c r="DZ28" s="116"/>
      <c r="EA28" s="116"/>
      <c r="EB28" s="116"/>
      <c r="EC28" s="116"/>
      <c r="ED28" s="116"/>
      <c r="EE28" s="116"/>
      <c r="EF28" s="116"/>
      <c r="EG28" s="116"/>
      <c r="EH28" s="116"/>
      <c r="EI28" s="116"/>
      <c r="EJ28" s="116"/>
      <c r="EK28" s="116"/>
      <c r="EL28" s="116"/>
      <c r="EM28" s="116"/>
      <c r="EN28" s="116"/>
      <c r="EO28" s="116"/>
      <c r="EP28" s="116"/>
      <c r="EQ28" s="116"/>
      <c r="ER28" s="116"/>
      <c r="ES28" s="116"/>
      <c r="ET28" s="116"/>
      <c r="EU28" s="116"/>
      <c r="EV28" s="116"/>
      <c r="EW28" s="116"/>
      <c r="EX28" s="116"/>
      <c r="EY28" s="116"/>
      <c r="EZ28" s="116"/>
      <c r="FA28" s="116"/>
      <c r="FB28" s="116"/>
      <c r="FC28" s="116"/>
      <c r="FD28" s="116"/>
      <c r="FE28" s="116"/>
      <c r="FF28" s="116"/>
      <c r="FG28" s="116"/>
      <c r="FH28" s="116"/>
      <c r="FI28" s="116"/>
      <c r="FJ28" s="116"/>
      <c r="FK28" s="116"/>
      <c r="FL28" s="116"/>
      <c r="FM28" s="116"/>
      <c r="FN28" s="116"/>
      <c r="FO28" s="116"/>
      <c r="FP28" s="116"/>
      <c r="FQ28" s="116"/>
      <c r="FR28" s="116"/>
      <c r="FS28" s="116"/>
      <c r="FT28" s="116"/>
      <c r="FU28" s="116"/>
      <c r="FV28" s="116"/>
      <c r="FW28" s="116"/>
      <c r="FX28" s="116"/>
      <c r="FY28" s="116"/>
      <c r="FZ28" s="116"/>
      <c r="GA28" s="116"/>
      <c r="GB28" s="116"/>
      <c r="GC28" s="116"/>
      <c r="GD28" s="116"/>
      <c r="GE28" s="116"/>
      <c r="GF28" s="116"/>
      <c r="GG28" s="116"/>
      <c r="GH28" s="116"/>
      <c r="GI28" s="116"/>
      <c r="GJ28" s="116"/>
      <c r="GK28" s="116"/>
      <c r="GL28" s="116"/>
      <c r="GM28" s="116"/>
      <c r="GN28" s="116"/>
      <c r="GO28" s="116"/>
      <c r="GP28" s="116"/>
      <c r="GQ28" s="116"/>
      <c r="GR28" s="116"/>
      <c r="GS28" s="116"/>
      <c r="GT28" s="116"/>
      <c r="GU28" s="116"/>
      <c r="GV28" s="116"/>
      <c r="GW28" s="116"/>
      <c r="GX28" s="116"/>
      <c r="GY28" s="116"/>
      <c r="GZ28" s="116"/>
      <c r="HA28" s="116"/>
      <c r="HB28" s="116"/>
      <c r="HC28" s="116"/>
      <c r="HD28" s="116"/>
      <c r="HE28" s="116"/>
      <c r="HF28" s="116"/>
      <c r="HG28" s="116"/>
      <c r="HH28" s="116"/>
      <c r="HI28" s="116"/>
      <c r="HJ28" s="116"/>
      <c r="HK28" s="116"/>
      <c r="HL28" s="116"/>
      <c r="HM28" s="116"/>
      <c r="HN28" s="116"/>
      <c r="HO28" s="116"/>
      <c r="HP28" s="116"/>
      <c r="HQ28" s="116"/>
      <c r="HR28" s="116"/>
      <c r="HS28" s="116"/>
      <c r="HT28" s="116"/>
      <c r="HU28" s="116"/>
      <c r="HV28" s="116"/>
      <c r="HW28" s="116"/>
      <c r="HX28" s="116"/>
      <c r="HY28" s="116"/>
      <c r="HZ28" s="116"/>
      <c r="IA28" s="116"/>
      <c r="IB28" s="116"/>
      <c r="IC28" s="116"/>
      <c r="ID28" s="116"/>
      <c r="IE28" s="116"/>
      <c r="IF28" s="116"/>
      <c r="IG28" s="116"/>
      <c r="IH28" s="116"/>
      <c r="II28" s="116"/>
      <c r="IJ28" s="116"/>
      <c r="IK28" s="116"/>
      <c r="IL28" s="116"/>
      <c r="IM28" s="116"/>
      <c r="IN28" s="116"/>
      <c r="IO28" s="116"/>
      <c r="IP28" s="116"/>
      <c r="IQ28" s="116"/>
      <c r="IR28" s="116"/>
      <c r="IS28" s="116"/>
      <c r="IT28" s="116"/>
      <c r="IU28" s="116"/>
      <c r="IV28" s="116"/>
      <c r="IW28" s="116"/>
      <c r="IX28" s="116"/>
      <c r="IY28" s="116"/>
      <c r="IZ28" s="116"/>
      <c r="JA28" s="116"/>
      <c r="JB28" s="116"/>
      <c r="JC28" s="116"/>
      <c r="JD28" s="116"/>
      <c r="JE28" s="116"/>
      <c r="JF28" s="116"/>
      <c r="JG28" s="116"/>
      <c r="JH28" s="116"/>
      <c r="JI28" s="116"/>
      <c r="JJ28" s="116"/>
      <c r="JK28" s="116"/>
      <c r="JL28" s="116"/>
      <c r="JM28" s="116"/>
      <c r="JN28" s="116"/>
      <c r="JO28" s="116"/>
      <c r="JP28" s="116"/>
      <c r="JQ28" s="116"/>
      <c r="JR28" s="116"/>
      <c r="JS28" s="116"/>
      <c r="JT28" s="116"/>
      <c r="JU28" s="116"/>
      <c r="JV28" s="116"/>
      <c r="JW28" s="116"/>
      <c r="JX28" s="116"/>
      <c r="JY28" s="116"/>
      <c r="JZ28" s="116"/>
      <c r="KA28" s="116"/>
      <c r="KB28" s="116"/>
      <c r="KC28" s="116"/>
      <c r="KD28" s="116"/>
      <c r="KE28" s="116"/>
      <c r="KF28" s="116"/>
      <c r="KG28" s="116"/>
      <c r="KH28" s="116"/>
      <c r="KI28" s="116"/>
      <c r="KJ28" s="116"/>
    </row>
    <row r="29" spans="1:296" s="5" customFormat="1" x14ac:dyDescent="0.3">
      <c r="A29" s="71" t="s">
        <v>105</v>
      </c>
      <c r="B29" s="72" t="str">
        <f>VLOOKUP(A29,'[1]PRODUCTO NACIONAL'!$A$4:$R$161,6,FALSE)</f>
        <v>D2008 Rollo Jersy Spandex 1.80m x 275gr</v>
      </c>
      <c r="C29" s="73">
        <f>IFERROR(HLOOKUP(A29,[3]dimensiones_pdfs!$C$3:$Z$5,3,FALSE),0)</f>
        <v>3.674475660237055</v>
      </c>
      <c r="D29" s="107">
        <f>VLOOKUP(A29,'[1]PRODUCTO NACIONAL'!$A$4:$R$161,18,FALSE)</f>
        <v>3.4782608695652177</v>
      </c>
      <c r="E29" s="5">
        <f t="shared" si="0"/>
        <v>-12.780784905172366</v>
      </c>
      <c r="F29" s="22"/>
      <c r="H29"/>
      <c r="I29" s="28"/>
      <c r="J29" s="39"/>
      <c r="K29" s="70"/>
      <c r="L29" s="75"/>
      <c r="M29" s="127"/>
      <c r="N29" s="77"/>
      <c r="O29" s="165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  <c r="CF29" s="116"/>
      <c r="CG29" s="116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6"/>
      <c r="DE29" s="116"/>
      <c r="DF29" s="116"/>
      <c r="DG29" s="116"/>
      <c r="DH29" s="116"/>
      <c r="DI29" s="116"/>
      <c r="DJ29" s="116"/>
      <c r="DK29" s="116"/>
      <c r="DL29" s="116"/>
      <c r="DM29" s="116"/>
      <c r="DN29" s="116"/>
      <c r="DO29" s="116"/>
      <c r="DP29" s="116"/>
      <c r="DQ29" s="116"/>
      <c r="DR29" s="116"/>
      <c r="DS29" s="116"/>
      <c r="DT29" s="116"/>
      <c r="DU29" s="116"/>
      <c r="DV29" s="116"/>
      <c r="DW29" s="116"/>
      <c r="DX29" s="116"/>
      <c r="DY29" s="116"/>
      <c r="DZ29" s="116"/>
      <c r="EA29" s="116"/>
      <c r="EB29" s="116"/>
      <c r="EC29" s="116"/>
      <c r="ED29" s="116"/>
      <c r="EE29" s="116"/>
      <c r="EF29" s="116"/>
      <c r="EG29" s="116"/>
      <c r="EH29" s="116"/>
      <c r="EI29" s="116"/>
      <c r="EJ29" s="116"/>
      <c r="EK29" s="116"/>
      <c r="EL29" s="116"/>
      <c r="EM29" s="116"/>
      <c r="EN29" s="116"/>
      <c r="EO29" s="116"/>
      <c r="EP29" s="116"/>
      <c r="EQ29" s="116"/>
      <c r="ER29" s="116"/>
      <c r="ES29" s="116"/>
      <c r="ET29" s="116"/>
      <c r="EU29" s="116"/>
      <c r="EV29" s="116"/>
      <c r="EW29" s="116"/>
      <c r="EX29" s="116"/>
      <c r="EY29" s="116"/>
      <c r="EZ29" s="116"/>
      <c r="FA29" s="116"/>
      <c r="FB29" s="116"/>
      <c r="FC29" s="116"/>
      <c r="FD29" s="116"/>
      <c r="FE29" s="116"/>
      <c r="FF29" s="116"/>
      <c r="FG29" s="116"/>
      <c r="FH29" s="116"/>
      <c r="FI29" s="116"/>
      <c r="FJ29" s="116"/>
      <c r="FK29" s="116"/>
      <c r="FL29" s="116"/>
      <c r="FM29" s="116"/>
      <c r="FN29" s="116"/>
      <c r="FO29" s="116"/>
      <c r="FP29" s="116"/>
      <c r="FQ29" s="116"/>
      <c r="FR29" s="116"/>
      <c r="FS29" s="116"/>
      <c r="FT29" s="116"/>
      <c r="FU29" s="116"/>
      <c r="FV29" s="116"/>
      <c r="FW29" s="116"/>
      <c r="FX29" s="116"/>
      <c r="FY29" s="116"/>
      <c r="FZ29" s="116"/>
      <c r="GA29" s="116"/>
      <c r="GB29" s="116"/>
      <c r="GC29" s="116"/>
      <c r="GD29" s="116"/>
      <c r="GE29" s="116"/>
      <c r="GF29" s="116"/>
      <c r="GG29" s="116"/>
      <c r="GH29" s="116"/>
      <c r="GI29" s="116"/>
      <c r="GJ29" s="116"/>
      <c r="GK29" s="116"/>
      <c r="GL29" s="116"/>
      <c r="GM29" s="116"/>
      <c r="GN29" s="116"/>
      <c r="GO29" s="116"/>
      <c r="GP29" s="116"/>
      <c r="GQ29" s="116"/>
      <c r="GR29" s="116"/>
      <c r="GS29" s="116"/>
      <c r="GT29" s="116"/>
      <c r="GU29" s="116"/>
      <c r="GV29" s="116"/>
      <c r="GW29" s="116"/>
      <c r="GX29" s="116"/>
      <c r="GY29" s="116"/>
      <c r="GZ29" s="116"/>
      <c r="HA29" s="116"/>
      <c r="HB29" s="116"/>
      <c r="HC29" s="116"/>
      <c r="HD29" s="116"/>
      <c r="HE29" s="116"/>
      <c r="HF29" s="116"/>
      <c r="HG29" s="116"/>
      <c r="HH29" s="116"/>
      <c r="HI29" s="116"/>
      <c r="HJ29" s="116"/>
      <c r="HK29" s="116"/>
      <c r="HL29" s="116"/>
      <c r="HM29" s="116"/>
      <c r="HN29" s="116"/>
      <c r="HO29" s="116"/>
      <c r="HP29" s="116"/>
      <c r="HQ29" s="116"/>
      <c r="HR29" s="116"/>
      <c r="HS29" s="116"/>
      <c r="HT29" s="116"/>
      <c r="HU29" s="116"/>
      <c r="HV29" s="116"/>
      <c r="HW29" s="116"/>
      <c r="HX29" s="116"/>
      <c r="HY29" s="116"/>
      <c r="HZ29" s="116"/>
      <c r="IA29" s="116"/>
      <c r="IB29" s="116"/>
      <c r="IC29" s="116"/>
      <c r="ID29" s="116"/>
      <c r="IE29" s="116"/>
      <c r="IF29" s="116"/>
      <c r="IG29" s="116"/>
      <c r="IH29" s="116"/>
      <c r="II29" s="116"/>
      <c r="IJ29" s="116"/>
      <c r="IK29" s="116"/>
      <c r="IL29" s="116"/>
      <c r="IM29" s="116"/>
      <c r="IN29" s="116"/>
      <c r="IO29" s="116"/>
      <c r="IP29" s="116"/>
      <c r="IQ29" s="116"/>
      <c r="IR29" s="116"/>
      <c r="IS29" s="116"/>
      <c r="IT29" s="116"/>
      <c r="IU29" s="116"/>
      <c r="IV29" s="116"/>
      <c r="IW29" s="116"/>
      <c r="IX29" s="116"/>
      <c r="IY29" s="116"/>
      <c r="IZ29" s="116"/>
      <c r="JA29" s="116"/>
      <c r="JB29" s="116"/>
      <c r="JC29" s="116"/>
      <c r="JD29" s="116"/>
      <c r="JE29" s="116"/>
      <c r="JF29" s="116"/>
      <c r="JG29" s="116"/>
      <c r="JH29" s="116"/>
      <c r="JI29" s="116"/>
      <c r="JJ29" s="116"/>
      <c r="JK29" s="116"/>
      <c r="JL29" s="116"/>
      <c r="JM29" s="116"/>
      <c r="JN29" s="116"/>
      <c r="JO29" s="116"/>
      <c r="JP29" s="116"/>
      <c r="JQ29" s="116"/>
      <c r="JR29" s="116"/>
      <c r="JS29" s="116"/>
      <c r="JT29" s="116"/>
      <c r="JU29" s="116"/>
      <c r="JV29" s="116"/>
      <c r="JW29" s="116"/>
      <c r="JX29" s="116"/>
      <c r="JY29" s="116"/>
      <c r="JZ29" s="116"/>
      <c r="KA29" s="116"/>
      <c r="KB29" s="116"/>
      <c r="KC29" s="116"/>
      <c r="KD29" s="116"/>
      <c r="KE29" s="116"/>
      <c r="KF29" s="116"/>
      <c r="KG29" s="116"/>
      <c r="KH29" s="116"/>
      <c r="KI29" s="116"/>
      <c r="KJ29" s="116"/>
    </row>
    <row r="30" spans="1:296" s="5" customFormat="1" x14ac:dyDescent="0.3">
      <c r="A30" s="71" t="s">
        <v>106</v>
      </c>
      <c r="B30" s="72" t="str">
        <f>VLOOKUP(A30,'[1]PRODUCTO NACIONAL'!$A$4:$R$161,6,FALSE)</f>
        <v>NICO SPORT|BLANCO</v>
      </c>
      <c r="C30" s="73">
        <f>IFERROR(HLOOKUP(A30,[3]dimensiones_pdfs!$C$3:$Z$5,3,FALSE),0)</f>
        <v>0</v>
      </c>
      <c r="D30" s="107">
        <f>VLOOKUP(A30,'[1]PRODUCTO NACIONAL'!$A$4:$R$161,18,FALSE)</f>
        <v>2.3160000000000003</v>
      </c>
      <c r="E30" s="5">
        <f t="shared" si="0"/>
        <v>0</v>
      </c>
      <c r="F30" s="22"/>
      <c r="H30"/>
      <c r="I30" s="28"/>
      <c r="J30" s="39"/>
      <c r="K30" s="70"/>
      <c r="L30" s="75"/>
      <c r="M30" s="127"/>
      <c r="N30" s="77"/>
      <c r="O30" s="165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  <c r="CG30" s="116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  <c r="DM30" s="116"/>
      <c r="DN30" s="116"/>
      <c r="DO30" s="116"/>
      <c r="DP30" s="116"/>
      <c r="DQ30" s="116"/>
      <c r="DR30" s="116"/>
      <c r="DS30" s="116"/>
      <c r="DT30" s="116"/>
      <c r="DU30" s="116"/>
      <c r="DV30" s="116"/>
      <c r="DW30" s="116"/>
      <c r="DX30" s="116"/>
      <c r="DY30" s="116"/>
      <c r="DZ30" s="116"/>
      <c r="EA30" s="116"/>
      <c r="EB30" s="116"/>
      <c r="EC30" s="116"/>
      <c r="ED30" s="116"/>
      <c r="EE30" s="116"/>
      <c r="EF30" s="116"/>
      <c r="EG30" s="116"/>
      <c r="EH30" s="116"/>
      <c r="EI30" s="116"/>
      <c r="EJ30" s="116"/>
      <c r="EK30" s="116"/>
      <c r="EL30" s="116"/>
      <c r="EM30" s="116"/>
      <c r="EN30" s="116"/>
      <c r="EO30" s="116"/>
      <c r="EP30" s="116"/>
      <c r="EQ30" s="116"/>
      <c r="ER30" s="116"/>
      <c r="ES30" s="116"/>
      <c r="ET30" s="116"/>
      <c r="EU30" s="116"/>
      <c r="EV30" s="116"/>
      <c r="EW30" s="116"/>
      <c r="EX30" s="116"/>
      <c r="EY30" s="116"/>
      <c r="EZ30" s="116"/>
      <c r="FA30" s="116"/>
      <c r="FB30" s="116"/>
      <c r="FC30" s="116"/>
      <c r="FD30" s="116"/>
      <c r="FE30" s="116"/>
      <c r="FF30" s="116"/>
      <c r="FG30" s="116"/>
      <c r="FH30" s="116"/>
      <c r="FI30" s="116"/>
      <c r="FJ30" s="116"/>
      <c r="FK30" s="116"/>
      <c r="FL30" s="116"/>
      <c r="FM30" s="116"/>
      <c r="FN30" s="116"/>
      <c r="FO30" s="116"/>
      <c r="FP30" s="116"/>
      <c r="FQ30" s="116"/>
      <c r="FR30" s="116"/>
      <c r="FS30" s="116"/>
      <c r="FT30" s="116"/>
      <c r="FU30" s="116"/>
      <c r="FV30" s="116"/>
      <c r="FW30" s="116"/>
      <c r="FX30" s="116"/>
      <c r="FY30" s="116"/>
      <c r="FZ30" s="116"/>
      <c r="GA30" s="116"/>
      <c r="GB30" s="116"/>
      <c r="GC30" s="116"/>
      <c r="GD30" s="116"/>
      <c r="GE30" s="116"/>
      <c r="GF30" s="116"/>
      <c r="GG30" s="116"/>
      <c r="GH30" s="116"/>
      <c r="GI30" s="116"/>
      <c r="GJ30" s="116"/>
      <c r="GK30" s="116"/>
      <c r="GL30" s="116"/>
      <c r="GM30" s="116"/>
      <c r="GN30" s="116"/>
      <c r="GO30" s="116"/>
      <c r="GP30" s="116"/>
      <c r="GQ30" s="116"/>
      <c r="GR30" s="116"/>
      <c r="GS30" s="116"/>
      <c r="GT30" s="116"/>
      <c r="GU30" s="116"/>
      <c r="GV30" s="116"/>
      <c r="GW30" s="116"/>
      <c r="GX30" s="116"/>
      <c r="GY30" s="116"/>
      <c r="GZ30" s="116"/>
      <c r="HA30" s="116"/>
      <c r="HB30" s="116"/>
      <c r="HC30" s="116"/>
      <c r="HD30" s="116"/>
      <c r="HE30" s="116"/>
      <c r="HF30" s="116"/>
      <c r="HG30" s="116"/>
      <c r="HH30" s="116"/>
      <c r="HI30" s="116"/>
      <c r="HJ30" s="116"/>
      <c r="HK30" s="116"/>
      <c r="HL30" s="116"/>
      <c r="HM30" s="116"/>
      <c r="HN30" s="116"/>
      <c r="HO30" s="116"/>
      <c r="HP30" s="116"/>
      <c r="HQ30" s="116"/>
      <c r="HR30" s="116"/>
      <c r="HS30" s="116"/>
      <c r="HT30" s="116"/>
      <c r="HU30" s="116"/>
      <c r="HV30" s="116"/>
      <c r="HW30" s="116"/>
      <c r="HX30" s="116"/>
      <c r="HY30" s="116"/>
      <c r="HZ30" s="116"/>
      <c r="IA30" s="116"/>
      <c r="IB30" s="116"/>
      <c r="IC30" s="116"/>
      <c r="ID30" s="116"/>
      <c r="IE30" s="116"/>
      <c r="IF30" s="116"/>
      <c r="IG30" s="116"/>
      <c r="IH30" s="116"/>
      <c r="II30" s="116"/>
      <c r="IJ30" s="116"/>
      <c r="IK30" s="116"/>
      <c r="IL30" s="116"/>
      <c r="IM30" s="116"/>
      <c r="IN30" s="116"/>
      <c r="IO30" s="116"/>
      <c r="IP30" s="116"/>
      <c r="IQ30" s="116"/>
      <c r="IR30" s="116"/>
      <c r="IS30" s="116"/>
      <c r="IT30" s="116"/>
      <c r="IU30" s="116"/>
      <c r="IV30" s="116"/>
      <c r="IW30" s="116"/>
      <c r="IX30" s="116"/>
      <c r="IY30" s="116"/>
      <c r="IZ30" s="116"/>
      <c r="JA30" s="116"/>
      <c r="JB30" s="116"/>
      <c r="JC30" s="116"/>
      <c r="JD30" s="116"/>
      <c r="JE30" s="116"/>
      <c r="JF30" s="116"/>
      <c r="JG30" s="116"/>
      <c r="JH30" s="116"/>
      <c r="JI30" s="116"/>
      <c r="JJ30" s="116"/>
      <c r="JK30" s="116"/>
      <c r="JL30" s="116"/>
      <c r="JM30" s="116"/>
      <c r="JN30" s="116"/>
      <c r="JO30" s="116"/>
      <c r="JP30" s="116"/>
      <c r="JQ30" s="116"/>
      <c r="JR30" s="116"/>
      <c r="JS30" s="116"/>
      <c r="JT30" s="116"/>
      <c r="JU30" s="116"/>
      <c r="JV30" s="116"/>
      <c r="JW30" s="116"/>
      <c r="JX30" s="116"/>
      <c r="JY30" s="116"/>
      <c r="JZ30" s="116"/>
      <c r="KA30" s="116"/>
      <c r="KB30" s="116"/>
      <c r="KC30" s="116"/>
      <c r="KD30" s="116"/>
      <c r="KE30" s="116"/>
      <c r="KF30" s="116"/>
      <c r="KG30" s="116"/>
      <c r="KH30" s="116"/>
      <c r="KI30" s="116"/>
      <c r="KJ30" s="116"/>
    </row>
    <row r="31" spans="1:296" s="5" customFormat="1" x14ac:dyDescent="0.3">
      <c r="A31" s="71" t="s">
        <v>107</v>
      </c>
      <c r="B31" s="72" t="str">
        <f>VLOOKUP(A31,'[1]PRODUCTO NACIONAL'!$A$4:$R$161,6,FALSE)</f>
        <v>MURRAY|BLANCA</v>
      </c>
      <c r="C31" s="73">
        <f>IFERROR(HLOOKUP(A31,[3]dimensiones_pdfs!$C$3:$Z$5,3,FALSE),0)</f>
        <v>0</v>
      </c>
      <c r="D31" s="107">
        <f>VLOOKUP(A31,'[1]PRODUCTO NACIONAL'!$A$4:$R$161,18,FALSE)</f>
        <v>2.2825013023320428</v>
      </c>
      <c r="E31" s="5">
        <f t="shared" si="0"/>
        <v>0</v>
      </c>
      <c r="F31" s="22"/>
      <c r="H31"/>
      <c r="I31" s="28"/>
      <c r="J31" s="39"/>
      <c r="K31" s="70"/>
      <c r="L31" s="75"/>
      <c r="M31" s="127"/>
      <c r="N31" s="77"/>
      <c r="O31" s="165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6"/>
      <c r="CG31" s="116"/>
      <c r="CH31" s="116"/>
      <c r="CI31" s="116"/>
      <c r="CJ31" s="116"/>
      <c r="CK31" s="116"/>
      <c r="CL31" s="116"/>
      <c r="CM31" s="116"/>
      <c r="CN31" s="116"/>
      <c r="CO31" s="116"/>
      <c r="CP31" s="116"/>
      <c r="CQ31" s="116"/>
      <c r="CR31" s="116"/>
      <c r="CS31" s="116"/>
      <c r="CT31" s="116"/>
      <c r="CU31" s="116"/>
      <c r="CV31" s="116"/>
      <c r="CW31" s="116"/>
      <c r="CX31" s="116"/>
      <c r="CY31" s="116"/>
      <c r="CZ31" s="116"/>
      <c r="DA31" s="116"/>
      <c r="DB31" s="116"/>
      <c r="DC31" s="116"/>
      <c r="DD31" s="116"/>
      <c r="DE31" s="116"/>
      <c r="DF31" s="116"/>
      <c r="DG31" s="116"/>
      <c r="DH31" s="116"/>
      <c r="DI31" s="116"/>
      <c r="DJ31" s="116"/>
      <c r="DK31" s="116"/>
      <c r="DL31" s="116"/>
      <c r="DM31" s="116"/>
      <c r="DN31" s="116"/>
      <c r="DO31" s="116"/>
      <c r="DP31" s="116"/>
      <c r="DQ31" s="116"/>
      <c r="DR31" s="116"/>
      <c r="DS31" s="116"/>
      <c r="DT31" s="116"/>
      <c r="DU31" s="116"/>
      <c r="DV31" s="116"/>
      <c r="DW31" s="116"/>
      <c r="DX31" s="116"/>
      <c r="DY31" s="116"/>
      <c r="DZ31" s="116"/>
      <c r="EA31" s="116"/>
      <c r="EB31" s="116"/>
      <c r="EC31" s="116"/>
      <c r="ED31" s="116"/>
      <c r="EE31" s="116"/>
      <c r="EF31" s="116"/>
      <c r="EG31" s="116"/>
      <c r="EH31" s="116"/>
      <c r="EI31" s="116"/>
      <c r="EJ31" s="116"/>
      <c r="EK31" s="116"/>
      <c r="EL31" s="116"/>
      <c r="EM31" s="116"/>
      <c r="EN31" s="116"/>
      <c r="EO31" s="116"/>
      <c r="EP31" s="116"/>
      <c r="EQ31" s="116"/>
      <c r="ER31" s="116"/>
      <c r="ES31" s="116"/>
      <c r="ET31" s="116"/>
      <c r="EU31" s="116"/>
      <c r="EV31" s="116"/>
      <c r="EW31" s="116"/>
      <c r="EX31" s="116"/>
      <c r="EY31" s="116"/>
      <c r="EZ31" s="116"/>
      <c r="FA31" s="116"/>
      <c r="FB31" s="116"/>
      <c r="FC31" s="116"/>
      <c r="FD31" s="116"/>
      <c r="FE31" s="116"/>
      <c r="FF31" s="116"/>
      <c r="FG31" s="116"/>
      <c r="FH31" s="116"/>
      <c r="FI31" s="116"/>
      <c r="FJ31" s="116"/>
      <c r="FK31" s="116"/>
      <c r="FL31" s="116"/>
      <c r="FM31" s="116"/>
      <c r="FN31" s="116"/>
      <c r="FO31" s="116"/>
      <c r="FP31" s="116"/>
      <c r="FQ31" s="116"/>
      <c r="FR31" s="116"/>
      <c r="FS31" s="116"/>
      <c r="FT31" s="116"/>
      <c r="FU31" s="116"/>
      <c r="FV31" s="116"/>
      <c r="FW31" s="116"/>
      <c r="FX31" s="116"/>
      <c r="FY31" s="116"/>
      <c r="FZ31" s="116"/>
      <c r="GA31" s="116"/>
      <c r="GB31" s="116"/>
      <c r="GC31" s="116"/>
      <c r="GD31" s="116"/>
      <c r="GE31" s="116"/>
      <c r="GF31" s="116"/>
      <c r="GG31" s="116"/>
      <c r="GH31" s="116"/>
      <c r="GI31" s="116"/>
      <c r="GJ31" s="116"/>
      <c r="GK31" s="116"/>
      <c r="GL31" s="116"/>
      <c r="GM31" s="116"/>
      <c r="GN31" s="116"/>
      <c r="GO31" s="116"/>
      <c r="GP31" s="116"/>
      <c r="GQ31" s="116"/>
      <c r="GR31" s="116"/>
      <c r="GS31" s="116"/>
      <c r="GT31" s="116"/>
      <c r="GU31" s="116"/>
      <c r="GV31" s="116"/>
      <c r="GW31" s="116"/>
      <c r="GX31" s="116"/>
      <c r="GY31" s="116"/>
      <c r="GZ31" s="116"/>
      <c r="HA31" s="116"/>
      <c r="HB31" s="116"/>
      <c r="HC31" s="116"/>
      <c r="HD31" s="116"/>
      <c r="HE31" s="116"/>
      <c r="HF31" s="116"/>
      <c r="HG31" s="116"/>
      <c r="HH31" s="116"/>
      <c r="HI31" s="116"/>
      <c r="HJ31" s="116"/>
      <c r="HK31" s="116"/>
      <c r="HL31" s="116"/>
      <c r="HM31" s="116"/>
      <c r="HN31" s="116"/>
      <c r="HO31" s="116"/>
      <c r="HP31" s="116"/>
      <c r="HQ31" s="116"/>
      <c r="HR31" s="116"/>
      <c r="HS31" s="116"/>
      <c r="HT31" s="116"/>
      <c r="HU31" s="116"/>
      <c r="HV31" s="116"/>
      <c r="HW31" s="116"/>
      <c r="HX31" s="116"/>
      <c r="HY31" s="116"/>
      <c r="HZ31" s="116"/>
      <c r="IA31" s="116"/>
      <c r="IB31" s="116"/>
      <c r="IC31" s="116"/>
      <c r="ID31" s="116"/>
      <c r="IE31" s="116"/>
      <c r="IF31" s="116"/>
      <c r="IG31" s="116"/>
      <c r="IH31" s="116"/>
      <c r="II31" s="116"/>
      <c r="IJ31" s="116"/>
      <c r="IK31" s="116"/>
      <c r="IL31" s="116"/>
      <c r="IM31" s="116"/>
      <c r="IN31" s="116"/>
      <c r="IO31" s="116"/>
      <c r="IP31" s="116"/>
      <c r="IQ31" s="116"/>
      <c r="IR31" s="116"/>
      <c r="IS31" s="116"/>
      <c r="IT31" s="116"/>
      <c r="IU31" s="116"/>
      <c r="IV31" s="116"/>
      <c r="IW31" s="116"/>
      <c r="IX31" s="116"/>
      <c r="IY31" s="116"/>
      <c r="IZ31" s="116"/>
      <c r="JA31" s="116"/>
      <c r="JB31" s="116"/>
      <c r="JC31" s="116"/>
      <c r="JD31" s="116"/>
      <c r="JE31" s="116"/>
      <c r="JF31" s="116"/>
      <c r="JG31" s="116"/>
      <c r="JH31" s="116"/>
      <c r="JI31" s="116"/>
      <c r="JJ31" s="116"/>
      <c r="JK31" s="116"/>
      <c r="JL31" s="116"/>
      <c r="JM31" s="116"/>
      <c r="JN31" s="116"/>
      <c r="JO31" s="116"/>
      <c r="JP31" s="116"/>
      <c r="JQ31" s="116"/>
      <c r="JR31" s="116"/>
      <c r="JS31" s="116"/>
      <c r="JT31" s="116"/>
      <c r="JU31" s="116"/>
      <c r="JV31" s="116"/>
      <c r="JW31" s="116"/>
      <c r="JX31" s="116"/>
      <c r="JY31" s="116"/>
      <c r="JZ31" s="116"/>
      <c r="KA31" s="116"/>
      <c r="KB31" s="116"/>
      <c r="KC31" s="116"/>
      <c r="KD31" s="116"/>
      <c r="KE31" s="116"/>
      <c r="KF31" s="116"/>
      <c r="KG31" s="116"/>
      <c r="KH31" s="116"/>
      <c r="KI31" s="116"/>
      <c r="KJ31" s="116"/>
    </row>
    <row r="32" spans="1:296" s="5" customFormat="1" x14ac:dyDescent="0.3">
      <c r="A32" s="71" t="s">
        <v>108</v>
      </c>
      <c r="B32" s="72" t="str">
        <f>VLOOKUP(A32,'[1]PRODUCTO NACIONAL'!$A$4:$R$161,6,FALSE)</f>
        <v>Rollo de Galeon 150 ancho</v>
      </c>
      <c r="C32" s="73">
        <f>IFERROR(HLOOKUP(A32,[3]dimensiones_pdfs!$C$3:$Z$5,3,FALSE),0)</f>
        <v>2.0199997655497999</v>
      </c>
      <c r="D32" s="107">
        <f>VLOOKUP(A32,'[1]PRODUCTO NACIONAL'!$A$4:$R$161,18,FALSE)</f>
        <v>0.77499999999999991</v>
      </c>
      <c r="E32" s="5">
        <f t="shared" si="0"/>
        <v>-1.5654998183010946</v>
      </c>
      <c r="F32" s="22"/>
      <c r="H32"/>
      <c r="I32" s="28"/>
      <c r="J32" s="39"/>
      <c r="K32" s="70"/>
      <c r="L32" s="75"/>
      <c r="M32" s="127"/>
      <c r="N32" s="77"/>
      <c r="O32" s="165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  <c r="DM32" s="116"/>
      <c r="DN32" s="116"/>
      <c r="DO32" s="116"/>
      <c r="DP32" s="116"/>
      <c r="DQ32" s="116"/>
      <c r="DR32" s="116"/>
      <c r="DS32" s="116"/>
      <c r="DT32" s="116"/>
      <c r="DU32" s="116"/>
      <c r="DV32" s="116"/>
      <c r="DW32" s="116"/>
      <c r="DX32" s="116"/>
      <c r="DY32" s="116"/>
      <c r="DZ32" s="116"/>
      <c r="EA32" s="116"/>
      <c r="EB32" s="116"/>
      <c r="EC32" s="116"/>
      <c r="ED32" s="116"/>
      <c r="EE32" s="116"/>
      <c r="EF32" s="116"/>
      <c r="EG32" s="116"/>
      <c r="EH32" s="116"/>
      <c r="EI32" s="116"/>
      <c r="EJ32" s="116"/>
      <c r="EK32" s="116"/>
      <c r="EL32" s="116"/>
      <c r="EM32" s="116"/>
      <c r="EN32" s="116"/>
      <c r="EO32" s="116"/>
      <c r="EP32" s="116"/>
      <c r="EQ32" s="116"/>
      <c r="ER32" s="116"/>
      <c r="ES32" s="116"/>
      <c r="ET32" s="116"/>
      <c r="EU32" s="116"/>
      <c r="EV32" s="116"/>
      <c r="EW32" s="116"/>
      <c r="EX32" s="116"/>
      <c r="EY32" s="116"/>
      <c r="EZ32" s="116"/>
      <c r="FA32" s="116"/>
      <c r="FB32" s="116"/>
      <c r="FC32" s="116"/>
      <c r="FD32" s="116"/>
      <c r="FE32" s="116"/>
      <c r="FF32" s="116"/>
      <c r="FG32" s="116"/>
      <c r="FH32" s="116"/>
      <c r="FI32" s="116"/>
      <c r="FJ32" s="116"/>
      <c r="FK32" s="116"/>
      <c r="FL32" s="116"/>
      <c r="FM32" s="116"/>
      <c r="FN32" s="116"/>
      <c r="FO32" s="116"/>
      <c r="FP32" s="116"/>
      <c r="FQ32" s="116"/>
      <c r="FR32" s="116"/>
      <c r="FS32" s="116"/>
      <c r="FT32" s="116"/>
      <c r="FU32" s="116"/>
      <c r="FV32" s="116"/>
      <c r="FW32" s="116"/>
      <c r="FX32" s="116"/>
      <c r="FY32" s="116"/>
      <c r="FZ32" s="116"/>
      <c r="GA32" s="116"/>
      <c r="GB32" s="116"/>
      <c r="GC32" s="116"/>
      <c r="GD32" s="116"/>
      <c r="GE32" s="116"/>
      <c r="GF32" s="116"/>
      <c r="GG32" s="116"/>
      <c r="GH32" s="116"/>
      <c r="GI32" s="116"/>
      <c r="GJ32" s="116"/>
      <c r="GK32" s="116"/>
      <c r="GL32" s="116"/>
      <c r="GM32" s="116"/>
      <c r="GN32" s="116"/>
      <c r="GO32" s="116"/>
      <c r="GP32" s="116"/>
      <c r="GQ32" s="116"/>
      <c r="GR32" s="116"/>
      <c r="GS32" s="116"/>
      <c r="GT32" s="116"/>
      <c r="GU32" s="116"/>
      <c r="GV32" s="116"/>
      <c r="GW32" s="116"/>
      <c r="GX32" s="116"/>
      <c r="GY32" s="116"/>
      <c r="GZ32" s="116"/>
      <c r="HA32" s="116"/>
      <c r="HB32" s="116"/>
      <c r="HC32" s="116"/>
      <c r="HD32" s="116"/>
      <c r="HE32" s="116"/>
      <c r="HF32" s="116"/>
      <c r="HG32" s="116"/>
      <c r="HH32" s="116"/>
      <c r="HI32" s="116"/>
      <c r="HJ32" s="116"/>
      <c r="HK32" s="116"/>
      <c r="HL32" s="116"/>
      <c r="HM32" s="116"/>
      <c r="HN32" s="116"/>
      <c r="HO32" s="116"/>
      <c r="HP32" s="116"/>
      <c r="HQ32" s="116"/>
      <c r="HR32" s="116"/>
      <c r="HS32" s="116"/>
      <c r="HT32" s="116"/>
      <c r="HU32" s="116"/>
      <c r="HV32" s="116"/>
      <c r="HW32" s="116"/>
      <c r="HX32" s="116"/>
      <c r="HY32" s="116"/>
      <c r="HZ32" s="116"/>
      <c r="IA32" s="116"/>
      <c r="IB32" s="116"/>
      <c r="IC32" s="116"/>
      <c r="ID32" s="116"/>
      <c r="IE32" s="116"/>
      <c r="IF32" s="116"/>
      <c r="IG32" s="116"/>
      <c r="IH32" s="116"/>
      <c r="II32" s="116"/>
      <c r="IJ32" s="116"/>
      <c r="IK32" s="116"/>
      <c r="IL32" s="116"/>
      <c r="IM32" s="116"/>
      <c r="IN32" s="116"/>
      <c r="IO32" s="116"/>
      <c r="IP32" s="116"/>
      <c r="IQ32" s="116"/>
      <c r="IR32" s="116"/>
      <c r="IS32" s="116"/>
      <c r="IT32" s="116"/>
      <c r="IU32" s="116"/>
      <c r="IV32" s="116"/>
      <c r="IW32" s="116"/>
      <c r="IX32" s="116"/>
      <c r="IY32" s="116"/>
      <c r="IZ32" s="116"/>
      <c r="JA32" s="116"/>
      <c r="JB32" s="116"/>
      <c r="JC32" s="116"/>
      <c r="JD32" s="116"/>
      <c r="JE32" s="116"/>
      <c r="JF32" s="116"/>
      <c r="JG32" s="116"/>
      <c r="JH32" s="116"/>
      <c r="JI32" s="116"/>
      <c r="JJ32" s="116"/>
      <c r="JK32" s="116"/>
      <c r="JL32" s="116"/>
      <c r="JM32" s="116"/>
      <c r="JN32" s="116"/>
      <c r="JO32" s="116"/>
      <c r="JP32" s="116"/>
      <c r="JQ32" s="116"/>
      <c r="JR32" s="116"/>
      <c r="JS32" s="116"/>
      <c r="JT32" s="116"/>
      <c r="JU32" s="116"/>
      <c r="JV32" s="116"/>
      <c r="JW32" s="116"/>
      <c r="JX32" s="116"/>
      <c r="JY32" s="116"/>
      <c r="JZ32" s="116"/>
      <c r="KA32" s="116"/>
      <c r="KB32" s="116"/>
      <c r="KC32" s="116"/>
      <c r="KD32" s="116"/>
      <c r="KE32" s="116"/>
      <c r="KF32" s="116"/>
      <c r="KG32" s="116"/>
      <c r="KH32" s="116"/>
      <c r="KI32" s="116"/>
      <c r="KJ32" s="116"/>
    </row>
    <row r="33" spans="1:296" s="39" customFormat="1" x14ac:dyDescent="0.3">
      <c r="A33" s="71" t="s">
        <v>114</v>
      </c>
      <c r="B33" s="72" t="str">
        <f>VLOOKUP(A33,'[1]PRODUCTO NACIONAL'!$A$4:$R$161,6,FALSE)</f>
        <v>PIEL DE DURAZNO</v>
      </c>
      <c r="C33" s="73">
        <f>IFERROR(HLOOKUP(A33,[3]dimensiones_pdfs!$C$3:$Z$5,3,FALSE),0)</f>
        <v>0</v>
      </c>
      <c r="D33" s="107">
        <f>VLOOKUP(A33,'[1]PRODUCTO NACIONAL'!$A$4:$R$161,18,FALSE)</f>
        <v>2.5</v>
      </c>
      <c r="E33" s="5">
        <f t="shared" si="0"/>
        <v>0</v>
      </c>
      <c r="F33" s="22"/>
      <c r="G33" s="5"/>
      <c r="H33"/>
      <c r="I33" s="28"/>
      <c r="K33" s="70"/>
      <c r="L33" s="75"/>
      <c r="M33" s="127"/>
      <c r="N33" s="77"/>
      <c r="O33" s="164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DZ33" s="100"/>
      <c r="EA33" s="100"/>
      <c r="EB33" s="100"/>
      <c r="EC33" s="100"/>
      <c r="ED33" s="100"/>
      <c r="EE33" s="100"/>
      <c r="EF33" s="100"/>
      <c r="EG33" s="100"/>
      <c r="EH33" s="100"/>
      <c r="EI33" s="100"/>
      <c r="EJ33" s="100"/>
      <c r="EK33" s="100"/>
      <c r="EL33" s="100"/>
      <c r="EM33" s="100"/>
      <c r="EN33" s="100"/>
      <c r="EO33" s="100"/>
      <c r="EP33" s="100"/>
      <c r="EQ33" s="100"/>
      <c r="ER33" s="100"/>
      <c r="ES33" s="100"/>
      <c r="ET33" s="100"/>
      <c r="EU33" s="100"/>
      <c r="EV33" s="100"/>
      <c r="EW33" s="100"/>
      <c r="EX33" s="100"/>
      <c r="EY33" s="100"/>
      <c r="EZ33" s="100"/>
      <c r="FA33" s="100"/>
      <c r="FB33" s="100"/>
      <c r="FC33" s="100"/>
      <c r="FD33" s="100"/>
      <c r="FE33" s="100"/>
      <c r="FF33" s="100"/>
      <c r="FG33" s="100"/>
      <c r="FH33" s="100"/>
      <c r="FI33" s="100"/>
      <c r="FJ33" s="100"/>
      <c r="FK33" s="100"/>
      <c r="FL33" s="100"/>
      <c r="FM33" s="100"/>
      <c r="FN33" s="100"/>
      <c r="FO33" s="100"/>
      <c r="FP33" s="100"/>
      <c r="FQ33" s="100"/>
      <c r="FR33" s="100"/>
      <c r="FS33" s="100"/>
      <c r="FT33" s="100"/>
      <c r="FU33" s="100"/>
      <c r="FV33" s="100"/>
      <c r="FW33" s="100"/>
      <c r="FX33" s="100"/>
      <c r="FY33" s="100"/>
      <c r="FZ33" s="100"/>
      <c r="GA33" s="100"/>
      <c r="GB33" s="100"/>
      <c r="GC33" s="100"/>
      <c r="GD33" s="100"/>
      <c r="GE33" s="100"/>
      <c r="GF33" s="100"/>
      <c r="GG33" s="100"/>
      <c r="GH33" s="100"/>
      <c r="GI33" s="100"/>
      <c r="GJ33" s="100"/>
      <c r="GK33" s="100"/>
      <c r="GL33" s="100"/>
      <c r="GM33" s="100"/>
      <c r="GN33" s="100"/>
      <c r="GO33" s="100"/>
      <c r="GP33" s="100"/>
      <c r="GQ33" s="100"/>
      <c r="GR33" s="100"/>
      <c r="GS33" s="100"/>
      <c r="GT33" s="100"/>
      <c r="GU33" s="100"/>
      <c r="GV33" s="100"/>
      <c r="GW33" s="100"/>
      <c r="GX33" s="100"/>
      <c r="GY33" s="100"/>
      <c r="GZ33" s="100"/>
      <c r="HA33" s="100"/>
      <c r="HB33" s="100"/>
      <c r="HC33" s="100"/>
      <c r="HD33" s="100"/>
      <c r="HE33" s="100"/>
      <c r="HF33" s="100"/>
      <c r="HG33" s="100"/>
      <c r="HH33" s="100"/>
      <c r="HI33" s="100"/>
      <c r="HJ33" s="100"/>
      <c r="HK33" s="100"/>
      <c r="HL33" s="100"/>
      <c r="HM33" s="100"/>
      <c r="HN33" s="100"/>
      <c r="HO33" s="100"/>
      <c r="HP33" s="100"/>
      <c r="HQ33" s="100"/>
      <c r="HR33" s="100"/>
      <c r="HS33" s="100"/>
      <c r="HT33" s="100"/>
      <c r="HU33" s="100"/>
      <c r="HV33" s="100"/>
      <c r="HW33" s="100"/>
      <c r="HX33" s="100"/>
      <c r="HY33" s="100"/>
      <c r="HZ33" s="100"/>
      <c r="IA33" s="100"/>
      <c r="IB33" s="100"/>
      <c r="IC33" s="100"/>
      <c r="ID33" s="100"/>
      <c r="IE33" s="100"/>
      <c r="IF33" s="100"/>
      <c r="IG33" s="100"/>
      <c r="IH33" s="100"/>
      <c r="II33" s="100"/>
      <c r="IJ33" s="100"/>
      <c r="IK33" s="100"/>
      <c r="IL33" s="100"/>
      <c r="IM33" s="100"/>
      <c r="IN33" s="100"/>
      <c r="IO33" s="100"/>
      <c r="IP33" s="100"/>
      <c r="IQ33" s="100"/>
      <c r="IR33" s="100"/>
      <c r="IS33" s="100"/>
      <c r="IT33" s="100"/>
      <c r="IU33" s="100"/>
      <c r="IV33" s="100"/>
      <c r="IW33" s="100"/>
      <c r="IX33" s="100"/>
      <c r="IY33" s="100"/>
      <c r="IZ33" s="100"/>
      <c r="JA33" s="100"/>
      <c r="JB33" s="100"/>
      <c r="JC33" s="100"/>
      <c r="JD33" s="100"/>
      <c r="JE33" s="100"/>
      <c r="JF33" s="100"/>
      <c r="JG33" s="100"/>
      <c r="JH33" s="100"/>
      <c r="JI33" s="100"/>
      <c r="JJ33" s="100"/>
      <c r="JK33" s="100"/>
      <c r="JL33" s="100"/>
      <c r="JM33" s="100"/>
      <c r="JN33" s="100"/>
      <c r="JO33" s="100"/>
      <c r="JP33" s="100"/>
      <c r="JQ33" s="100"/>
      <c r="JR33" s="100"/>
      <c r="JS33" s="100"/>
      <c r="JT33" s="100"/>
      <c r="JU33" s="100"/>
      <c r="JV33" s="100"/>
      <c r="JW33" s="100"/>
      <c r="JX33" s="100"/>
      <c r="JY33" s="100"/>
      <c r="JZ33" s="100"/>
      <c r="KA33" s="100"/>
      <c r="KB33" s="100"/>
      <c r="KC33" s="100"/>
      <c r="KD33" s="100"/>
      <c r="KE33" s="100"/>
      <c r="KF33" s="100"/>
      <c r="KG33" s="100"/>
      <c r="KH33" s="100"/>
      <c r="KI33" s="100"/>
      <c r="KJ33" s="100"/>
    </row>
    <row r="34" spans="1:296" s="39" customFormat="1" x14ac:dyDescent="0.3">
      <c r="A34" s="71" t="s">
        <v>115</v>
      </c>
      <c r="B34" s="72" t="str">
        <f>VLOOKUP(A34,'[1]PRODUCTO NACIONAL'!$A$4:$R$161,6,FALSE)</f>
        <v>D2002 Rollo Ernest 1.70m x 140gr</v>
      </c>
      <c r="C34" s="73">
        <f>IFERROR(HLOOKUP(A34,[3]dimensiones_pdfs!$C$3:$Z$5,3,FALSE),0)</f>
        <v>110.70056855495802</v>
      </c>
      <c r="D34" s="107">
        <f>VLOOKUP(A34,'[1]PRODUCTO NACIONAL'!$A$4:$R$161,18,FALSE)</f>
        <v>1.4285714285714286</v>
      </c>
      <c r="E34" s="5">
        <f t="shared" si="0"/>
        <v>-158.14366936422576</v>
      </c>
      <c r="F34" s="22"/>
      <c r="G34" s="5"/>
      <c r="H34"/>
      <c r="I34" s="28"/>
      <c r="K34" s="70"/>
      <c r="L34" s="75"/>
      <c r="M34" s="127"/>
      <c r="N34" s="77"/>
      <c r="O34" s="164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00"/>
      <c r="CX34" s="100"/>
      <c r="CY34" s="100"/>
      <c r="CZ34" s="100"/>
      <c r="DA34" s="100"/>
      <c r="DB34" s="100"/>
      <c r="DC34" s="100"/>
      <c r="DD34" s="100"/>
      <c r="DE34" s="100"/>
      <c r="DF34" s="100"/>
      <c r="DG34" s="100"/>
      <c r="DH34" s="100"/>
      <c r="DI34" s="100"/>
      <c r="DJ34" s="100"/>
      <c r="DK34" s="100"/>
      <c r="DL34" s="100"/>
      <c r="DM34" s="100"/>
      <c r="DN34" s="100"/>
      <c r="DO34" s="100"/>
      <c r="DP34" s="100"/>
      <c r="DQ34" s="100"/>
      <c r="DR34" s="100"/>
      <c r="DS34" s="100"/>
      <c r="DT34" s="100"/>
      <c r="DU34" s="100"/>
      <c r="DV34" s="100"/>
      <c r="DW34" s="100"/>
      <c r="DX34" s="100"/>
      <c r="DY34" s="100"/>
      <c r="DZ34" s="100"/>
      <c r="EA34" s="100"/>
      <c r="EB34" s="100"/>
      <c r="EC34" s="100"/>
      <c r="ED34" s="100"/>
      <c r="EE34" s="100"/>
      <c r="EF34" s="100"/>
      <c r="EG34" s="100"/>
      <c r="EH34" s="100"/>
      <c r="EI34" s="100"/>
      <c r="EJ34" s="100"/>
      <c r="EK34" s="100"/>
      <c r="EL34" s="100"/>
      <c r="EM34" s="100"/>
      <c r="EN34" s="100"/>
      <c r="EO34" s="100"/>
      <c r="EP34" s="100"/>
      <c r="EQ34" s="100"/>
      <c r="ER34" s="100"/>
      <c r="ES34" s="100"/>
      <c r="ET34" s="100"/>
      <c r="EU34" s="100"/>
      <c r="EV34" s="100"/>
      <c r="EW34" s="100"/>
      <c r="EX34" s="100"/>
      <c r="EY34" s="100"/>
      <c r="EZ34" s="100"/>
      <c r="FA34" s="100"/>
      <c r="FB34" s="100"/>
      <c r="FC34" s="100"/>
      <c r="FD34" s="100"/>
      <c r="FE34" s="100"/>
      <c r="FF34" s="100"/>
      <c r="FG34" s="100"/>
      <c r="FH34" s="100"/>
      <c r="FI34" s="100"/>
      <c r="FJ34" s="100"/>
      <c r="FK34" s="100"/>
      <c r="FL34" s="100"/>
      <c r="FM34" s="100"/>
      <c r="FN34" s="100"/>
      <c r="FO34" s="100"/>
      <c r="FP34" s="100"/>
      <c r="FQ34" s="100"/>
      <c r="FR34" s="100"/>
      <c r="FS34" s="100"/>
      <c r="FT34" s="100"/>
      <c r="FU34" s="100"/>
      <c r="FV34" s="100"/>
      <c r="FW34" s="100"/>
      <c r="FX34" s="100"/>
      <c r="FY34" s="100"/>
      <c r="FZ34" s="100"/>
      <c r="GA34" s="100"/>
      <c r="GB34" s="100"/>
      <c r="GC34" s="100"/>
      <c r="GD34" s="100"/>
      <c r="GE34" s="100"/>
      <c r="GF34" s="100"/>
      <c r="GG34" s="100"/>
      <c r="GH34" s="100"/>
      <c r="GI34" s="100"/>
      <c r="GJ34" s="100"/>
      <c r="GK34" s="100"/>
      <c r="GL34" s="100"/>
      <c r="GM34" s="100"/>
      <c r="GN34" s="100"/>
      <c r="GO34" s="100"/>
      <c r="GP34" s="100"/>
      <c r="GQ34" s="100"/>
      <c r="GR34" s="100"/>
      <c r="GS34" s="100"/>
      <c r="GT34" s="100"/>
      <c r="GU34" s="100"/>
      <c r="GV34" s="100"/>
      <c r="GW34" s="100"/>
      <c r="GX34" s="100"/>
      <c r="GY34" s="100"/>
      <c r="GZ34" s="100"/>
      <c r="HA34" s="100"/>
      <c r="HB34" s="100"/>
      <c r="HC34" s="100"/>
      <c r="HD34" s="100"/>
      <c r="HE34" s="100"/>
      <c r="HF34" s="100"/>
      <c r="HG34" s="100"/>
      <c r="HH34" s="100"/>
      <c r="HI34" s="100"/>
      <c r="HJ34" s="100"/>
      <c r="HK34" s="100"/>
      <c r="HL34" s="100"/>
      <c r="HM34" s="100"/>
      <c r="HN34" s="100"/>
      <c r="HO34" s="100"/>
      <c r="HP34" s="100"/>
      <c r="HQ34" s="100"/>
      <c r="HR34" s="100"/>
      <c r="HS34" s="100"/>
      <c r="HT34" s="100"/>
      <c r="HU34" s="100"/>
      <c r="HV34" s="100"/>
      <c r="HW34" s="100"/>
      <c r="HX34" s="100"/>
      <c r="HY34" s="100"/>
      <c r="HZ34" s="100"/>
      <c r="IA34" s="100"/>
      <c r="IB34" s="100"/>
      <c r="IC34" s="100"/>
      <c r="ID34" s="100"/>
      <c r="IE34" s="100"/>
      <c r="IF34" s="100"/>
      <c r="IG34" s="100"/>
      <c r="IH34" s="100"/>
      <c r="II34" s="100"/>
      <c r="IJ34" s="100"/>
      <c r="IK34" s="100"/>
      <c r="IL34" s="100"/>
      <c r="IM34" s="100"/>
      <c r="IN34" s="100"/>
      <c r="IO34" s="100"/>
      <c r="IP34" s="100"/>
      <c r="IQ34" s="100"/>
      <c r="IR34" s="100"/>
      <c r="IS34" s="100"/>
      <c r="IT34" s="100"/>
      <c r="IU34" s="100"/>
      <c r="IV34" s="100"/>
      <c r="IW34" s="100"/>
      <c r="IX34" s="100"/>
      <c r="IY34" s="100"/>
      <c r="IZ34" s="100"/>
      <c r="JA34" s="100"/>
      <c r="JB34" s="100"/>
      <c r="JC34" s="100"/>
      <c r="JD34" s="100"/>
      <c r="JE34" s="100"/>
      <c r="JF34" s="100"/>
      <c r="JG34" s="100"/>
      <c r="JH34" s="100"/>
      <c r="JI34" s="100"/>
      <c r="JJ34" s="100"/>
      <c r="JK34" s="100"/>
      <c r="JL34" s="100"/>
      <c r="JM34" s="100"/>
      <c r="JN34" s="100"/>
      <c r="JO34" s="100"/>
      <c r="JP34" s="100"/>
      <c r="JQ34" s="100"/>
      <c r="JR34" s="100"/>
      <c r="JS34" s="100"/>
      <c r="JT34" s="100"/>
      <c r="JU34" s="100"/>
      <c r="JV34" s="100"/>
      <c r="JW34" s="100"/>
      <c r="JX34" s="100"/>
      <c r="JY34" s="100"/>
      <c r="JZ34" s="100"/>
      <c r="KA34" s="100"/>
      <c r="KB34" s="100"/>
      <c r="KC34" s="100"/>
      <c r="KD34" s="100"/>
      <c r="KE34" s="100"/>
      <c r="KF34" s="100"/>
      <c r="KG34" s="100"/>
      <c r="KH34" s="100"/>
      <c r="KI34" s="100"/>
      <c r="KJ34" s="100"/>
    </row>
    <row r="35" spans="1:296" s="39" customFormat="1" x14ac:dyDescent="0.3">
      <c r="A35" s="71" t="s">
        <v>116</v>
      </c>
      <c r="B35" s="72" t="str">
        <f>VLOOKUP(A35,'[1]PRODUCTO NACIONAL'!$A$4:$R$161,6,FALSE)</f>
        <v>PRADA LISA</v>
      </c>
      <c r="C35" s="73">
        <f>IFERROR(HLOOKUP(A35,[3]dimensiones_pdfs!$C$3:$Z$5,3,FALSE),0)</f>
        <v>0</v>
      </c>
      <c r="D35" s="107">
        <f>VLOOKUP(A35,'[1]PRODUCTO NACIONAL'!$A$4:$R$161,18,FALSE)</f>
        <v>2.5202399999999998</v>
      </c>
      <c r="E35" s="5">
        <f t="shared" si="0"/>
        <v>0</v>
      </c>
      <c r="F35" s="22"/>
      <c r="G35" s="5"/>
      <c r="H35"/>
      <c r="I35" s="28"/>
      <c r="K35" s="70"/>
      <c r="L35" s="75"/>
      <c r="M35" s="127"/>
      <c r="N35" s="77"/>
      <c r="O35" s="164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00"/>
      <c r="ER35" s="100"/>
      <c r="ES35" s="100"/>
      <c r="ET35" s="100"/>
      <c r="EU35" s="100"/>
      <c r="EV35" s="100"/>
      <c r="EW35" s="100"/>
      <c r="EX35" s="100"/>
      <c r="EY35" s="100"/>
      <c r="EZ35" s="100"/>
      <c r="FA35" s="100"/>
      <c r="FB35" s="100"/>
      <c r="FC35" s="100"/>
      <c r="FD35" s="100"/>
      <c r="FE35" s="100"/>
      <c r="FF35" s="100"/>
      <c r="FG35" s="100"/>
      <c r="FH35" s="100"/>
      <c r="FI35" s="100"/>
      <c r="FJ35" s="100"/>
      <c r="FK35" s="100"/>
      <c r="FL35" s="100"/>
      <c r="FM35" s="100"/>
      <c r="FN35" s="100"/>
      <c r="FO35" s="100"/>
      <c r="FP35" s="100"/>
      <c r="FQ35" s="100"/>
      <c r="FR35" s="100"/>
      <c r="FS35" s="100"/>
      <c r="FT35" s="100"/>
      <c r="FU35" s="100"/>
      <c r="FV35" s="100"/>
      <c r="FW35" s="100"/>
      <c r="FX35" s="100"/>
      <c r="FY35" s="100"/>
      <c r="FZ35" s="100"/>
      <c r="GA35" s="100"/>
      <c r="GB35" s="100"/>
      <c r="GC35" s="100"/>
      <c r="GD35" s="100"/>
      <c r="GE35" s="100"/>
      <c r="GF35" s="100"/>
      <c r="GG35" s="100"/>
      <c r="GH35" s="100"/>
      <c r="GI35" s="100"/>
      <c r="GJ35" s="100"/>
      <c r="GK35" s="100"/>
      <c r="GL35" s="100"/>
      <c r="GM35" s="100"/>
      <c r="GN35" s="100"/>
      <c r="GO35" s="100"/>
      <c r="GP35" s="100"/>
      <c r="GQ35" s="100"/>
      <c r="GR35" s="100"/>
      <c r="GS35" s="100"/>
      <c r="GT35" s="100"/>
      <c r="GU35" s="100"/>
      <c r="GV35" s="100"/>
      <c r="GW35" s="100"/>
      <c r="GX35" s="100"/>
      <c r="GY35" s="100"/>
      <c r="GZ35" s="100"/>
      <c r="HA35" s="100"/>
      <c r="HB35" s="100"/>
      <c r="HC35" s="100"/>
      <c r="HD35" s="100"/>
      <c r="HE35" s="100"/>
      <c r="HF35" s="100"/>
      <c r="HG35" s="100"/>
      <c r="HH35" s="100"/>
      <c r="HI35" s="100"/>
      <c r="HJ35" s="100"/>
      <c r="HK35" s="100"/>
      <c r="HL35" s="100"/>
      <c r="HM35" s="100"/>
      <c r="HN35" s="100"/>
      <c r="HO35" s="100"/>
      <c r="HP35" s="100"/>
      <c r="HQ35" s="100"/>
      <c r="HR35" s="100"/>
      <c r="HS35" s="100"/>
      <c r="HT35" s="100"/>
      <c r="HU35" s="100"/>
      <c r="HV35" s="100"/>
      <c r="HW35" s="100"/>
      <c r="HX35" s="100"/>
      <c r="HY35" s="100"/>
      <c r="HZ35" s="100"/>
      <c r="IA35" s="100"/>
      <c r="IB35" s="100"/>
      <c r="IC35" s="100"/>
      <c r="ID35" s="100"/>
      <c r="IE35" s="100"/>
      <c r="IF35" s="100"/>
      <c r="IG35" s="100"/>
      <c r="IH35" s="100"/>
      <c r="II35" s="100"/>
      <c r="IJ35" s="100"/>
      <c r="IK35" s="100"/>
      <c r="IL35" s="100"/>
      <c r="IM35" s="100"/>
      <c r="IN35" s="100"/>
      <c r="IO35" s="100"/>
      <c r="IP35" s="100"/>
      <c r="IQ35" s="100"/>
      <c r="IR35" s="100"/>
      <c r="IS35" s="100"/>
      <c r="IT35" s="100"/>
      <c r="IU35" s="100"/>
      <c r="IV35" s="100"/>
      <c r="IW35" s="100"/>
      <c r="IX35" s="100"/>
      <c r="IY35" s="100"/>
      <c r="IZ35" s="100"/>
      <c r="JA35" s="100"/>
      <c r="JB35" s="100"/>
      <c r="JC35" s="100"/>
      <c r="JD35" s="100"/>
      <c r="JE35" s="100"/>
      <c r="JF35" s="100"/>
      <c r="JG35" s="100"/>
      <c r="JH35" s="100"/>
      <c r="JI35" s="100"/>
      <c r="JJ35" s="100"/>
      <c r="JK35" s="100"/>
      <c r="JL35" s="100"/>
      <c r="JM35" s="100"/>
      <c r="JN35" s="100"/>
      <c r="JO35" s="100"/>
      <c r="JP35" s="100"/>
      <c r="JQ35" s="100"/>
      <c r="JR35" s="100"/>
      <c r="JS35" s="100"/>
      <c r="JT35" s="100"/>
      <c r="JU35" s="100"/>
      <c r="JV35" s="100"/>
      <c r="JW35" s="100"/>
      <c r="JX35" s="100"/>
      <c r="JY35" s="100"/>
      <c r="JZ35" s="100"/>
      <c r="KA35" s="100"/>
      <c r="KB35" s="100"/>
      <c r="KC35" s="100"/>
      <c r="KD35" s="100"/>
      <c r="KE35" s="100"/>
      <c r="KF35" s="100"/>
      <c r="KG35" s="100"/>
      <c r="KH35" s="100"/>
      <c r="KI35" s="100"/>
      <c r="KJ35" s="100"/>
    </row>
    <row r="36" spans="1:296" s="39" customFormat="1" x14ac:dyDescent="0.3">
      <c r="A36" s="71" t="s">
        <v>118</v>
      </c>
      <c r="B36" s="72" t="str">
        <f>VLOOKUP(A36,'[1]PRODUCTO NACIONAL'!$A$4:$R$161,6,FALSE)</f>
        <v>PRADA ROMBOS|CUADROS</v>
      </c>
      <c r="C36" s="73">
        <f>IFERROR(HLOOKUP(A36,[3]dimensiones_pdfs!$C$3:$Z$5,3,FALSE),0)</f>
        <v>0</v>
      </c>
      <c r="D36" s="107">
        <v>2</v>
      </c>
      <c r="E36" s="5">
        <f t="shared" si="0"/>
        <v>0</v>
      </c>
      <c r="F36" s="22"/>
      <c r="G36" s="5"/>
      <c r="H36"/>
      <c r="I36" s="28"/>
      <c r="K36" s="70"/>
      <c r="L36" s="75"/>
      <c r="M36" s="127"/>
      <c r="N36" s="77"/>
      <c r="O36" s="164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100"/>
      <c r="CT36" s="100"/>
      <c r="CU36" s="100"/>
      <c r="CV36" s="100"/>
      <c r="CW36" s="100"/>
      <c r="CX36" s="100"/>
      <c r="CY36" s="100"/>
      <c r="CZ36" s="100"/>
      <c r="DA36" s="100"/>
      <c r="DB36" s="100"/>
      <c r="DC36" s="100"/>
      <c r="DD36" s="100"/>
      <c r="DE36" s="100"/>
      <c r="DF36" s="100"/>
      <c r="DG36" s="100"/>
      <c r="DH36" s="100"/>
      <c r="DI36" s="100"/>
      <c r="DJ36" s="100"/>
      <c r="DK36" s="100"/>
      <c r="DL36" s="100"/>
      <c r="DM36" s="100"/>
      <c r="DN36" s="100"/>
      <c r="DO36" s="100"/>
      <c r="DP36" s="100"/>
      <c r="DQ36" s="100"/>
      <c r="DR36" s="100"/>
      <c r="DS36" s="100"/>
      <c r="DT36" s="100"/>
      <c r="DU36" s="100"/>
      <c r="DV36" s="100"/>
      <c r="DW36" s="100"/>
      <c r="DX36" s="100"/>
      <c r="DY36" s="100"/>
      <c r="DZ36" s="100"/>
      <c r="EA36" s="100"/>
      <c r="EB36" s="100"/>
      <c r="EC36" s="100"/>
      <c r="ED36" s="100"/>
      <c r="EE36" s="100"/>
      <c r="EF36" s="100"/>
      <c r="EG36" s="100"/>
      <c r="EH36" s="100"/>
      <c r="EI36" s="100"/>
      <c r="EJ36" s="100"/>
      <c r="EK36" s="100"/>
      <c r="EL36" s="100"/>
      <c r="EM36" s="100"/>
      <c r="EN36" s="100"/>
      <c r="EO36" s="100"/>
      <c r="EP36" s="100"/>
      <c r="EQ36" s="100"/>
      <c r="ER36" s="100"/>
      <c r="ES36" s="100"/>
      <c r="ET36" s="100"/>
      <c r="EU36" s="100"/>
      <c r="EV36" s="100"/>
      <c r="EW36" s="100"/>
      <c r="EX36" s="100"/>
      <c r="EY36" s="100"/>
      <c r="EZ36" s="100"/>
      <c r="FA36" s="100"/>
      <c r="FB36" s="100"/>
      <c r="FC36" s="100"/>
      <c r="FD36" s="100"/>
      <c r="FE36" s="100"/>
      <c r="FF36" s="100"/>
      <c r="FG36" s="100"/>
      <c r="FH36" s="100"/>
      <c r="FI36" s="100"/>
      <c r="FJ36" s="100"/>
      <c r="FK36" s="100"/>
      <c r="FL36" s="100"/>
      <c r="FM36" s="100"/>
      <c r="FN36" s="100"/>
      <c r="FO36" s="100"/>
      <c r="FP36" s="100"/>
      <c r="FQ36" s="100"/>
      <c r="FR36" s="100"/>
      <c r="FS36" s="100"/>
      <c r="FT36" s="100"/>
      <c r="FU36" s="100"/>
      <c r="FV36" s="100"/>
      <c r="FW36" s="100"/>
      <c r="FX36" s="100"/>
      <c r="FY36" s="100"/>
      <c r="FZ36" s="100"/>
      <c r="GA36" s="100"/>
      <c r="GB36" s="100"/>
      <c r="GC36" s="100"/>
      <c r="GD36" s="100"/>
      <c r="GE36" s="100"/>
      <c r="GF36" s="100"/>
      <c r="GG36" s="100"/>
      <c r="GH36" s="100"/>
      <c r="GI36" s="100"/>
      <c r="GJ36" s="100"/>
      <c r="GK36" s="100"/>
      <c r="GL36" s="100"/>
      <c r="GM36" s="100"/>
      <c r="GN36" s="100"/>
      <c r="GO36" s="100"/>
      <c r="GP36" s="100"/>
      <c r="GQ36" s="100"/>
      <c r="GR36" s="100"/>
      <c r="GS36" s="100"/>
      <c r="GT36" s="100"/>
      <c r="GU36" s="100"/>
      <c r="GV36" s="100"/>
      <c r="GW36" s="100"/>
      <c r="GX36" s="100"/>
      <c r="GY36" s="100"/>
      <c r="GZ36" s="100"/>
      <c r="HA36" s="100"/>
      <c r="HB36" s="100"/>
      <c r="HC36" s="100"/>
      <c r="HD36" s="100"/>
      <c r="HE36" s="100"/>
      <c r="HF36" s="100"/>
      <c r="HG36" s="100"/>
      <c r="HH36" s="100"/>
      <c r="HI36" s="100"/>
      <c r="HJ36" s="100"/>
      <c r="HK36" s="100"/>
      <c r="HL36" s="100"/>
      <c r="HM36" s="100"/>
      <c r="HN36" s="100"/>
      <c r="HO36" s="100"/>
      <c r="HP36" s="100"/>
      <c r="HQ36" s="100"/>
      <c r="HR36" s="100"/>
      <c r="HS36" s="100"/>
      <c r="HT36" s="100"/>
      <c r="HU36" s="100"/>
      <c r="HV36" s="100"/>
      <c r="HW36" s="100"/>
      <c r="HX36" s="100"/>
      <c r="HY36" s="100"/>
      <c r="HZ36" s="100"/>
      <c r="IA36" s="100"/>
      <c r="IB36" s="100"/>
      <c r="IC36" s="100"/>
      <c r="ID36" s="100"/>
      <c r="IE36" s="100"/>
      <c r="IF36" s="100"/>
      <c r="IG36" s="100"/>
      <c r="IH36" s="100"/>
      <c r="II36" s="100"/>
      <c r="IJ36" s="100"/>
      <c r="IK36" s="100"/>
      <c r="IL36" s="100"/>
      <c r="IM36" s="100"/>
      <c r="IN36" s="100"/>
      <c r="IO36" s="100"/>
      <c r="IP36" s="100"/>
      <c r="IQ36" s="100"/>
      <c r="IR36" s="100"/>
      <c r="IS36" s="100"/>
      <c r="IT36" s="100"/>
      <c r="IU36" s="100"/>
      <c r="IV36" s="100"/>
      <c r="IW36" s="100"/>
      <c r="IX36" s="100"/>
      <c r="IY36" s="100"/>
      <c r="IZ36" s="100"/>
      <c r="JA36" s="100"/>
      <c r="JB36" s="100"/>
      <c r="JC36" s="100"/>
      <c r="JD36" s="100"/>
      <c r="JE36" s="100"/>
      <c r="JF36" s="100"/>
      <c r="JG36" s="100"/>
      <c r="JH36" s="100"/>
      <c r="JI36" s="100"/>
      <c r="JJ36" s="100"/>
      <c r="JK36" s="100"/>
      <c r="JL36" s="100"/>
      <c r="JM36" s="100"/>
      <c r="JN36" s="100"/>
      <c r="JO36" s="100"/>
      <c r="JP36" s="100"/>
      <c r="JQ36" s="100"/>
      <c r="JR36" s="100"/>
      <c r="JS36" s="100"/>
      <c r="JT36" s="100"/>
      <c r="JU36" s="100"/>
      <c r="JV36" s="100"/>
      <c r="JW36" s="100"/>
      <c r="JX36" s="100"/>
      <c r="JY36" s="100"/>
      <c r="JZ36" s="100"/>
      <c r="KA36" s="100"/>
      <c r="KB36" s="100"/>
      <c r="KC36" s="100"/>
      <c r="KD36" s="100"/>
      <c r="KE36" s="100"/>
      <c r="KF36" s="100"/>
      <c r="KG36" s="100"/>
      <c r="KH36" s="100"/>
      <c r="KI36" s="100"/>
      <c r="KJ36" s="100"/>
    </row>
    <row r="37" spans="1:296" s="39" customFormat="1" x14ac:dyDescent="0.3">
      <c r="A37" s="71" t="s">
        <v>121</v>
      </c>
      <c r="B37" s="72" t="str">
        <f>VLOOKUP(A37,'[1]PRODUCTO NACIONAL'!$A$4:$R$161,6,FALSE)</f>
        <v>D2003 Rollo Pike Deportivo 1.70m x 160gr</v>
      </c>
      <c r="C37" s="73">
        <f>IFERROR(HLOOKUP(A37,[3]dimensiones_pdfs!$C$3:$Z$5,3,FALSE),0)</f>
        <v>66.324937740290906</v>
      </c>
      <c r="D37" s="107">
        <f>VLOOKUP(A37,'[1]PRODUCTO NACIONAL'!$A$4:$R$161,18,FALSE)</f>
        <v>1.5306122448979591</v>
      </c>
      <c r="E37" s="5">
        <f t="shared" si="0"/>
        <v>-101.51776184738404</v>
      </c>
      <c r="F37" s="22"/>
      <c r="G37" s="5"/>
      <c r="H37"/>
      <c r="I37" s="28"/>
      <c r="K37" s="70"/>
      <c r="L37" s="75"/>
      <c r="M37" s="127"/>
      <c r="N37" s="77"/>
      <c r="O37" s="164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0"/>
      <c r="CT37" s="100"/>
      <c r="CU37" s="100"/>
      <c r="CV37" s="100"/>
      <c r="CW37" s="100"/>
      <c r="CX37" s="100"/>
      <c r="CY37" s="100"/>
      <c r="CZ37" s="100"/>
      <c r="DA37" s="100"/>
      <c r="DB37" s="100"/>
      <c r="DC37" s="100"/>
      <c r="DD37" s="100"/>
      <c r="DE37" s="100"/>
      <c r="DF37" s="100"/>
      <c r="DG37" s="100"/>
      <c r="DH37" s="100"/>
      <c r="DI37" s="100"/>
      <c r="DJ37" s="100"/>
      <c r="DK37" s="100"/>
      <c r="DL37" s="100"/>
      <c r="DM37" s="100"/>
      <c r="DN37" s="100"/>
      <c r="DO37" s="100"/>
      <c r="DP37" s="100"/>
      <c r="DQ37" s="100"/>
      <c r="DR37" s="100"/>
      <c r="DS37" s="100"/>
      <c r="DT37" s="100"/>
      <c r="DU37" s="100"/>
      <c r="DV37" s="100"/>
      <c r="DW37" s="100"/>
      <c r="DX37" s="100"/>
      <c r="DY37" s="100"/>
      <c r="DZ37" s="100"/>
      <c r="EA37" s="100"/>
      <c r="EB37" s="100"/>
      <c r="EC37" s="100"/>
      <c r="ED37" s="100"/>
      <c r="EE37" s="100"/>
      <c r="EF37" s="100"/>
      <c r="EG37" s="100"/>
      <c r="EH37" s="100"/>
      <c r="EI37" s="100"/>
      <c r="EJ37" s="100"/>
      <c r="EK37" s="100"/>
      <c r="EL37" s="100"/>
      <c r="EM37" s="100"/>
      <c r="EN37" s="100"/>
      <c r="EO37" s="100"/>
      <c r="EP37" s="100"/>
      <c r="EQ37" s="100"/>
      <c r="ER37" s="100"/>
      <c r="ES37" s="100"/>
      <c r="ET37" s="100"/>
      <c r="EU37" s="100"/>
      <c r="EV37" s="100"/>
      <c r="EW37" s="100"/>
      <c r="EX37" s="100"/>
      <c r="EY37" s="100"/>
      <c r="EZ37" s="100"/>
      <c r="FA37" s="100"/>
      <c r="FB37" s="100"/>
      <c r="FC37" s="100"/>
      <c r="FD37" s="100"/>
      <c r="FE37" s="100"/>
      <c r="FF37" s="100"/>
      <c r="FG37" s="100"/>
      <c r="FH37" s="100"/>
      <c r="FI37" s="100"/>
      <c r="FJ37" s="100"/>
      <c r="FK37" s="100"/>
      <c r="FL37" s="100"/>
      <c r="FM37" s="100"/>
      <c r="FN37" s="100"/>
      <c r="FO37" s="100"/>
      <c r="FP37" s="100"/>
      <c r="FQ37" s="100"/>
      <c r="FR37" s="100"/>
      <c r="FS37" s="100"/>
      <c r="FT37" s="100"/>
      <c r="FU37" s="100"/>
      <c r="FV37" s="100"/>
      <c r="FW37" s="100"/>
      <c r="FX37" s="100"/>
      <c r="FY37" s="100"/>
      <c r="FZ37" s="100"/>
      <c r="GA37" s="100"/>
      <c r="GB37" s="100"/>
      <c r="GC37" s="100"/>
      <c r="GD37" s="100"/>
      <c r="GE37" s="100"/>
      <c r="GF37" s="100"/>
      <c r="GG37" s="100"/>
      <c r="GH37" s="100"/>
      <c r="GI37" s="100"/>
      <c r="GJ37" s="100"/>
      <c r="GK37" s="100"/>
      <c r="GL37" s="100"/>
      <c r="GM37" s="100"/>
      <c r="GN37" s="100"/>
      <c r="GO37" s="100"/>
      <c r="GP37" s="100"/>
      <c r="GQ37" s="100"/>
      <c r="GR37" s="100"/>
      <c r="GS37" s="100"/>
      <c r="GT37" s="100"/>
      <c r="GU37" s="100"/>
      <c r="GV37" s="100"/>
      <c r="GW37" s="100"/>
      <c r="GX37" s="100"/>
      <c r="GY37" s="100"/>
      <c r="GZ37" s="100"/>
      <c r="HA37" s="100"/>
      <c r="HB37" s="100"/>
      <c r="HC37" s="100"/>
      <c r="HD37" s="100"/>
      <c r="HE37" s="100"/>
      <c r="HF37" s="100"/>
      <c r="HG37" s="100"/>
      <c r="HH37" s="100"/>
      <c r="HI37" s="100"/>
      <c r="HJ37" s="100"/>
      <c r="HK37" s="100"/>
      <c r="HL37" s="100"/>
      <c r="HM37" s="100"/>
      <c r="HN37" s="100"/>
      <c r="HO37" s="100"/>
      <c r="HP37" s="100"/>
      <c r="HQ37" s="100"/>
      <c r="HR37" s="100"/>
      <c r="HS37" s="100"/>
      <c r="HT37" s="100"/>
      <c r="HU37" s="100"/>
      <c r="HV37" s="100"/>
      <c r="HW37" s="100"/>
      <c r="HX37" s="100"/>
      <c r="HY37" s="100"/>
      <c r="HZ37" s="100"/>
      <c r="IA37" s="100"/>
      <c r="IB37" s="100"/>
      <c r="IC37" s="100"/>
      <c r="ID37" s="100"/>
      <c r="IE37" s="100"/>
      <c r="IF37" s="100"/>
      <c r="IG37" s="100"/>
      <c r="IH37" s="100"/>
      <c r="II37" s="100"/>
      <c r="IJ37" s="100"/>
      <c r="IK37" s="100"/>
      <c r="IL37" s="100"/>
      <c r="IM37" s="100"/>
      <c r="IN37" s="100"/>
      <c r="IO37" s="100"/>
      <c r="IP37" s="100"/>
      <c r="IQ37" s="100"/>
      <c r="IR37" s="100"/>
      <c r="IS37" s="100"/>
      <c r="IT37" s="100"/>
      <c r="IU37" s="100"/>
      <c r="IV37" s="100"/>
      <c r="IW37" s="100"/>
      <c r="IX37" s="100"/>
      <c r="IY37" s="100"/>
      <c r="IZ37" s="100"/>
      <c r="JA37" s="100"/>
      <c r="JB37" s="100"/>
      <c r="JC37" s="100"/>
      <c r="JD37" s="100"/>
      <c r="JE37" s="100"/>
      <c r="JF37" s="100"/>
      <c r="JG37" s="100"/>
      <c r="JH37" s="100"/>
      <c r="JI37" s="100"/>
      <c r="JJ37" s="100"/>
      <c r="JK37" s="100"/>
      <c r="JL37" s="100"/>
      <c r="JM37" s="100"/>
      <c r="JN37" s="100"/>
      <c r="JO37" s="100"/>
      <c r="JP37" s="100"/>
      <c r="JQ37" s="100"/>
      <c r="JR37" s="100"/>
      <c r="JS37" s="100"/>
      <c r="JT37" s="100"/>
      <c r="JU37" s="100"/>
      <c r="JV37" s="100"/>
      <c r="JW37" s="100"/>
      <c r="JX37" s="100"/>
      <c r="JY37" s="100"/>
      <c r="JZ37" s="100"/>
      <c r="KA37" s="100"/>
      <c r="KB37" s="100"/>
      <c r="KC37" s="100"/>
      <c r="KD37" s="100"/>
      <c r="KE37" s="100"/>
      <c r="KF37" s="100"/>
      <c r="KG37" s="100"/>
      <c r="KH37" s="100"/>
      <c r="KI37" s="100"/>
      <c r="KJ37" s="100"/>
    </row>
    <row r="38" spans="1:296" s="39" customFormat="1" x14ac:dyDescent="0.3">
      <c r="A38" s="71" t="s">
        <v>124</v>
      </c>
      <c r="B38" s="72" t="str">
        <f>VLOOKUP(A38,'[1]PRODUCTO NACIONAL'!$A$4:$R$161,6,FALSE)</f>
        <v>PIKE LACOAST 20 PEI AZUL MARINO| OSCURO</v>
      </c>
      <c r="C38" s="73">
        <f>IFERROR(HLOOKUP(A38,[3]dimensiones_pdfs!$C$3:$Z$5,3,FALSE),0)</f>
        <v>0</v>
      </c>
      <c r="D38" s="107">
        <f>VLOOKUP(A38,'[1]PRODUCTO NACIONAL'!$A$4:$R$161,18,FALSE)</f>
        <v>5.5618400000000001</v>
      </c>
      <c r="E38" s="5">
        <f t="shared" si="0"/>
        <v>0</v>
      </c>
      <c r="F38" s="22"/>
      <c r="G38" s="5"/>
      <c r="H38"/>
      <c r="I38" s="28"/>
      <c r="K38" s="70"/>
      <c r="L38" s="75"/>
      <c r="M38" s="127"/>
      <c r="N38" s="77"/>
      <c r="O38" s="164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0"/>
      <c r="BN38" s="100"/>
      <c r="BO38" s="100"/>
      <c r="BP38" s="100"/>
      <c r="BQ38" s="100"/>
      <c r="BR38" s="100"/>
      <c r="BS38" s="100"/>
      <c r="BT38" s="100"/>
      <c r="BU38" s="100"/>
      <c r="BV38" s="100"/>
      <c r="BW38" s="100"/>
      <c r="BX38" s="100"/>
      <c r="BY38" s="100"/>
      <c r="BZ38" s="100"/>
      <c r="CA38" s="100"/>
      <c r="CB38" s="100"/>
      <c r="CC38" s="100"/>
      <c r="CD38" s="100"/>
      <c r="CE38" s="100"/>
      <c r="CF38" s="100"/>
      <c r="CG38" s="100"/>
      <c r="CH38" s="100"/>
      <c r="CI38" s="100"/>
      <c r="CJ38" s="100"/>
      <c r="CK38" s="100"/>
      <c r="CL38" s="100"/>
      <c r="CM38" s="100"/>
      <c r="CN38" s="100"/>
      <c r="CO38" s="100"/>
      <c r="CP38" s="100"/>
      <c r="CQ38" s="100"/>
      <c r="CR38" s="100"/>
      <c r="CS38" s="100"/>
      <c r="CT38" s="100"/>
      <c r="CU38" s="100"/>
      <c r="CV38" s="100"/>
      <c r="CW38" s="100"/>
      <c r="CX38" s="100"/>
      <c r="CY38" s="100"/>
      <c r="CZ38" s="100"/>
      <c r="DA38" s="100"/>
      <c r="DB38" s="100"/>
      <c r="DC38" s="100"/>
      <c r="DD38" s="100"/>
      <c r="DE38" s="100"/>
      <c r="DF38" s="100"/>
      <c r="DG38" s="100"/>
      <c r="DH38" s="100"/>
      <c r="DI38" s="100"/>
      <c r="DJ38" s="100"/>
      <c r="DK38" s="100"/>
      <c r="DL38" s="100"/>
      <c r="DM38" s="100"/>
      <c r="DN38" s="100"/>
      <c r="DO38" s="100"/>
      <c r="DP38" s="100"/>
      <c r="DQ38" s="100"/>
      <c r="DR38" s="100"/>
      <c r="DS38" s="100"/>
      <c r="DT38" s="100"/>
      <c r="DU38" s="100"/>
      <c r="DV38" s="100"/>
      <c r="DW38" s="100"/>
      <c r="DX38" s="100"/>
      <c r="DY38" s="100"/>
      <c r="DZ38" s="100"/>
      <c r="EA38" s="100"/>
      <c r="EB38" s="100"/>
      <c r="EC38" s="100"/>
      <c r="ED38" s="100"/>
      <c r="EE38" s="100"/>
      <c r="EF38" s="100"/>
      <c r="EG38" s="100"/>
      <c r="EH38" s="100"/>
      <c r="EI38" s="100"/>
      <c r="EJ38" s="100"/>
      <c r="EK38" s="100"/>
      <c r="EL38" s="100"/>
      <c r="EM38" s="100"/>
      <c r="EN38" s="100"/>
      <c r="EO38" s="100"/>
      <c r="EP38" s="100"/>
      <c r="EQ38" s="100"/>
      <c r="ER38" s="100"/>
      <c r="ES38" s="100"/>
      <c r="ET38" s="100"/>
      <c r="EU38" s="100"/>
      <c r="EV38" s="100"/>
      <c r="EW38" s="100"/>
      <c r="EX38" s="100"/>
      <c r="EY38" s="100"/>
      <c r="EZ38" s="100"/>
      <c r="FA38" s="100"/>
      <c r="FB38" s="100"/>
      <c r="FC38" s="100"/>
      <c r="FD38" s="100"/>
      <c r="FE38" s="100"/>
      <c r="FF38" s="100"/>
      <c r="FG38" s="100"/>
      <c r="FH38" s="100"/>
      <c r="FI38" s="100"/>
      <c r="FJ38" s="100"/>
      <c r="FK38" s="100"/>
      <c r="FL38" s="100"/>
      <c r="FM38" s="100"/>
      <c r="FN38" s="100"/>
      <c r="FO38" s="100"/>
      <c r="FP38" s="100"/>
      <c r="FQ38" s="100"/>
      <c r="FR38" s="100"/>
      <c r="FS38" s="100"/>
      <c r="FT38" s="100"/>
      <c r="FU38" s="100"/>
      <c r="FV38" s="100"/>
      <c r="FW38" s="100"/>
      <c r="FX38" s="100"/>
      <c r="FY38" s="100"/>
      <c r="FZ38" s="100"/>
      <c r="GA38" s="100"/>
      <c r="GB38" s="100"/>
      <c r="GC38" s="100"/>
      <c r="GD38" s="100"/>
      <c r="GE38" s="100"/>
      <c r="GF38" s="100"/>
      <c r="GG38" s="100"/>
      <c r="GH38" s="100"/>
      <c r="GI38" s="100"/>
      <c r="GJ38" s="100"/>
      <c r="GK38" s="100"/>
      <c r="GL38" s="100"/>
      <c r="GM38" s="100"/>
      <c r="GN38" s="100"/>
      <c r="GO38" s="100"/>
      <c r="GP38" s="100"/>
      <c r="GQ38" s="100"/>
      <c r="GR38" s="100"/>
      <c r="GS38" s="100"/>
      <c r="GT38" s="100"/>
      <c r="GU38" s="100"/>
      <c r="GV38" s="100"/>
      <c r="GW38" s="100"/>
      <c r="GX38" s="100"/>
      <c r="GY38" s="100"/>
      <c r="GZ38" s="100"/>
      <c r="HA38" s="100"/>
      <c r="HB38" s="100"/>
      <c r="HC38" s="100"/>
      <c r="HD38" s="100"/>
      <c r="HE38" s="100"/>
      <c r="HF38" s="100"/>
      <c r="HG38" s="100"/>
      <c r="HH38" s="100"/>
      <c r="HI38" s="100"/>
      <c r="HJ38" s="100"/>
      <c r="HK38" s="100"/>
      <c r="HL38" s="100"/>
      <c r="HM38" s="100"/>
      <c r="HN38" s="100"/>
      <c r="HO38" s="100"/>
      <c r="HP38" s="100"/>
      <c r="HQ38" s="100"/>
      <c r="HR38" s="100"/>
      <c r="HS38" s="100"/>
      <c r="HT38" s="100"/>
      <c r="HU38" s="100"/>
      <c r="HV38" s="100"/>
      <c r="HW38" s="100"/>
      <c r="HX38" s="100"/>
      <c r="HY38" s="100"/>
      <c r="HZ38" s="100"/>
      <c r="IA38" s="100"/>
      <c r="IB38" s="100"/>
      <c r="IC38" s="100"/>
      <c r="ID38" s="100"/>
      <c r="IE38" s="100"/>
      <c r="IF38" s="100"/>
      <c r="IG38" s="100"/>
      <c r="IH38" s="100"/>
      <c r="II38" s="100"/>
      <c r="IJ38" s="100"/>
      <c r="IK38" s="100"/>
      <c r="IL38" s="100"/>
      <c r="IM38" s="100"/>
      <c r="IN38" s="100"/>
      <c r="IO38" s="100"/>
      <c r="IP38" s="100"/>
      <c r="IQ38" s="100"/>
      <c r="IR38" s="100"/>
      <c r="IS38" s="100"/>
      <c r="IT38" s="100"/>
      <c r="IU38" s="100"/>
      <c r="IV38" s="100"/>
      <c r="IW38" s="100"/>
      <c r="IX38" s="100"/>
      <c r="IY38" s="100"/>
      <c r="IZ38" s="100"/>
      <c r="JA38" s="100"/>
      <c r="JB38" s="100"/>
      <c r="JC38" s="100"/>
      <c r="JD38" s="100"/>
      <c r="JE38" s="100"/>
      <c r="JF38" s="100"/>
      <c r="JG38" s="100"/>
      <c r="JH38" s="100"/>
      <c r="JI38" s="100"/>
      <c r="JJ38" s="100"/>
      <c r="JK38" s="100"/>
      <c r="JL38" s="100"/>
      <c r="JM38" s="100"/>
      <c r="JN38" s="100"/>
      <c r="JO38" s="100"/>
      <c r="JP38" s="100"/>
      <c r="JQ38" s="100"/>
      <c r="JR38" s="100"/>
      <c r="JS38" s="100"/>
      <c r="JT38" s="100"/>
      <c r="JU38" s="100"/>
      <c r="JV38" s="100"/>
      <c r="JW38" s="100"/>
      <c r="JX38" s="100"/>
      <c r="JY38" s="100"/>
      <c r="JZ38" s="100"/>
      <c r="KA38" s="100"/>
      <c r="KB38" s="100"/>
      <c r="KC38" s="100"/>
      <c r="KD38" s="100"/>
      <c r="KE38" s="100"/>
      <c r="KF38" s="100"/>
      <c r="KG38" s="100"/>
      <c r="KH38" s="100"/>
      <c r="KI38" s="100"/>
      <c r="KJ38" s="100"/>
    </row>
    <row r="39" spans="1:296" s="39" customFormat="1" x14ac:dyDescent="0.3">
      <c r="A39"/>
      <c r="B39" s="100"/>
      <c r="C39" s="100"/>
      <c r="D39" s="100"/>
      <c r="E39" s="100"/>
      <c r="F39" s="7"/>
      <c r="G39" s="5"/>
      <c r="H39"/>
      <c r="I39" s="28"/>
      <c r="K39" s="70"/>
      <c r="L39" s="75"/>
      <c r="M39" s="127"/>
      <c r="N39" s="77"/>
      <c r="O39" s="164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  <c r="CT39" s="100"/>
      <c r="CU39" s="100"/>
      <c r="CV39" s="100"/>
      <c r="CW39" s="100"/>
      <c r="CX39" s="100"/>
      <c r="CY39" s="100"/>
      <c r="CZ39" s="100"/>
      <c r="DA39" s="100"/>
      <c r="DB39" s="100"/>
      <c r="DC39" s="100"/>
      <c r="DD39" s="100"/>
      <c r="DE39" s="100"/>
      <c r="DF39" s="100"/>
      <c r="DG39" s="100"/>
      <c r="DH39" s="100"/>
      <c r="DI39" s="100"/>
      <c r="DJ39" s="100"/>
      <c r="DK39" s="100"/>
      <c r="DL39" s="100"/>
      <c r="DM39" s="100"/>
      <c r="DN39" s="100"/>
      <c r="DO39" s="100"/>
      <c r="DP39" s="100"/>
      <c r="DQ39" s="100"/>
      <c r="DR39" s="100"/>
      <c r="DS39" s="100"/>
      <c r="DT39" s="100"/>
      <c r="DU39" s="100"/>
      <c r="DV39" s="100"/>
      <c r="DW39" s="100"/>
      <c r="DX39" s="100"/>
      <c r="DY39" s="100"/>
      <c r="DZ39" s="100"/>
      <c r="EA39" s="100"/>
      <c r="EB39" s="100"/>
      <c r="EC39" s="100"/>
      <c r="ED39" s="100"/>
      <c r="EE39" s="100"/>
      <c r="EF39" s="100"/>
      <c r="EG39" s="100"/>
      <c r="EH39" s="100"/>
      <c r="EI39" s="100"/>
      <c r="EJ39" s="100"/>
      <c r="EK39" s="100"/>
      <c r="EL39" s="100"/>
      <c r="EM39" s="100"/>
      <c r="EN39" s="100"/>
      <c r="EO39" s="100"/>
      <c r="EP39" s="100"/>
      <c r="EQ39" s="100"/>
      <c r="ER39" s="100"/>
      <c r="ES39" s="100"/>
      <c r="ET39" s="100"/>
      <c r="EU39" s="100"/>
      <c r="EV39" s="100"/>
      <c r="EW39" s="100"/>
      <c r="EX39" s="100"/>
      <c r="EY39" s="100"/>
      <c r="EZ39" s="100"/>
      <c r="FA39" s="100"/>
      <c r="FB39" s="100"/>
      <c r="FC39" s="100"/>
      <c r="FD39" s="100"/>
      <c r="FE39" s="100"/>
      <c r="FF39" s="100"/>
      <c r="FG39" s="100"/>
      <c r="FH39" s="100"/>
      <c r="FI39" s="100"/>
      <c r="FJ39" s="100"/>
      <c r="FK39" s="100"/>
      <c r="FL39" s="100"/>
      <c r="FM39" s="100"/>
      <c r="FN39" s="100"/>
      <c r="FO39" s="100"/>
      <c r="FP39" s="100"/>
      <c r="FQ39" s="100"/>
      <c r="FR39" s="100"/>
      <c r="FS39" s="100"/>
      <c r="FT39" s="100"/>
      <c r="FU39" s="100"/>
      <c r="FV39" s="100"/>
      <c r="FW39" s="100"/>
      <c r="FX39" s="100"/>
      <c r="FY39" s="100"/>
      <c r="FZ39" s="100"/>
      <c r="GA39" s="100"/>
      <c r="GB39" s="100"/>
      <c r="GC39" s="100"/>
      <c r="GD39" s="100"/>
      <c r="GE39" s="100"/>
      <c r="GF39" s="100"/>
      <c r="GG39" s="100"/>
      <c r="GH39" s="100"/>
      <c r="GI39" s="100"/>
      <c r="GJ39" s="100"/>
      <c r="GK39" s="100"/>
      <c r="GL39" s="100"/>
      <c r="GM39" s="100"/>
      <c r="GN39" s="100"/>
      <c r="GO39" s="100"/>
      <c r="GP39" s="100"/>
      <c r="GQ39" s="100"/>
      <c r="GR39" s="100"/>
      <c r="GS39" s="100"/>
      <c r="GT39" s="100"/>
      <c r="GU39" s="100"/>
      <c r="GV39" s="100"/>
      <c r="GW39" s="100"/>
      <c r="GX39" s="100"/>
      <c r="GY39" s="100"/>
      <c r="GZ39" s="100"/>
      <c r="HA39" s="100"/>
      <c r="HB39" s="100"/>
      <c r="HC39" s="100"/>
      <c r="HD39" s="100"/>
      <c r="HE39" s="100"/>
      <c r="HF39" s="100"/>
      <c r="HG39" s="100"/>
      <c r="HH39" s="100"/>
      <c r="HI39" s="100"/>
      <c r="HJ39" s="100"/>
      <c r="HK39" s="100"/>
      <c r="HL39" s="100"/>
      <c r="HM39" s="100"/>
      <c r="HN39" s="100"/>
      <c r="HO39" s="100"/>
      <c r="HP39" s="100"/>
      <c r="HQ39" s="100"/>
      <c r="HR39" s="100"/>
      <c r="HS39" s="100"/>
      <c r="HT39" s="100"/>
      <c r="HU39" s="100"/>
      <c r="HV39" s="100"/>
      <c r="HW39" s="100"/>
      <c r="HX39" s="100"/>
      <c r="HY39" s="100"/>
      <c r="HZ39" s="100"/>
      <c r="IA39" s="100"/>
      <c r="IB39" s="100"/>
      <c r="IC39" s="100"/>
      <c r="ID39" s="100"/>
      <c r="IE39" s="100"/>
      <c r="IF39" s="100"/>
      <c r="IG39" s="100"/>
      <c r="IH39" s="100"/>
      <c r="II39" s="100"/>
      <c r="IJ39" s="100"/>
      <c r="IK39" s="100"/>
      <c r="IL39" s="100"/>
      <c r="IM39" s="100"/>
      <c r="IN39" s="100"/>
      <c r="IO39" s="100"/>
      <c r="IP39" s="100"/>
      <c r="IQ39" s="100"/>
      <c r="IR39" s="100"/>
      <c r="IS39" s="100"/>
      <c r="IT39" s="100"/>
      <c r="IU39" s="100"/>
      <c r="IV39" s="100"/>
      <c r="IW39" s="100"/>
      <c r="IX39" s="100"/>
      <c r="IY39" s="100"/>
      <c r="IZ39" s="100"/>
      <c r="JA39" s="100"/>
      <c r="JB39" s="100"/>
      <c r="JC39" s="100"/>
      <c r="JD39" s="100"/>
      <c r="JE39" s="100"/>
      <c r="JF39" s="100"/>
      <c r="JG39" s="100"/>
      <c r="JH39" s="100"/>
      <c r="JI39" s="100"/>
      <c r="JJ39" s="100"/>
      <c r="JK39" s="100"/>
      <c r="JL39" s="100"/>
      <c r="JM39" s="100"/>
      <c r="JN39" s="100"/>
      <c r="JO39" s="100"/>
      <c r="JP39" s="100"/>
      <c r="JQ39" s="100"/>
      <c r="JR39" s="100"/>
      <c r="JS39" s="100"/>
      <c r="JT39" s="100"/>
      <c r="JU39" s="100"/>
      <c r="JV39" s="100"/>
      <c r="JW39" s="100"/>
      <c r="JX39" s="100"/>
      <c r="JY39" s="100"/>
      <c r="JZ39" s="100"/>
      <c r="KA39" s="100"/>
      <c r="KB39" s="100"/>
      <c r="KC39" s="100"/>
      <c r="KD39" s="100"/>
      <c r="KE39" s="100"/>
      <c r="KF39" s="100"/>
      <c r="KG39" s="100"/>
      <c r="KH39" s="100"/>
      <c r="KI39" s="100"/>
      <c r="KJ39" s="100"/>
    </row>
    <row r="40" spans="1:296" x14ac:dyDescent="0.3">
      <c r="F40" s="5"/>
      <c r="G40"/>
      <c r="H40" s="5"/>
    </row>
    <row r="41" spans="1:296" x14ac:dyDescent="0.3">
      <c r="C41" s="5"/>
      <c r="F41" s="5"/>
      <c r="G41"/>
      <c r="H41" s="5"/>
    </row>
    <row r="42" spans="1:296" x14ac:dyDescent="0.3">
      <c r="F42" s="5"/>
      <c r="G42"/>
      <c r="H42" s="5"/>
    </row>
    <row r="43" spans="1:296" x14ac:dyDescent="0.3">
      <c r="B43" s="69" t="s">
        <v>0</v>
      </c>
      <c r="C43" s="68" t="s">
        <v>24</v>
      </c>
      <c r="D43" s="109" t="s">
        <v>24</v>
      </c>
      <c r="E43" s="68">
        <f>+E66</f>
        <v>-1286.4958333333334</v>
      </c>
    </row>
    <row r="48" spans="1:296" s="39" customFormat="1" x14ac:dyDescent="0.3">
      <c r="A48"/>
      <c r="B48" s="2"/>
      <c r="C48" s="5"/>
      <c r="D48" s="55"/>
      <c r="E48" s="27"/>
      <c r="F48" s="7"/>
      <c r="G48" s="5"/>
      <c r="H48"/>
      <c r="I48" s="28"/>
      <c r="K48" s="70"/>
      <c r="L48" s="75"/>
      <c r="M48" s="127"/>
      <c r="N48" s="77"/>
      <c r="O48" s="164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  <c r="DC48" s="100"/>
      <c r="DD48" s="100"/>
      <c r="DE48" s="100"/>
      <c r="DF48" s="100"/>
      <c r="DG48" s="100"/>
      <c r="DH48" s="100"/>
      <c r="DI48" s="100"/>
      <c r="DJ48" s="100"/>
      <c r="DK48" s="100"/>
      <c r="DL48" s="100"/>
      <c r="DM48" s="100"/>
      <c r="DN48" s="100"/>
      <c r="DO48" s="100"/>
      <c r="DP48" s="100"/>
      <c r="DQ48" s="100"/>
      <c r="DR48" s="100"/>
      <c r="DS48" s="100"/>
      <c r="DT48" s="100"/>
      <c r="DU48" s="100"/>
      <c r="DV48" s="100"/>
      <c r="DW48" s="100"/>
      <c r="DX48" s="100"/>
      <c r="DY48" s="100"/>
      <c r="DZ48" s="100"/>
      <c r="EA48" s="100"/>
      <c r="EB48" s="100"/>
      <c r="EC48" s="100"/>
      <c r="ED48" s="100"/>
      <c r="EE48" s="100"/>
      <c r="EF48" s="100"/>
      <c r="EG48" s="100"/>
      <c r="EH48" s="100"/>
      <c r="EI48" s="100"/>
      <c r="EJ48" s="100"/>
      <c r="EK48" s="100"/>
      <c r="EL48" s="100"/>
      <c r="EM48" s="100"/>
      <c r="EN48" s="100"/>
      <c r="EO48" s="100"/>
      <c r="EP48" s="100"/>
      <c r="EQ48" s="100"/>
      <c r="ER48" s="100"/>
      <c r="ES48" s="100"/>
      <c r="ET48" s="100"/>
      <c r="EU48" s="100"/>
      <c r="EV48" s="100"/>
      <c r="EW48" s="100"/>
      <c r="EX48" s="100"/>
      <c r="EY48" s="100"/>
      <c r="EZ48" s="100"/>
      <c r="FA48" s="100"/>
      <c r="FB48" s="100"/>
      <c r="FC48" s="100"/>
      <c r="FD48" s="100"/>
      <c r="FE48" s="100"/>
      <c r="FF48" s="100"/>
      <c r="FG48" s="100"/>
      <c r="FH48" s="100"/>
      <c r="FI48" s="100"/>
      <c r="FJ48" s="100"/>
      <c r="FK48" s="100"/>
      <c r="FL48" s="100"/>
      <c r="FM48" s="100"/>
      <c r="FN48" s="100"/>
      <c r="FO48" s="100"/>
      <c r="FP48" s="100"/>
      <c r="FQ48" s="100"/>
      <c r="FR48" s="100"/>
      <c r="FS48" s="100"/>
      <c r="FT48" s="100"/>
      <c r="FU48" s="100"/>
      <c r="FV48" s="100"/>
      <c r="FW48" s="100"/>
      <c r="FX48" s="100"/>
      <c r="FY48" s="100"/>
      <c r="FZ48" s="100"/>
      <c r="GA48" s="100"/>
      <c r="GB48" s="100"/>
      <c r="GC48" s="100"/>
      <c r="GD48" s="100"/>
      <c r="GE48" s="100"/>
      <c r="GF48" s="100"/>
      <c r="GG48" s="100"/>
      <c r="GH48" s="100"/>
      <c r="GI48" s="100"/>
      <c r="GJ48" s="100"/>
      <c r="GK48" s="100"/>
      <c r="GL48" s="100"/>
      <c r="GM48" s="100"/>
      <c r="GN48" s="100"/>
      <c r="GO48" s="100"/>
      <c r="GP48" s="100"/>
      <c r="GQ48" s="100"/>
      <c r="GR48" s="100"/>
      <c r="GS48" s="100"/>
      <c r="GT48" s="100"/>
      <c r="GU48" s="100"/>
      <c r="GV48" s="100"/>
      <c r="GW48" s="100"/>
      <c r="GX48" s="100"/>
      <c r="GY48" s="100"/>
      <c r="GZ48" s="100"/>
      <c r="HA48" s="100"/>
      <c r="HB48" s="100"/>
      <c r="HC48" s="100"/>
      <c r="HD48" s="100"/>
      <c r="HE48" s="100"/>
      <c r="HF48" s="100"/>
      <c r="HG48" s="100"/>
      <c r="HH48" s="100"/>
      <c r="HI48" s="100"/>
      <c r="HJ48" s="100"/>
      <c r="HK48" s="100"/>
      <c r="HL48" s="100"/>
      <c r="HM48" s="100"/>
      <c r="HN48" s="100"/>
      <c r="HO48" s="100"/>
      <c r="HP48" s="100"/>
      <c r="HQ48" s="100"/>
      <c r="HR48" s="100"/>
      <c r="HS48" s="100"/>
      <c r="HT48" s="100"/>
      <c r="HU48" s="100"/>
      <c r="HV48" s="100"/>
      <c r="HW48" s="100"/>
      <c r="HX48" s="100"/>
      <c r="HY48" s="100"/>
      <c r="HZ48" s="100"/>
      <c r="IA48" s="100"/>
      <c r="IB48" s="100"/>
      <c r="IC48" s="100"/>
      <c r="ID48" s="100"/>
      <c r="IE48" s="100"/>
      <c r="IF48" s="100"/>
      <c r="IG48" s="100"/>
      <c r="IH48" s="100"/>
      <c r="II48" s="100"/>
      <c r="IJ48" s="100"/>
      <c r="IK48" s="100"/>
      <c r="IL48" s="100"/>
      <c r="IM48" s="100"/>
      <c r="IN48" s="100"/>
      <c r="IO48" s="100"/>
      <c r="IP48" s="100"/>
      <c r="IQ48" s="100"/>
      <c r="IR48" s="100"/>
      <c r="IS48" s="100"/>
      <c r="IT48" s="100"/>
      <c r="IU48" s="100"/>
      <c r="IV48" s="100"/>
      <c r="IW48" s="100"/>
      <c r="IX48" s="100"/>
      <c r="IY48" s="100"/>
      <c r="IZ48" s="100"/>
      <c r="JA48" s="100"/>
      <c r="JB48" s="100"/>
      <c r="JC48" s="100"/>
      <c r="JD48" s="100"/>
      <c r="JE48" s="100"/>
      <c r="JF48" s="100"/>
      <c r="JG48" s="100"/>
      <c r="JH48" s="100"/>
      <c r="JI48" s="100"/>
      <c r="JJ48" s="100"/>
      <c r="JK48" s="100"/>
      <c r="JL48" s="100"/>
      <c r="JM48" s="100"/>
      <c r="JN48" s="100"/>
      <c r="JO48" s="100"/>
      <c r="JP48" s="100"/>
      <c r="JQ48" s="100"/>
      <c r="JR48" s="100"/>
      <c r="JS48" s="100"/>
      <c r="JT48" s="100"/>
      <c r="JU48" s="100"/>
      <c r="JV48" s="100"/>
      <c r="JW48" s="100"/>
      <c r="JX48" s="100"/>
      <c r="JY48" s="100"/>
      <c r="JZ48" s="100"/>
      <c r="KA48" s="100"/>
      <c r="KB48" s="100"/>
      <c r="KC48" s="100"/>
      <c r="KD48" s="100"/>
      <c r="KE48" s="100"/>
      <c r="KF48" s="100"/>
      <c r="KG48" s="100"/>
      <c r="KH48" s="100"/>
      <c r="KI48" s="100"/>
      <c r="KJ48" s="100"/>
    </row>
    <row r="49" spans="1:296" s="39" customFormat="1" ht="18" x14ac:dyDescent="0.35">
      <c r="A49"/>
      <c r="B49" s="173" t="s">
        <v>0</v>
      </c>
      <c r="C49" s="173"/>
      <c r="D49" s="173"/>
      <c r="E49" s="173"/>
      <c r="F49" s="7"/>
      <c r="G49" s="5"/>
      <c r="H49"/>
      <c r="I49" s="28"/>
      <c r="K49" s="70"/>
      <c r="L49" s="75"/>
      <c r="M49" s="127"/>
      <c r="N49" s="77"/>
      <c r="O49" s="164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00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100"/>
      <c r="CX49" s="100"/>
      <c r="CY49" s="100"/>
      <c r="CZ49" s="100"/>
      <c r="DA49" s="100"/>
      <c r="DB49" s="100"/>
      <c r="DC49" s="100"/>
      <c r="DD49" s="100"/>
      <c r="DE49" s="100"/>
      <c r="DF49" s="100"/>
      <c r="DG49" s="100"/>
      <c r="DH49" s="100"/>
      <c r="DI49" s="100"/>
      <c r="DJ49" s="100"/>
      <c r="DK49" s="100"/>
      <c r="DL49" s="100"/>
      <c r="DM49" s="100"/>
      <c r="DN49" s="100"/>
      <c r="DO49" s="100"/>
      <c r="DP49" s="100"/>
      <c r="DQ49" s="100"/>
      <c r="DR49" s="100"/>
      <c r="DS49" s="100"/>
      <c r="DT49" s="100"/>
      <c r="DU49" s="100"/>
      <c r="DV49" s="100"/>
      <c r="DW49" s="100"/>
      <c r="DX49" s="100"/>
      <c r="DY49" s="100"/>
      <c r="DZ49" s="100"/>
      <c r="EA49" s="100"/>
      <c r="EB49" s="100"/>
      <c r="EC49" s="100"/>
      <c r="ED49" s="100"/>
      <c r="EE49" s="100"/>
      <c r="EF49" s="100"/>
      <c r="EG49" s="100"/>
      <c r="EH49" s="100"/>
      <c r="EI49" s="100"/>
      <c r="EJ49" s="100"/>
      <c r="EK49" s="100"/>
      <c r="EL49" s="100"/>
      <c r="EM49" s="100"/>
      <c r="EN49" s="100"/>
      <c r="EO49" s="100"/>
      <c r="EP49" s="100"/>
      <c r="EQ49" s="100"/>
      <c r="ER49" s="100"/>
      <c r="ES49" s="100"/>
      <c r="ET49" s="100"/>
      <c r="EU49" s="100"/>
      <c r="EV49" s="100"/>
      <c r="EW49" s="100"/>
      <c r="EX49" s="100"/>
      <c r="EY49" s="100"/>
      <c r="EZ49" s="100"/>
      <c r="FA49" s="100"/>
      <c r="FB49" s="100"/>
      <c r="FC49" s="100"/>
      <c r="FD49" s="100"/>
      <c r="FE49" s="100"/>
      <c r="FF49" s="100"/>
      <c r="FG49" s="100"/>
      <c r="FH49" s="100"/>
      <c r="FI49" s="100"/>
      <c r="FJ49" s="100"/>
      <c r="FK49" s="100"/>
      <c r="FL49" s="100"/>
      <c r="FM49" s="100"/>
      <c r="FN49" s="100"/>
      <c r="FO49" s="100"/>
      <c r="FP49" s="100"/>
      <c r="FQ49" s="100"/>
      <c r="FR49" s="100"/>
      <c r="FS49" s="100"/>
      <c r="FT49" s="100"/>
      <c r="FU49" s="100"/>
      <c r="FV49" s="100"/>
      <c r="FW49" s="100"/>
      <c r="FX49" s="100"/>
      <c r="FY49" s="100"/>
      <c r="FZ49" s="100"/>
      <c r="GA49" s="100"/>
      <c r="GB49" s="100"/>
      <c r="GC49" s="100"/>
      <c r="GD49" s="100"/>
      <c r="GE49" s="100"/>
      <c r="GF49" s="100"/>
      <c r="GG49" s="100"/>
      <c r="GH49" s="100"/>
      <c r="GI49" s="100"/>
      <c r="GJ49" s="100"/>
      <c r="GK49" s="100"/>
      <c r="GL49" s="100"/>
      <c r="GM49" s="100"/>
      <c r="GN49" s="100"/>
      <c r="GO49" s="100"/>
      <c r="GP49" s="100"/>
      <c r="GQ49" s="100"/>
      <c r="GR49" s="100"/>
      <c r="GS49" s="100"/>
      <c r="GT49" s="100"/>
      <c r="GU49" s="100"/>
      <c r="GV49" s="100"/>
      <c r="GW49" s="100"/>
      <c r="GX49" s="100"/>
      <c r="GY49" s="100"/>
      <c r="GZ49" s="100"/>
      <c r="HA49" s="100"/>
      <c r="HB49" s="100"/>
      <c r="HC49" s="100"/>
      <c r="HD49" s="100"/>
      <c r="HE49" s="100"/>
      <c r="HF49" s="100"/>
      <c r="HG49" s="100"/>
      <c r="HH49" s="100"/>
      <c r="HI49" s="100"/>
      <c r="HJ49" s="100"/>
      <c r="HK49" s="100"/>
      <c r="HL49" s="100"/>
      <c r="HM49" s="100"/>
      <c r="HN49" s="100"/>
      <c r="HO49" s="100"/>
      <c r="HP49" s="100"/>
      <c r="HQ49" s="100"/>
      <c r="HR49" s="100"/>
      <c r="HS49" s="100"/>
      <c r="HT49" s="100"/>
      <c r="HU49" s="100"/>
      <c r="HV49" s="100"/>
      <c r="HW49" s="100"/>
      <c r="HX49" s="100"/>
      <c r="HY49" s="100"/>
      <c r="HZ49" s="100"/>
      <c r="IA49" s="100"/>
      <c r="IB49" s="100"/>
      <c r="IC49" s="100"/>
      <c r="ID49" s="100"/>
      <c r="IE49" s="100"/>
      <c r="IF49" s="100"/>
      <c r="IG49" s="100"/>
      <c r="IH49" s="100"/>
      <c r="II49" s="100"/>
      <c r="IJ49" s="100"/>
      <c r="IK49" s="100"/>
      <c r="IL49" s="100"/>
      <c r="IM49" s="100"/>
      <c r="IN49" s="100"/>
      <c r="IO49" s="100"/>
      <c r="IP49" s="100"/>
      <c r="IQ49" s="100"/>
      <c r="IR49" s="100"/>
      <c r="IS49" s="100"/>
      <c r="IT49" s="100"/>
      <c r="IU49" s="100"/>
      <c r="IV49" s="100"/>
      <c r="IW49" s="100"/>
      <c r="IX49" s="100"/>
      <c r="IY49" s="100"/>
      <c r="IZ49" s="100"/>
      <c r="JA49" s="100"/>
      <c r="JB49" s="100"/>
      <c r="JC49" s="100"/>
      <c r="JD49" s="100"/>
      <c r="JE49" s="100"/>
      <c r="JF49" s="100"/>
      <c r="JG49" s="100"/>
      <c r="JH49" s="100"/>
      <c r="JI49" s="100"/>
      <c r="JJ49" s="100"/>
      <c r="JK49" s="100"/>
      <c r="JL49" s="100"/>
      <c r="JM49" s="100"/>
      <c r="JN49" s="100"/>
      <c r="JO49" s="100"/>
      <c r="JP49" s="100"/>
      <c r="JQ49" s="100"/>
      <c r="JR49" s="100"/>
      <c r="JS49" s="100"/>
      <c r="JT49" s="100"/>
      <c r="JU49" s="100"/>
      <c r="JV49" s="100"/>
      <c r="JW49" s="100"/>
      <c r="JX49" s="100"/>
      <c r="JY49" s="100"/>
      <c r="JZ49" s="100"/>
      <c r="KA49" s="100"/>
      <c r="KB49" s="100"/>
      <c r="KC49" s="100"/>
      <c r="KD49" s="100"/>
      <c r="KE49" s="100"/>
      <c r="KF49" s="100"/>
      <c r="KG49" s="100"/>
      <c r="KH49" s="100"/>
      <c r="KI49" s="100"/>
      <c r="KJ49" s="100"/>
    </row>
    <row r="50" spans="1:296" s="39" customFormat="1" x14ac:dyDescent="0.3">
      <c r="A50"/>
      <c r="B50" s="1" t="s">
        <v>2</v>
      </c>
      <c r="C50" s="4" t="s">
        <v>5</v>
      </c>
      <c r="D50" s="110" t="s">
        <v>4</v>
      </c>
      <c r="E50" s="6" t="s">
        <v>3</v>
      </c>
      <c r="F50" s="7"/>
      <c r="G50" s="5"/>
      <c r="H50"/>
      <c r="I50" s="28"/>
      <c r="K50" s="70"/>
      <c r="L50" s="75"/>
      <c r="M50" s="127"/>
      <c r="N50" s="77"/>
      <c r="O50" s="164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  <c r="BU50" s="100"/>
      <c r="BV50" s="100"/>
      <c r="BW50" s="100"/>
      <c r="BX50" s="100"/>
      <c r="BY50" s="100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/>
      <c r="CV50" s="100"/>
      <c r="CW50" s="100"/>
      <c r="CX50" s="100"/>
      <c r="CY50" s="100"/>
      <c r="CZ50" s="100"/>
      <c r="DA50" s="100"/>
      <c r="DB50" s="100"/>
      <c r="DC50" s="100"/>
      <c r="DD50" s="100"/>
      <c r="DE50" s="100"/>
      <c r="DF50" s="100"/>
      <c r="DG50" s="100"/>
      <c r="DH50" s="100"/>
      <c r="DI50" s="100"/>
      <c r="DJ50" s="100"/>
      <c r="DK50" s="100"/>
      <c r="DL50" s="100"/>
      <c r="DM50" s="100"/>
      <c r="DN50" s="100"/>
      <c r="DO50" s="100"/>
      <c r="DP50" s="100"/>
      <c r="DQ50" s="100"/>
      <c r="DR50" s="100"/>
      <c r="DS50" s="100"/>
      <c r="DT50" s="100"/>
      <c r="DU50" s="100"/>
      <c r="DV50" s="100"/>
      <c r="DW50" s="100"/>
      <c r="DX50" s="100"/>
      <c r="DY50" s="100"/>
      <c r="DZ50" s="100"/>
      <c r="EA50" s="100"/>
      <c r="EB50" s="100"/>
      <c r="EC50" s="100"/>
      <c r="ED50" s="100"/>
      <c r="EE50" s="100"/>
      <c r="EF50" s="100"/>
      <c r="EG50" s="100"/>
      <c r="EH50" s="100"/>
      <c r="EI50" s="100"/>
      <c r="EJ50" s="100"/>
      <c r="EK50" s="100"/>
      <c r="EL50" s="100"/>
      <c r="EM50" s="100"/>
      <c r="EN50" s="100"/>
      <c r="EO50" s="100"/>
      <c r="EP50" s="100"/>
      <c r="EQ50" s="100"/>
      <c r="ER50" s="100"/>
      <c r="ES50" s="100"/>
      <c r="ET50" s="100"/>
      <c r="EU50" s="100"/>
      <c r="EV50" s="100"/>
      <c r="EW50" s="100"/>
      <c r="EX50" s="100"/>
      <c r="EY50" s="100"/>
      <c r="EZ50" s="100"/>
      <c r="FA50" s="100"/>
      <c r="FB50" s="100"/>
      <c r="FC50" s="100"/>
      <c r="FD50" s="100"/>
      <c r="FE50" s="100"/>
      <c r="FF50" s="100"/>
      <c r="FG50" s="100"/>
      <c r="FH50" s="100"/>
      <c r="FI50" s="100"/>
      <c r="FJ50" s="100"/>
      <c r="FK50" s="100"/>
      <c r="FL50" s="100"/>
      <c r="FM50" s="100"/>
      <c r="FN50" s="100"/>
      <c r="FO50" s="100"/>
      <c r="FP50" s="100"/>
      <c r="FQ50" s="100"/>
      <c r="FR50" s="100"/>
      <c r="FS50" s="100"/>
      <c r="FT50" s="100"/>
      <c r="FU50" s="100"/>
      <c r="FV50" s="100"/>
      <c r="FW50" s="100"/>
      <c r="FX50" s="100"/>
      <c r="FY50" s="100"/>
      <c r="FZ50" s="100"/>
      <c r="GA50" s="100"/>
      <c r="GB50" s="100"/>
      <c r="GC50" s="100"/>
      <c r="GD50" s="100"/>
      <c r="GE50" s="100"/>
      <c r="GF50" s="100"/>
      <c r="GG50" s="100"/>
      <c r="GH50" s="100"/>
      <c r="GI50" s="100"/>
      <c r="GJ50" s="100"/>
      <c r="GK50" s="100"/>
      <c r="GL50" s="100"/>
      <c r="GM50" s="100"/>
      <c r="GN50" s="100"/>
      <c r="GO50" s="100"/>
      <c r="GP50" s="100"/>
      <c r="GQ50" s="100"/>
      <c r="GR50" s="100"/>
      <c r="GS50" s="100"/>
      <c r="GT50" s="100"/>
      <c r="GU50" s="100"/>
      <c r="GV50" s="100"/>
      <c r="GW50" s="100"/>
      <c r="GX50" s="100"/>
      <c r="GY50" s="100"/>
      <c r="GZ50" s="100"/>
      <c r="HA50" s="100"/>
      <c r="HB50" s="100"/>
      <c r="HC50" s="100"/>
      <c r="HD50" s="100"/>
      <c r="HE50" s="100"/>
      <c r="HF50" s="100"/>
      <c r="HG50" s="100"/>
      <c r="HH50" s="100"/>
      <c r="HI50" s="100"/>
      <c r="HJ50" s="100"/>
      <c r="HK50" s="100"/>
      <c r="HL50" s="100"/>
      <c r="HM50" s="100"/>
      <c r="HN50" s="100"/>
      <c r="HO50" s="100"/>
      <c r="HP50" s="100"/>
      <c r="HQ50" s="100"/>
      <c r="HR50" s="100"/>
      <c r="HS50" s="100"/>
      <c r="HT50" s="100"/>
      <c r="HU50" s="100"/>
      <c r="HV50" s="100"/>
      <c r="HW50" s="100"/>
      <c r="HX50" s="100"/>
      <c r="HY50" s="100"/>
      <c r="HZ50" s="100"/>
      <c r="IA50" s="100"/>
      <c r="IB50" s="100"/>
      <c r="IC50" s="100"/>
      <c r="ID50" s="100"/>
      <c r="IE50" s="100"/>
      <c r="IF50" s="100"/>
      <c r="IG50" s="100"/>
      <c r="IH50" s="100"/>
      <c r="II50" s="100"/>
      <c r="IJ50" s="100"/>
      <c r="IK50" s="100"/>
      <c r="IL50" s="100"/>
      <c r="IM50" s="100"/>
      <c r="IN50" s="100"/>
      <c r="IO50" s="100"/>
      <c r="IP50" s="100"/>
      <c r="IQ50" s="100"/>
      <c r="IR50" s="100"/>
      <c r="IS50" s="100"/>
      <c r="IT50" s="100"/>
      <c r="IU50" s="100"/>
      <c r="IV50" s="100"/>
      <c r="IW50" s="100"/>
      <c r="IX50" s="100"/>
      <c r="IY50" s="100"/>
      <c r="IZ50" s="100"/>
      <c r="JA50" s="100"/>
      <c r="JB50" s="100"/>
      <c r="JC50" s="100"/>
      <c r="JD50" s="100"/>
      <c r="JE50" s="100"/>
      <c r="JF50" s="100"/>
      <c r="JG50" s="100"/>
      <c r="JH50" s="100"/>
      <c r="JI50" s="100"/>
      <c r="JJ50" s="100"/>
      <c r="JK50" s="100"/>
      <c r="JL50" s="100"/>
      <c r="JM50" s="100"/>
      <c r="JN50" s="100"/>
      <c r="JO50" s="100"/>
      <c r="JP50" s="100"/>
      <c r="JQ50" s="100"/>
      <c r="JR50" s="100"/>
      <c r="JS50" s="100"/>
      <c r="JT50" s="100"/>
      <c r="JU50" s="100"/>
      <c r="JV50" s="100"/>
      <c r="JW50" s="100"/>
      <c r="JX50" s="100"/>
      <c r="JY50" s="100"/>
      <c r="JZ50" s="100"/>
      <c r="KA50" s="100"/>
      <c r="KB50" s="100"/>
      <c r="KC50" s="100"/>
      <c r="KD50" s="100"/>
      <c r="KE50" s="100"/>
      <c r="KF50" s="100"/>
      <c r="KG50" s="100"/>
      <c r="KH50" s="100"/>
      <c r="KI50" s="100"/>
      <c r="KJ50" s="100"/>
    </row>
    <row r="51" spans="1:296" s="39" customFormat="1" x14ac:dyDescent="0.3">
      <c r="A51"/>
      <c r="B51" t="s">
        <v>1</v>
      </c>
      <c r="C51" s="5">
        <v>18</v>
      </c>
      <c r="D51" s="111">
        <v>6</v>
      </c>
      <c r="E51" s="5">
        <f>-(+C51*D51)</f>
        <v>-108</v>
      </c>
      <c r="F51" s="7"/>
      <c r="G51" s="15"/>
      <c r="H51"/>
      <c r="I51" s="28"/>
      <c r="K51" s="70"/>
      <c r="L51" s="75"/>
      <c r="M51" s="127"/>
      <c r="N51" s="77"/>
      <c r="O51" s="164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0"/>
      <c r="DE51" s="100"/>
      <c r="DF51" s="100"/>
      <c r="DG51" s="100"/>
      <c r="DH51" s="100"/>
      <c r="DI51" s="100"/>
      <c r="DJ51" s="100"/>
      <c r="DK51" s="100"/>
      <c r="DL51" s="100"/>
      <c r="DM51" s="100"/>
      <c r="DN51" s="100"/>
      <c r="DO51" s="100"/>
      <c r="DP51" s="100"/>
      <c r="DQ51" s="100"/>
      <c r="DR51" s="100"/>
      <c r="DS51" s="100"/>
      <c r="DT51" s="100"/>
      <c r="DU51" s="100"/>
      <c r="DV51" s="100"/>
      <c r="DW51" s="100"/>
      <c r="DX51" s="100"/>
      <c r="DY51" s="100"/>
      <c r="DZ51" s="100"/>
      <c r="EA51" s="100"/>
      <c r="EB51" s="100"/>
      <c r="EC51" s="100"/>
      <c r="ED51" s="100"/>
      <c r="EE51" s="100"/>
      <c r="EF51" s="100"/>
      <c r="EG51" s="100"/>
      <c r="EH51" s="100"/>
      <c r="EI51" s="100"/>
      <c r="EJ51" s="100"/>
      <c r="EK51" s="100"/>
      <c r="EL51" s="100"/>
      <c r="EM51" s="100"/>
      <c r="EN51" s="100"/>
      <c r="EO51" s="100"/>
      <c r="EP51" s="100"/>
      <c r="EQ51" s="100"/>
      <c r="ER51" s="100"/>
      <c r="ES51" s="100"/>
      <c r="ET51" s="100"/>
      <c r="EU51" s="100"/>
      <c r="EV51" s="100"/>
      <c r="EW51" s="100"/>
      <c r="EX51" s="100"/>
      <c r="EY51" s="100"/>
      <c r="EZ51" s="100"/>
      <c r="FA51" s="100"/>
      <c r="FB51" s="100"/>
      <c r="FC51" s="100"/>
      <c r="FD51" s="100"/>
      <c r="FE51" s="100"/>
      <c r="FF51" s="100"/>
      <c r="FG51" s="100"/>
      <c r="FH51" s="100"/>
      <c r="FI51" s="100"/>
      <c r="FJ51" s="100"/>
      <c r="FK51" s="100"/>
      <c r="FL51" s="100"/>
      <c r="FM51" s="100"/>
      <c r="FN51" s="100"/>
      <c r="FO51" s="100"/>
      <c r="FP51" s="100"/>
      <c r="FQ51" s="100"/>
      <c r="FR51" s="100"/>
      <c r="FS51" s="100"/>
      <c r="FT51" s="100"/>
      <c r="FU51" s="100"/>
      <c r="FV51" s="100"/>
      <c r="FW51" s="100"/>
      <c r="FX51" s="100"/>
      <c r="FY51" s="100"/>
      <c r="FZ51" s="100"/>
      <c r="GA51" s="100"/>
      <c r="GB51" s="100"/>
      <c r="GC51" s="100"/>
      <c r="GD51" s="100"/>
      <c r="GE51" s="100"/>
      <c r="GF51" s="100"/>
      <c r="GG51" s="100"/>
      <c r="GH51" s="100"/>
      <c r="GI51" s="100"/>
      <c r="GJ51" s="100"/>
      <c r="GK51" s="100"/>
      <c r="GL51" s="100"/>
      <c r="GM51" s="100"/>
      <c r="GN51" s="100"/>
      <c r="GO51" s="100"/>
      <c r="GP51" s="100"/>
      <c r="GQ51" s="100"/>
      <c r="GR51" s="100"/>
      <c r="GS51" s="100"/>
      <c r="GT51" s="100"/>
      <c r="GU51" s="100"/>
      <c r="GV51" s="100"/>
      <c r="GW51" s="100"/>
      <c r="GX51" s="100"/>
      <c r="GY51" s="100"/>
      <c r="GZ51" s="100"/>
      <c r="HA51" s="100"/>
      <c r="HB51" s="100"/>
      <c r="HC51" s="100"/>
      <c r="HD51" s="100"/>
      <c r="HE51" s="100"/>
      <c r="HF51" s="100"/>
      <c r="HG51" s="100"/>
      <c r="HH51" s="100"/>
      <c r="HI51" s="100"/>
      <c r="HJ51" s="100"/>
      <c r="HK51" s="100"/>
      <c r="HL51" s="100"/>
      <c r="HM51" s="100"/>
      <c r="HN51" s="100"/>
      <c r="HO51" s="100"/>
      <c r="HP51" s="100"/>
      <c r="HQ51" s="100"/>
      <c r="HR51" s="100"/>
      <c r="HS51" s="100"/>
      <c r="HT51" s="100"/>
      <c r="HU51" s="100"/>
      <c r="HV51" s="100"/>
      <c r="HW51" s="100"/>
      <c r="HX51" s="100"/>
      <c r="HY51" s="100"/>
      <c r="HZ51" s="100"/>
      <c r="IA51" s="100"/>
      <c r="IB51" s="100"/>
      <c r="IC51" s="100"/>
      <c r="ID51" s="100"/>
      <c r="IE51" s="100"/>
      <c r="IF51" s="100"/>
      <c r="IG51" s="100"/>
      <c r="IH51" s="100"/>
      <c r="II51" s="100"/>
      <c r="IJ51" s="100"/>
      <c r="IK51" s="100"/>
      <c r="IL51" s="100"/>
      <c r="IM51" s="100"/>
      <c r="IN51" s="100"/>
      <c r="IO51" s="100"/>
      <c r="IP51" s="100"/>
      <c r="IQ51" s="100"/>
      <c r="IR51" s="100"/>
      <c r="IS51" s="100"/>
      <c r="IT51" s="100"/>
      <c r="IU51" s="100"/>
      <c r="IV51" s="100"/>
      <c r="IW51" s="100"/>
      <c r="IX51" s="100"/>
      <c r="IY51" s="100"/>
      <c r="IZ51" s="100"/>
      <c r="JA51" s="100"/>
      <c r="JB51" s="100"/>
      <c r="JC51" s="100"/>
      <c r="JD51" s="100"/>
      <c r="JE51" s="100"/>
      <c r="JF51" s="100"/>
      <c r="JG51" s="100"/>
      <c r="JH51" s="100"/>
      <c r="JI51" s="100"/>
      <c r="JJ51" s="100"/>
      <c r="JK51" s="100"/>
      <c r="JL51" s="100"/>
      <c r="JM51" s="100"/>
      <c r="JN51" s="100"/>
      <c r="JO51" s="100"/>
      <c r="JP51" s="100"/>
      <c r="JQ51" s="100"/>
      <c r="JR51" s="100"/>
      <c r="JS51" s="100"/>
      <c r="JT51" s="100"/>
      <c r="JU51" s="100"/>
      <c r="JV51" s="100"/>
      <c r="JW51" s="100"/>
      <c r="JX51" s="100"/>
      <c r="JY51" s="100"/>
      <c r="JZ51" s="100"/>
      <c r="KA51" s="100"/>
      <c r="KB51" s="100"/>
      <c r="KC51" s="100"/>
      <c r="KD51" s="100"/>
      <c r="KE51" s="100"/>
      <c r="KF51" s="100"/>
      <c r="KG51" s="100"/>
      <c r="KH51" s="100"/>
      <c r="KI51" s="100"/>
      <c r="KJ51" s="100"/>
    </row>
    <row r="52" spans="1:296" s="39" customFormat="1" x14ac:dyDescent="0.3">
      <c r="A52"/>
      <c r="B52" t="s">
        <v>6</v>
      </c>
      <c r="C52" s="5">
        <v>12.5</v>
      </c>
      <c r="D52" s="111">
        <v>6</v>
      </c>
      <c r="E52" s="5">
        <f t="shared" ref="E52:E59" si="1">-(+C52*D52)</f>
        <v>-75</v>
      </c>
      <c r="F52" s="18"/>
      <c r="G52" s="19"/>
      <c r="H52"/>
      <c r="I52" s="28"/>
      <c r="K52" s="70"/>
      <c r="L52" s="75"/>
      <c r="M52" s="127"/>
      <c r="N52" s="77"/>
      <c r="O52" s="164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0"/>
      <c r="BL52" s="100"/>
      <c r="BM52" s="100"/>
      <c r="BN52" s="100"/>
      <c r="BO52" s="100"/>
      <c r="BP52" s="100"/>
      <c r="BQ52" s="100"/>
      <c r="BR52" s="100"/>
      <c r="BS52" s="100"/>
      <c r="BT52" s="100"/>
      <c r="BU52" s="100"/>
      <c r="BV52" s="100"/>
      <c r="BW52" s="100"/>
      <c r="BX52" s="100"/>
      <c r="BY52" s="100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  <c r="DC52" s="100"/>
      <c r="DD52" s="100"/>
      <c r="DE52" s="100"/>
      <c r="DF52" s="100"/>
      <c r="DG52" s="100"/>
      <c r="DH52" s="100"/>
      <c r="DI52" s="100"/>
      <c r="DJ52" s="100"/>
      <c r="DK52" s="100"/>
      <c r="DL52" s="100"/>
      <c r="DM52" s="100"/>
      <c r="DN52" s="100"/>
      <c r="DO52" s="100"/>
      <c r="DP52" s="100"/>
      <c r="DQ52" s="100"/>
      <c r="DR52" s="100"/>
      <c r="DS52" s="100"/>
      <c r="DT52" s="100"/>
      <c r="DU52" s="100"/>
      <c r="DV52" s="100"/>
      <c r="DW52" s="100"/>
      <c r="DX52" s="100"/>
      <c r="DY52" s="100"/>
      <c r="DZ52" s="100"/>
      <c r="EA52" s="100"/>
      <c r="EB52" s="100"/>
      <c r="EC52" s="100"/>
      <c r="ED52" s="100"/>
      <c r="EE52" s="100"/>
      <c r="EF52" s="100"/>
      <c r="EG52" s="100"/>
      <c r="EH52" s="100"/>
      <c r="EI52" s="100"/>
      <c r="EJ52" s="100"/>
      <c r="EK52" s="100"/>
      <c r="EL52" s="100"/>
      <c r="EM52" s="100"/>
      <c r="EN52" s="100"/>
      <c r="EO52" s="100"/>
      <c r="EP52" s="100"/>
      <c r="EQ52" s="100"/>
      <c r="ER52" s="100"/>
      <c r="ES52" s="100"/>
      <c r="ET52" s="100"/>
      <c r="EU52" s="100"/>
      <c r="EV52" s="100"/>
      <c r="EW52" s="100"/>
      <c r="EX52" s="100"/>
      <c r="EY52" s="100"/>
      <c r="EZ52" s="100"/>
      <c r="FA52" s="100"/>
      <c r="FB52" s="100"/>
      <c r="FC52" s="100"/>
      <c r="FD52" s="100"/>
      <c r="FE52" s="100"/>
      <c r="FF52" s="100"/>
      <c r="FG52" s="100"/>
      <c r="FH52" s="100"/>
      <c r="FI52" s="100"/>
      <c r="FJ52" s="100"/>
      <c r="FK52" s="100"/>
      <c r="FL52" s="100"/>
      <c r="FM52" s="100"/>
      <c r="FN52" s="100"/>
      <c r="FO52" s="100"/>
      <c r="FP52" s="100"/>
      <c r="FQ52" s="100"/>
      <c r="FR52" s="100"/>
      <c r="FS52" s="100"/>
      <c r="FT52" s="100"/>
      <c r="FU52" s="100"/>
      <c r="FV52" s="100"/>
      <c r="FW52" s="100"/>
      <c r="FX52" s="100"/>
      <c r="FY52" s="100"/>
      <c r="FZ52" s="100"/>
      <c r="GA52" s="100"/>
      <c r="GB52" s="100"/>
      <c r="GC52" s="100"/>
      <c r="GD52" s="100"/>
      <c r="GE52" s="100"/>
      <c r="GF52" s="100"/>
      <c r="GG52" s="100"/>
      <c r="GH52" s="100"/>
      <c r="GI52" s="100"/>
      <c r="GJ52" s="100"/>
      <c r="GK52" s="100"/>
      <c r="GL52" s="100"/>
      <c r="GM52" s="100"/>
      <c r="GN52" s="100"/>
      <c r="GO52" s="100"/>
      <c r="GP52" s="100"/>
      <c r="GQ52" s="100"/>
      <c r="GR52" s="100"/>
      <c r="GS52" s="100"/>
      <c r="GT52" s="100"/>
      <c r="GU52" s="100"/>
      <c r="GV52" s="100"/>
      <c r="GW52" s="100"/>
      <c r="GX52" s="100"/>
      <c r="GY52" s="100"/>
      <c r="GZ52" s="100"/>
      <c r="HA52" s="100"/>
      <c r="HB52" s="100"/>
      <c r="HC52" s="100"/>
      <c r="HD52" s="100"/>
      <c r="HE52" s="100"/>
      <c r="HF52" s="100"/>
      <c r="HG52" s="100"/>
      <c r="HH52" s="100"/>
      <c r="HI52" s="100"/>
      <c r="HJ52" s="100"/>
      <c r="HK52" s="100"/>
      <c r="HL52" s="100"/>
      <c r="HM52" s="100"/>
      <c r="HN52" s="100"/>
      <c r="HO52" s="100"/>
      <c r="HP52" s="100"/>
      <c r="HQ52" s="100"/>
      <c r="HR52" s="100"/>
      <c r="HS52" s="100"/>
      <c r="HT52" s="100"/>
      <c r="HU52" s="100"/>
      <c r="HV52" s="100"/>
      <c r="HW52" s="100"/>
      <c r="HX52" s="100"/>
      <c r="HY52" s="100"/>
      <c r="HZ52" s="100"/>
      <c r="IA52" s="100"/>
      <c r="IB52" s="100"/>
      <c r="IC52" s="100"/>
      <c r="ID52" s="100"/>
      <c r="IE52" s="100"/>
      <c r="IF52" s="100"/>
      <c r="IG52" s="100"/>
      <c r="IH52" s="100"/>
      <c r="II52" s="100"/>
      <c r="IJ52" s="100"/>
      <c r="IK52" s="100"/>
      <c r="IL52" s="100"/>
      <c r="IM52" s="100"/>
      <c r="IN52" s="100"/>
      <c r="IO52" s="100"/>
      <c r="IP52" s="100"/>
      <c r="IQ52" s="100"/>
      <c r="IR52" s="100"/>
      <c r="IS52" s="100"/>
      <c r="IT52" s="100"/>
      <c r="IU52" s="100"/>
      <c r="IV52" s="100"/>
      <c r="IW52" s="100"/>
      <c r="IX52" s="100"/>
      <c r="IY52" s="100"/>
      <c r="IZ52" s="100"/>
      <c r="JA52" s="100"/>
      <c r="JB52" s="100"/>
      <c r="JC52" s="100"/>
      <c r="JD52" s="100"/>
      <c r="JE52" s="100"/>
      <c r="JF52" s="100"/>
      <c r="JG52" s="100"/>
      <c r="JH52" s="100"/>
      <c r="JI52" s="100"/>
      <c r="JJ52" s="100"/>
      <c r="JK52" s="100"/>
      <c r="JL52" s="100"/>
      <c r="JM52" s="100"/>
      <c r="JN52" s="100"/>
      <c r="JO52" s="100"/>
      <c r="JP52" s="100"/>
      <c r="JQ52" s="100"/>
      <c r="JR52" s="100"/>
      <c r="JS52" s="100"/>
      <c r="JT52" s="100"/>
      <c r="JU52" s="100"/>
      <c r="JV52" s="100"/>
      <c r="JW52" s="100"/>
      <c r="JX52" s="100"/>
      <c r="JY52" s="100"/>
      <c r="JZ52" s="100"/>
      <c r="KA52" s="100"/>
      <c r="KB52" s="100"/>
      <c r="KC52" s="100"/>
      <c r="KD52" s="100"/>
      <c r="KE52" s="100"/>
      <c r="KF52" s="100"/>
      <c r="KG52" s="100"/>
      <c r="KH52" s="100"/>
      <c r="KI52" s="100"/>
      <c r="KJ52" s="100"/>
    </row>
    <row r="53" spans="1:296" s="43" customFormat="1" x14ac:dyDescent="0.3">
      <c r="B53" s="130" t="s">
        <v>128</v>
      </c>
      <c r="C53" s="119">
        <v>15</v>
      </c>
      <c r="D53" s="120">
        <v>1</v>
      </c>
      <c r="E53" s="119">
        <f>-(+C53*D53)</f>
        <v>-15</v>
      </c>
      <c r="F53" s="121"/>
      <c r="G53" s="119"/>
      <c r="I53" s="28"/>
      <c r="J53" s="39"/>
      <c r="K53" s="70"/>
      <c r="L53" s="75"/>
      <c r="M53" s="127"/>
      <c r="N53" s="77"/>
      <c r="O53" s="164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  <c r="DC53" s="100"/>
      <c r="DD53" s="100"/>
      <c r="DE53" s="100"/>
      <c r="DF53" s="100"/>
      <c r="DG53" s="100"/>
      <c r="DH53" s="100"/>
      <c r="DI53" s="100"/>
      <c r="DJ53" s="100"/>
      <c r="DK53" s="100"/>
      <c r="DL53" s="100"/>
      <c r="DM53" s="100"/>
      <c r="DN53" s="100"/>
      <c r="DO53" s="100"/>
      <c r="DP53" s="100"/>
      <c r="DQ53" s="100"/>
      <c r="DR53" s="100"/>
      <c r="DS53" s="100"/>
      <c r="DT53" s="100"/>
      <c r="DU53" s="100"/>
      <c r="DV53" s="100"/>
      <c r="DW53" s="100"/>
      <c r="DX53" s="100"/>
      <c r="DY53" s="100"/>
      <c r="DZ53" s="100"/>
      <c r="EA53" s="100"/>
      <c r="EB53" s="100"/>
      <c r="EC53" s="100"/>
      <c r="ED53" s="100"/>
      <c r="EE53" s="100"/>
      <c r="EF53" s="100"/>
      <c r="EG53" s="100"/>
      <c r="EH53" s="100"/>
      <c r="EI53" s="100"/>
      <c r="EJ53" s="100"/>
      <c r="EK53" s="100"/>
      <c r="EL53" s="100"/>
      <c r="EM53" s="100"/>
      <c r="EN53" s="100"/>
      <c r="EO53" s="100"/>
      <c r="EP53" s="100"/>
      <c r="EQ53" s="100"/>
      <c r="ER53" s="100"/>
      <c r="ES53" s="100"/>
      <c r="ET53" s="100"/>
      <c r="EU53" s="100"/>
      <c r="EV53" s="100"/>
      <c r="EW53" s="100"/>
      <c r="EX53" s="100"/>
      <c r="EY53" s="100"/>
      <c r="EZ53" s="100"/>
      <c r="FA53" s="100"/>
      <c r="FB53" s="100"/>
      <c r="FC53" s="100"/>
      <c r="FD53" s="100"/>
      <c r="FE53" s="100"/>
      <c r="FF53" s="100"/>
      <c r="FG53" s="100"/>
      <c r="FH53" s="100"/>
      <c r="FI53" s="100"/>
      <c r="FJ53" s="100"/>
      <c r="FK53" s="100"/>
      <c r="FL53" s="100"/>
      <c r="FM53" s="100"/>
      <c r="FN53" s="100"/>
      <c r="FO53" s="100"/>
      <c r="FP53" s="100"/>
      <c r="FQ53" s="100"/>
      <c r="FR53" s="100"/>
      <c r="FS53" s="100"/>
      <c r="FT53" s="100"/>
      <c r="FU53" s="100"/>
      <c r="FV53" s="100"/>
      <c r="FW53" s="100"/>
      <c r="FX53" s="100"/>
      <c r="FY53" s="100"/>
      <c r="FZ53" s="100"/>
      <c r="GA53" s="100"/>
      <c r="GB53" s="100"/>
      <c r="GC53" s="100"/>
      <c r="GD53" s="100"/>
      <c r="GE53" s="100"/>
      <c r="GF53" s="100"/>
      <c r="GG53" s="100"/>
      <c r="GH53" s="100"/>
      <c r="GI53" s="100"/>
      <c r="GJ53" s="100"/>
      <c r="GK53" s="100"/>
      <c r="GL53" s="100"/>
      <c r="GM53" s="100"/>
      <c r="GN53" s="100"/>
      <c r="GO53" s="100"/>
      <c r="GP53" s="100"/>
      <c r="GQ53" s="100"/>
      <c r="GR53" s="100"/>
      <c r="GS53" s="100"/>
      <c r="GT53" s="100"/>
      <c r="GU53" s="100"/>
      <c r="GV53" s="100"/>
      <c r="GW53" s="100"/>
      <c r="GX53" s="100"/>
      <c r="GY53" s="100"/>
      <c r="GZ53" s="100"/>
      <c r="HA53" s="100"/>
      <c r="HB53" s="100"/>
      <c r="HC53" s="100"/>
      <c r="HD53" s="100"/>
      <c r="HE53" s="100"/>
      <c r="HF53" s="100"/>
      <c r="HG53" s="100"/>
      <c r="HH53" s="100"/>
      <c r="HI53" s="100"/>
      <c r="HJ53" s="100"/>
      <c r="HK53" s="100"/>
      <c r="HL53" s="100"/>
      <c r="HM53" s="100"/>
      <c r="HN53" s="100"/>
      <c r="HO53" s="100"/>
      <c r="HP53" s="100"/>
      <c r="HQ53" s="100"/>
      <c r="HR53" s="100"/>
      <c r="HS53" s="100"/>
      <c r="HT53" s="100"/>
      <c r="HU53" s="100"/>
      <c r="HV53" s="100"/>
      <c r="HW53" s="100"/>
      <c r="HX53" s="100"/>
      <c r="HY53" s="100"/>
      <c r="HZ53" s="100"/>
      <c r="IA53" s="100"/>
      <c r="IB53" s="100"/>
      <c r="IC53" s="100"/>
      <c r="ID53" s="100"/>
      <c r="IE53" s="100"/>
      <c r="IF53" s="100"/>
      <c r="IG53" s="100"/>
      <c r="IH53" s="100"/>
      <c r="II53" s="100"/>
      <c r="IJ53" s="100"/>
      <c r="IK53" s="100"/>
      <c r="IL53" s="100"/>
      <c r="IM53" s="100"/>
      <c r="IN53" s="100"/>
      <c r="IO53" s="100"/>
      <c r="IP53" s="100"/>
      <c r="IQ53" s="100"/>
      <c r="IR53" s="100"/>
      <c r="IS53" s="100"/>
      <c r="IT53" s="100"/>
      <c r="IU53" s="100"/>
      <c r="IV53" s="100"/>
      <c r="IW53" s="100"/>
      <c r="IX53" s="100"/>
      <c r="IY53" s="100"/>
      <c r="IZ53" s="100"/>
      <c r="JA53" s="100"/>
      <c r="JB53" s="100"/>
      <c r="JC53" s="100"/>
      <c r="JD53" s="100"/>
      <c r="JE53" s="100"/>
      <c r="JF53" s="100"/>
      <c r="JG53" s="100"/>
      <c r="JH53" s="100"/>
      <c r="JI53" s="100"/>
      <c r="JJ53" s="100"/>
      <c r="JK53" s="100"/>
      <c r="JL53" s="100"/>
      <c r="JM53" s="100"/>
      <c r="JN53" s="100"/>
      <c r="JO53" s="100"/>
      <c r="JP53" s="100"/>
      <c r="JQ53" s="100"/>
      <c r="JR53" s="100"/>
      <c r="JS53" s="100"/>
      <c r="JT53" s="100"/>
      <c r="JU53" s="100"/>
      <c r="JV53" s="100"/>
      <c r="JW53" s="100"/>
      <c r="JX53" s="100"/>
      <c r="JY53" s="100"/>
      <c r="JZ53" s="100"/>
      <c r="KA53" s="100"/>
      <c r="KB53" s="100"/>
      <c r="KC53" s="100"/>
      <c r="KD53" s="100"/>
      <c r="KE53" s="100"/>
      <c r="KF53" s="100"/>
      <c r="KG53" s="100"/>
      <c r="KH53" s="100"/>
      <c r="KI53" s="100"/>
      <c r="KJ53" s="100"/>
    </row>
    <row r="54" spans="1:296" s="39" customFormat="1" x14ac:dyDescent="0.3">
      <c r="A54"/>
      <c r="B54" t="s">
        <v>7</v>
      </c>
      <c r="C54" s="5">
        <f>+'DIS. PRENDAS'!L12</f>
        <v>25.279583333333335</v>
      </c>
      <c r="D54" s="111">
        <v>5</v>
      </c>
      <c r="E54" s="5">
        <f t="shared" si="1"/>
        <v>-126.39791666666667</v>
      </c>
      <c r="F54" s="7"/>
      <c r="G54" s="5"/>
      <c r="H54"/>
      <c r="I54" s="28"/>
      <c r="K54" s="70"/>
      <c r="L54" s="75"/>
      <c r="M54" s="127"/>
      <c r="N54" s="77"/>
      <c r="O54" s="164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  <c r="DC54" s="100"/>
      <c r="DD54" s="100"/>
      <c r="DE54" s="100"/>
      <c r="DF54" s="100"/>
      <c r="DG54" s="100"/>
      <c r="DH54" s="100"/>
      <c r="DI54" s="100"/>
      <c r="DJ54" s="100"/>
      <c r="DK54" s="100"/>
      <c r="DL54" s="100"/>
      <c r="DM54" s="100"/>
      <c r="DN54" s="100"/>
      <c r="DO54" s="100"/>
      <c r="DP54" s="100"/>
      <c r="DQ54" s="100"/>
      <c r="DR54" s="100"/>
      <c r="DS54" s="100"/>
      <c r="DT54" s="100"/>
      <c r="DU54" s="100"/>
      <c r="DV54" s="100"/>
      <c r="DW54" s="100"/>
      <c r="DX54" s="100"/>
      <c r="DY54" s="100"/>
      <c r="DZ54" s="100"/>
      <c r="EA54" s="100"/>
      <c r="EB54" s="100"/>
      <c r="EC54" s="100"/>
      <c r="ED54" s="100"/>
      <c r="EE54" s="100"/>
      <c r="EF54" s="100"/>
      <c r="EG54" s="100"/>
      <c r="EH54" s="100"/>
      <c r="EI54" s="100"/>
      <c r="EJ54" s="100"/>
      <c r="EK54" s="100"/>
      <c r="EL54" s="100"/>
      <c r="EM54" s="100"/>
      <c r="EN54" s="100"/>
      <c r="EO54" s="100"/>
      <c r="EP54" s="100"/>
      <c r="EQ54" s="100"/>
      <c r="ER54" s="100"/>
      <c r="ES54" s="100"/>
      <c r="ET54" s="100"/>
      <c r="EU54" s="100"/>
      <c r="EV54" s="100"/>
      <c r="EW54" s="100"/>
      <c r="EX54" s="100"/>
      <c r="EY54" s="100"/>
      <c r="EZ54" s="100"/>
      <c r="FA54" s="100"/>
      <c r="FB54" s="100"/>
      <c r="FC54" s="100"/>
      <c r="FD54" s="100"/>
      <c r="FE54" s="100"/>
      <c r="FF54" s="100"/>
      <c r="FG54" s="100"/>
      <c r="FH54" s="100"/>
      <c r="FI54" s="100"/>
      <c r="FJ54" s="100"/>
      <c r="FK54" s="100"/>
      <c r="FL54" s="100"/>
      <c r="FM54" s="100"/>
      <c r="FN54" s="100"/>
      <c r="FO54" s="100"/>
      <c r="FP54" s="100"/>
      <c r="FQ54" s="100"/>
      <c r="FR54" s="100"/>
      <c r="FS54" s="100"/>
      <c r="FT54" s="100"/>
      <c r="FU54" s="100"/>
      <c r="FV54" s="100"/>
      <c r="FW54" s="100"/>
      <c r="FX54" s="100"/>
      <c r="FY54" s="100"/>
      <c r="FZ54" s="100"/>
      <c r="GA54" s="100"/>
      <c r="GB54" s="100"/>
      <c r="GC54" s="100"/>
      <c r="GD54" s="100"/>
      <c r="GE54" s="100"/>
      <c r="GF54" s="100"/>
      <c r="GG54" s="100"/>
      <c r="GH54" s="100"/>
      <c r="GI54" s="100"/>
      <c r="GJ54" s="100"/>
      <c r="GK54" s="100"/>
      <c r="GL54" s="100"/>
      <c r="GM54" s="100"/>
      <c r="GN54" s="100"/>
      <c r="GO54" s="100"/>
      <c r="GP54" s="100"/>
      <c r="GQ54" s="100"/>
      <c r="GR54" s="100"/>
      <c r="GS54" s="100"/>
      <c r="GT54" s="100"/>
      <c r="GU54" s="100"/>
      <c r="GV54" s="100"/>
      <c r="GW54" s="100"/>
      <c r="GX54" s="100"/>
      <c r="GY54" s="100"/>
      <c r="GZ54" s="100"/>
      <c r="HA54" s="100"/>
      <c r="HB54" s="100"/>
      <c r="HC54" s="100"/>
      <c r="HD54" s="100"/>
      <c r="HE54" s="100"/>
      <c r="HF54" s="100"/>
      <c r="HG54" s="100"/>
      <c r="HH54" s="100"/>
      <c r="HI54" s="100"/>
      <c r="HJ54" s="100"/>
      <c r="HK54" s="100"/>
      <c r="HL54" s="100"/>
      <c r="HM54" s="100"/>
      <c r="HN54" s="100"/>
      <c r="HO54" s="100"/>
      <c r="HP54" s="100"/>
      <c r="HQ54" s="100"/>
      <c r="HR54" s="100"/>
      <c r="HS54" s="100"/>
      <c r="HT54" s="100"/>
      <c r="HU54" s="100"/>
      <c r="HV54" s="100"/>
      <c r="HW54" s="100"/>
      <c r="HX54" s="100"/>
      <c r="HY54" s="100"/>
      <c r="HZ54" s="100"/>
      <c r="IA54" s="100"/>
      <c r="IB54" s="100"/>
      <c r="IC54" s="100"/>
      <c r="ID54" s="100"/>
      <c r="IE54" s="100"/>
      <c r="IF54" s="100"/>
      <c r="IG54" s="100"/>
      <c r="IH54" s="100"/>
      <c r="II54" s="100"/>
      <c r="IJ54" s="100"/>
      <c r="IK54" s="100"/>
      <c r="IL54" s="100"/>
      <c r="IM54" s="100"/>
      <c r="IN54" s="100"/>
      <c r="IO54" s="100"/>
      <c r="IP54" s="100"/>
      <c r="IQ54" s="100"/>
      <c r="IR54" s="100"/>
      <c r="IS54" s="100"/>
      <c r="IT54" s="100"/>
      <c r="IU54" s="100"/>
      <c r="IV54" s="100"/>
      <c r="IW54" s="100"/>
      <c r="IX54" s="100"/>
      <c r="IY54" s="100"/>
      <c r="IZ54" s="100"/>
      <c r="JA54" s="100"/>
      <c r="JB54" s="100"/>
      <c r="JC54" s="100"/>
      <c r="JD54" s="100"/>
      <c r="JE54" s="100"/>
      <c r="JF54" s="100"/>
      <c r="JG54" s="100"/>
      <c r="JH54" s="100"/>
      <c r="JI54" s="100"/>
      <c r="JJ54" s="100"/>
      <c r="JK54" s="100"/>
      <c r="JL54" s="100"/>
      <c r="JM54" s="100"/>
      <c r="JN54" s="100"/>
      <c r="JO54" s="100"/>
      <c r="JP54" s="100"/>
      <c r="JQ54" s="100"/>
      <c r="JR54" s="100"/>
      <c r="JS54" s="100"/>
      <c r="JT54" s="100"/>
      <c r="JU54" s="100"/>
      <c r="JV54" s="100"/>
      <c r="JW54" s="100"/>
      <c r="JX54" s="100"/>
      <c r="JY54" s="100"/>
      <c r="JZ54" s="100"/>
      <c r="KA54" s="100"/>
      <c r="KB54" s="100"/>
      <c r="KC54" s="100"/>
      <c r="KD54" s="100"/>
      <c r="KE54" s="100"/>
      <c r="KF54" s="100"/>
      <c r="KG54" s="100"/>
      <c r="KH54" s="100"/>
      <c r="KI54" s="100"/>
      <c r="KJ54" s="100"/>
    </row>
    <row r="55" spans="1:296" s="28" customFormat="1" x14ac:dyDescent="0.3">
      <c r="B55" s="28" t="s">
        <v>102</v>
      </c>
      <c r="C55" s="83">
        <f>'DIS. PRENDAS'!R12</f>
        <v>36.481249999999996</v>
      </c>
      <c r="D55" s="115">
        <v>6</v>
      </c>
      <c r="E55" s="83">
        <f t="shared" si="1"/>
        <v>-218.88749999999999</v>
      </c>
      <c r="F55" s="131"/>
      <c r="G55" s="83"/>
      <c r="J55" s="39"/>
      <c r="K55" s="70"/>
      <c r="L55" s="75"/>
      <c r="M55" s="127"/>
      <c r="N55" s="77"/>
      <c r="O55" s="164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0"/>
      <c r="BK55" s="100"/>
      <c r="BL55" s="100"/>
      <c r="BM55" s="100"/>
      <c r="BN55" s="100"/>
      <c r="BO55" s="100"/>
      <c r="BP55" s="100"/>
      <c r="BQ55" s="100"/>
      <c r="BR55" s="100"/>
      <c r="BS55" s="100"/>
      <c r="BT55" s="100"/>
      <c r="BU55" s="100"/>
      <c r="BV55" s="100"/>
      <c r="BW55" s="100"/>
      <c r="BX55" s="100"/>
      <c r="BY55" s="100"/>
      <c r="BZ55" s="100"/>
      <c r="CA55" s="100"/>
      <c r="CB55" s="100"/>
      <c r="CC55" s="100"/>
      <c r="CD55" s="100"/>
      <c r="CE55" s="10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  <c r="CT55" s="100"/>
      <c r="CU55" s="100"/>
      <c r="CV55" s="100"/>
      <c r="CW55" s="100"/>
      <c r="CX55" s="100"/>
      <c r="CY55" s="100"/>
      <c r="CZ55" s="100"/>
      <c r="DA55" s="100"/>
      <c r="DB55" s="100"/>
      <c r="DC55" s="100"/>
      <c r="DD55" s="100"/>
      <c r="DE55" s="100"/>
      <c r="DF55" s="100"/>
      <c r="DG55" s="100"/>
      <c r="DH55" s="100"/>
      <c r="DI55" s="100"/>
      <c r="DJ55" s="100"/>
      <c r="DK55" s="100"/>
      <c r="DL55" s="100"/>
      <c r="DM55" s="100"/>
      <c r="DN55" s="100"/>
      <c r="DO55" s="100"/>
      <c r="DP55" s="100"/>
      <c r="DQ55" s="100"/>
      <c r="DR55" s="100"/>
      <c r="DS55" s="100"/>
      <c r="DT55" s="100"/>
      <c r="DU55" s="100"/>
      <c r="DV55" s="100"/>
      <c r="DW55" s="100"/>
      <c r="DX55" s="100"/>
      <c r="DY55" s="100"/>
      <c r="DZ55" s="100"/>
      <c r="EA55" s="100"/>
      <c r="EB55" s="100"/>
      <c r="EC55" s="100"/>
      <c r="ED55" s="100"/>
      <c r="EE55" s="100"/>
      <c r="EF55" s="100"/>
      <c r="EG55" s="100"/>
      <c r="EH55" s="100"/>
      <c r="EI55" s="100"/>
      <c r="EJ55" s="100"/>
      <c r="EK55" s="100"/>
      <c r="EL55" s="100"/>
      <c r="EM55" s="100"/>
      <c r="EN55" s="100"/>
      <c r="EO55" s="100"/>
      <c r="EP55" s="100"/>
      <c r="EQ55" s="100"/>
      <c r="ER55" s="100"/>
      <c r="ES55" s="100"/>
      <c r="ET55" s="100"/>
      <c r="EU55" s="100"/>
      <c r="EV55" s="100"/>
      <c r="EW55" s="100"/>
      <c r="EX55" s="100"/>
      <c r="EY55" s="100"/>
      <c r="EZ55" s="100"/>
      <c r="FA55" s="100"/>
      <c r="FB55" s="100"/>
      <c r="FC55" s="100"/>
      <c r="FD55" s="100"/>
      <c r="FE55" s="100"/>
      <c r="FF55" s="100"/>
      <c r="FG55" s="100"/>
      <c r="FH55" s="100"/>
      <c r="FI55" s="100"/>
      <c r="FJ55" s="100"/>
      <c r="FK55" s="100"/>
      <c r="FL55" s="100"/>
      <c r="FM55" s="100"/>
      <c r="FN55" s="100"/>
      <c r="FO55" s="100"/>
      <c r="FP55" s="100"/>
      <c r="FQ55" s="100"/>
      <c r="FR55" s="100"/>
      <c r="FS55" s="100"/>
      <c r="FT55" s="100"/>
      <c r="FU55" s="100"/>
      <c r="FV55" s="100"/>
      <c r="FW55" s="100"/>
      <c r="FX55" s="100"/>
      <c r="FY55" s="100"/>
      <c r="FZ55" s="100"/>
      <c r="GA55" s="100"/>
      <c r="GB55" s="100"/>
      <c r="GC55" s="100"/>
      <c r="GD55" s="100"/>
      <c r="GE55" s="100"/>
      <c r="GF55" s="100"/>
      <c r="GG55" s="100"/>
      <c r="GH55" s="100"/>
      <c r="GI55" s="100"/>
      <c r="GJ55" s="100"/>
      <c r="GK55" s="100"/>
      <c r="GL55" s="100"/>
      <c r="GM55" s="100"/>
      <c r="GN55" s="100"/>
      <c r="GO55" s="100"/>
      <c r="GP55" s="100"/>
      <c r="GQ55" s="100"/>
      <c r="GR55" s="100"/>
      <c r="GS55" s="100"/>
      <c r="GT55" s="100"/>
      <c r="GU55" s="100"/>
      <c r="GV55" s="100"/>
      <c r="GW55" s="100"/>
      <c r="GX55" s="100"/>
      <c r="GY55" s="100"/>
      <c r="GZ55" s="100"/>
      <c r="HA55" s="100"/>
      <c r="HB55" s="100"/>
      <c r="HC55" s="100"/>
      <c r="HD55" s="100"/>
      <c r="HE55" s="100"/>
      <c r="HF55" s="100"/>
      <c r="HG55" s="100"/>
      <c r="HH55" s="100"/>
      <c r="HI55" s="100"/>
      <c r="HJ55" s="100"/>
      <c r="HK55" s="100"/>
      <c r="HL55" s="100"/>
      <c r="HM55" s="100"/>
      <c r="HN55" s="100"/>
      <c r="HO55" s="100"/>
      <c r="HP55" s="100"/>
      <c r="HQ55" s="100"/>
      <c r="HR55" s="100"/>
      <c r="HS55" s="100"/>
      <c r="HT55" s="100"/>
      <c r="HU55" s="100"/>
      <c r="HV55" s="100"/>
      <c r="HW55" s="100"/>
      <c r="HX55" s="100"/>
      <c r="HY55" s="100"/>
      <c r="HZ55" s="100"/>
      <c r="IA55" s="100"/>
      <c r="IB55" s="100"/>
      <c r="IC55" s="100"/>
      <c r="ID55" s="100"/>
      <c r="IE55" s="100"/>
      <c r="IF55" s="100"/>
      <c r="IG55" s="100"/>
      <c r="IH55" s="100"/>
      <c r="II55" s="100"/>
      <c r="IJ55" s="100"/>
      <c r="IK55" s="100"/>
      <c r="IL55" s="100"/>
      <c r="IM55" s="100"/>
      <c r="IN55" s="100"/>
      <c r="IO55" s="100"/>
      <c r="IP55" s="100"/>
      <c r="IQ55" s="100"/>
      <c r="IR55" s="100"/>
      <c r="IS55" s="100"/>
      <c r="IT55" s="100"/>
      <c r="IU55" s="100"/>
      <c r="IV55" s="100"/>
      <c r="IW55" s="100"/>
      <c r="IX55" s="100"/>
      <c r="IY55" s="100"/>
      <c r="IZ55" s="100"/>
      <c r="JA55" s="100"/>
      <c r="JB55" s="100"/>
      <c r="JC55" s="100"/>
      <c r="JD55" s="100"/>
      <c r="JE55" s="100"/>
      <c r="JF55" s="100"/>
      <c r="JG55" s="100"/>
      <c r="JH55" s="100"/>
      <c r="JI55" s="100"/>
      <c r="JJ55" s="100"/>
      <c r="JK55" s="100"/>
      <c r="JL55" s="100"/>
      <c r="JM55" s="100"/>
      <c r="JN55" s="100"/>
      <c r="JO55" s="100"/>
      <c r="JP55" s="100"/>
      <c r="JQ55" s="100"/>
      <c r="JR55" s="100"/>
      <c r="JS55" s="100"/>
      <c r="JT55" s="100"/>
      <c r="JU55" s="100"/>
      <c r="JV55" s="100"/>
      <c r="JW55" s="100"/>
      <c r="JX55" s="100"/>
      <c r="JY55" s="100"/>
      <c r="JZ55" s="100"/>
      <c r="KA55" s="100"/>
      <c r="KB55" s="100"/>
      <c r="KC55" s="100"/>
      <c r="KD55" s="100"/>
      <c r="KE55" s="100"/>
      <c r="KF55" s="100"/>
      <c r="KG55" s="100"/>
      <c r="KH55" s="100"/>
      <c r="KI55" s="100"/>
      <c r="KJ55" s="100"/>
    </row>
    <row r="56" spans="1:296" s="28" customFormat="1" x14ac:dyDescent="0.3">
      <c r="B56" s="28" t="s">
        <v>103</v>
      </c>
      <c r="C56" s="83">
        <f>+'DIS. PRENDAS'!O12</f>
        <v>31.502777777777776</v>
      </c>
      <c r="D56" s="115">
        <v>6</v>
      </c>
      <c r="E56" s="83">
        <f>-(+C56*D56)</f>
        <v>-189.01666666666665</v>
      </c>
      <c r="F56" s="117"/>
      <c r="G56" s="83"/>
      <c r="J56" s="39"/>
      <c r="K56" s="70"/>
      <c r="L56" s="75"/>
      <c r="M56" s="127"/>
      <c r="N56" s="77"/>
      <c r="O56" s="164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  <c r="BS56" s="100"/>
      <c r="BT56" s="100"/>
      <c r="BU56" s="100"/>
      <c r="BV56" s="100"/>
      <c r="BW56" s="100"/>
      <c r="BX56" s="100"/>
      <c r="BY56" s="100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100"/>
      <c r="CX56" s="100"/>
      <c r="CY56" s="100"/>
      <c r="CZ56" s="100"/>
      <c r="DA56" s="100"/>
      <c r="DB56" s="100"/>
      <c r="DC56" s="100"/>
      <c r="DD56" s="100"/>
      <c r="DE56" s="100"/>
      <c r="DF56" s="100"/>
      <c r="DG56" s="100"/>
      <c r="DH56" s="100"/>
      <c r="DI56" s="100"/>
      <c r="DJ56" s="100"/>
      <c r="DK56" s="100"/>
      <c r="DL56" s="100"/>
      <c r="DM56" s="100"/>
      <c r="DN56" s="100"/>
      <c r="DO56" s="100"/>
      <c r="DP56" s="100"/>
      <c r="DQ56" s="100"/>
      <c r="DR56" s="100"/>
      <c r="DS56" s="100"/>
      <c r="DT56" s="100"/>
      <c r="DU56" s="100"/>
      <c r="DV56" s="100"/>
      <c r="DW56" s="100"/>
      <c r="DX56" s="100"/>
      <c r="DY56" s="100"/>
      <c r="DZ56" s="100"/>
      <c r="EA56" s="100"/>
      <c r="EB56" s="100"/>
      <c r="EC56" s="100"/>
      <c r="ED56" s="100"/>
      <c r="EE56" s="100"/>
      <c r="EF56" s="100"/>
      <c r="EG56" s="100"/>
      <c r="EH56" s="100"/>
      <c r="EI56" s="100"/>
      <c r="EJ56" s="100"/>
      <c r="EK56" s="100"/>
      <c r="EL56" s="100"/>
      <c r="EM56" s="100"/>
      <c r="EN56" s="100"/>
      <c r="EO56" s="100"/>
      <c r="EP56" s="100"/>
      <c r="EQ56" s="100"/>
      <c r="ER56" s="100"/>
      <c r="ES56" s="100"/>
      <c r="ET56" s="100"/>
      <c r="EU56" s="100"/>
      <c r="EV56" s="100"/>
      <c r="EW56" s="100"/>
      <c r="EX56" s="100"/>
      <c r="EY56" s="100"/>
      <c r="EZ56" s="100"/>
      <c r="FA56" s="100"/>
      <c r="FB56" s="100"/>
      <c r="FC56" s="100"/>
      <c r="FD56" s="100"/>
      <c r="FE56" s="100"/>
      <c r="FF56" s="100"/>
      <c r="FG56" s="100"/>
      <c r="FH56" s="100"/>
      <c r="FI56" s="100"/>
      <c r="FJ56" s="100"/>
      <c r="FK56" s="100"/>
      <c r="FL56" s="100"/>
      <c r="FM56" s="100"/>
      <c r="FN56" s="100"/>
      <c r="FO56" s="100"/>
      <c r="FP56" s="100"/>
      <c r="FQ56" s="100"/>
      <c r="FR56" s="100"/>
      <c r="FS56" s="100"/>
      <c r="FT56" s="100"/>
      <c r="FU56" s="100"/>
      <c r="FV56" s="100"/>
      <c r="FW56" s="100"/>
      <c r="FX56" s="100"/>
      <c r="FY56" s="100"/>
      <c r="FZ56" s="100"/>
      <c r="GA56" s="100"/>
      <c r="GB56" s="100"/>
      <c r="GC56" s="100"/>
      <c r="GD56" s="100"/>
      <c r="GE56" s="100"/>
      <c r="GF56" s="100"/>
      <c r="GG56" s="100"/>
      <c r="GH56" s="100"/>
      <c r="GI56" s="100"/>
      <c r="GJ56" s="100"/>
      <c r="GK56" s="100"/>
      <c r="GL56" s="100"/>
      <c r="GM56" s="100"/>
      <c r="GN56" s="100"/>
      <c r="GO56" s="100"/>
      <c r="GP56" s="100"/>
      <c r="GQ56" s="100"/>
      <c r="GR56" s="100"/>
      <c r="GS56" s="100"/>
      <c r="GT56" s="100"/>
      <c r="GU56" s="100"/>
      <c r="GV56" s="100"/>
      <c r="GW56" s="100"/>
      <c r="GX56" s="100"/>
      <c r="GY56" s="100"/>
      <c r="GZ56" s="100"/>
      <c r="HA56" s="100"/>
      <c r="HB56" s="100"/>
      <c r="HC56" s="100"/>
      <c r="HD56" s="100"/>
      <c r="HE56" s="100"/>
      <c r="HF56" s="100"/>
      <c r="HG56" s="100"/>
      <c r="HH56" s="100"/>
      <c r="HI56" s="100"/>
      <c r="HJ56" s="100"/>
      <c r="HK56" s="100"/>
      <c r="HL56" s="100"/>
      <c r="HM56" s="100"/>
      <c r="HN56" s="100"/>
      <c r="HO56" s="100"/>
      <c r="HP56" s="100"/>
      <c r="HQ56" s="100"/>
      <c r="HR56" s="100"/>
      <c r="HS56" s="100"/>
      <c r="HT56" s="100"/>
      <c r="HU56" s="100"/>
      <c r="HV56" s="100"/>
      <c r="HW56" s="100"/>
      <c r="HX56" s="100"/>
      <c r="HY56" s="100"/>
      <c r="HZ56" s="100"/>
      <c r="IA56" s="100"/>
      <c r="IB56" s="100"/>
      <c r="IC56" s="100"/>
      <c r="ID56" s="100"/>
      <c r="IE56" s="100"/>
      <c r="IF56" s="100"/>
      <c r="IG56" s="100"/>
      <c r="IH56" s="100"/>
      <c r="II56" s="100"/>
      <c r="IJ56" s="100"/>
      <c r="IK56" s="100"/>
      <c r="IL56" s="100"/>
      <c r="IM56" s="100"/>
      <c r="IN56" s="100"/>
      <c r="IO56" s="100"/>
      <c r="IP56" s="100"/>
      <c r="IQ56" s="100"/>
      <c r="IR56" s="100"/>
      <c r="IS56" s="100"/>
      <c r="IT56" s="100"/>
      <c r="IU56" s="100"/>
      <c r="IV56" s="100"/>
      <c r="IW56" s="100"/>
      <c r="IX56" s="100"/>
      <c r="IY56" s="100"/>
      <c r="IZ56" s="100"/>
      <c r="JA56" s="100"/>
      <c r="JB56" s="100"/>
      <c r="JC56" s="100"/>
      <c r="JD56" s="100"/>
      <c r="JE56" s="100"/>
      <c r="JF56" s="100"/>
      <c r="JG56" s="100"/>
      <c r="JH56" s="100"/>
      <c r="JI56" s="100"/>
      <c r="JJ56" s="100"/>
      <c r="JK56" s="100"/>
      <c r="JL56" s="100"/>
      <c r="JM56" s="100"/>
      <c r="JN56" s="100"/>
      <c r="JO56" s="100"/>
      <c r="JP56" s="100"/>
      <c r="JQ56" s="100"/>
      <c r="JR56" s="100"/>
      <c r="JS56" s="100"/>
      <c r="JT56" s="100"/>
      <c r="JU56" s="100"/>
      <c r="JV56" s="100"/>
      <c r="JW56" s="100"/>
      <c r="JX56" s="100"/>
      <c r="JY56" s="100"/>
      <c r="JZ56" s="100"/>
      <c r="KA56" s="100"/>
      <c r="KB56" s="100"/>
      <c r="KC56" s="100"/>
      <c r="KD56" s="100"/>
      <c r="KE56" s="100"/>
      <c r="KF56" s="100"/>
      <c r="KG56" s="100"/>
      <c r="KH56" s="100"/>
      <c r="KI56" s="100"/>
      <c r="KJ56" s="100"/>
    </row>
    <row r="57" spans="1:296" s="28" customFormat="1" x14ac:dyDescent="0.3">
      <c r="B57" s="28" t="s">
        <v>8</v>
      </c>
      <c r="C57" s="83">
        <f>'DIS. PRENDAS'!L12</f>
        <v>25.279583333333335</v>
      </c>
      <c r="D57" s="115">
        <v>6</v>
      </c>
      <c r="E57" s="83">
        <f t="shared" si="1"/>
        <v>-151.67750000000001</v>
      </c>
      <c r="F57" s="117"/>
      <c r="G57" s="83"/>
      <c r="J57" s="39"/>
      <c r="K57" s="70"/>
      <c r="L57" s="75"/>
      <c r="M57" s="127"/>
      <c r="N57" s="77"/>
      <c r="O57" s="164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K57" s="100"/>
      <c r="BL57" s="100"/>
      <c r="BM57" s="100"/>
      <c r="BN57" s="100"/>
      <c r="BO57" s="100"/>
      <c r="BP57" s="100"/>
      <c r="BQ57" s="100"/>
      <c r="BR57" s="100"/>
      <c r="BS57" s="100"/>
      <c r="BT57" s="100"/>
      <c r="BU57" s="100"/>
      <c r="BV57" s="100"/>
      <c r="BW57" s="100"/>
      <c r="BX57" s="100"/>
      <c r="BY57" s="100"/>
      <c r="BZ57" s="100"/>
      <c r="CA57" s="100"/>
      <c r="CB57" s="100"/>
      <c r="CC57" s="100"/>
      <c r="CD57" s="100"/>
      <c r="CE57" s="10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100"/>
      <c r="CX57" s="100"/>
      <c r="CY57" s="100"/>
      <c r="CZ57" s="100"/>
      <c r="DA57" s="100"/>
      <c r="DB57" s="100"/>
      <c r="DC57" s="100"/>
      <c r="DD57" s="100"/>
      <c r="DE57" s="100"/>
      <c r="DF57" s="100"/>
      <c r="DG57" s="100"/>
      <c r="DH57" s="100"/>
      <c r="DI57" s="100"/>
      <c r="DJ57" s="100"/>
      <c r="DK57" s="100"/>
      <c r="DL57" s="100"/>
      <c r="DM57" s="100"/>
      <c r="DN57" s="100"/>
      <c r="DO57" s="100"/>
      <c r="DP57" s="100"/>
      <c r="DQ57" s="100"/>
      <c r="DR57" s="100"/>
      <c r="DS57" s="100"/>
      <c r="DT57" s="100"/>
      <c r="DU57" s="100"/>
      <c r="DV57" s="100"/>
      <c r="DW57" s="100"/>
      <c r="DX57" s="100"/>
      <c r="DY57" s="100"/>
      <c r="DZ57" s="100"/>
      <c r="EA57" s="100"/>
      <c r="EB57" s="100"/>
      <c r="EC57" s="100"/>
      <c r="ED57" s="100"/>
      <c r="EE57" s="100"/>
      <c r="EF57" s="100"/>
      <c r="EG57" s="100"/>
      <c r="EH57" s="100"/>
      <c r="EI57" s="100"/>
      <c r="EJ57" s="100"/>
      <c r="EK57" s="100"/>
      <c r="EL57" s="100"/>
      <c r="EM57" s="100"/>
      <c r="EN57" s="100"/>
      <c r="EO57" s="100"/>
      <c r="EP57" s="100"/>
      <c r="EQ57" s="100"/>
      <c r="ER57" s="100"/>
      <c r="ES57" s="100"/>
      <c r="ET57" s="100"/>
      <c r="EU57" s="100"/>
      <c r="EV57" s="100"/>
      <c r="EW57" s="100"/>
      <c r="EX57" s="100"/>
      <c r="EY57" s="100"/>
      <c r="EZ57" s="100"/>
      <c r="FA57" s="100"/>
      <c r="FB57" s="100"/>
      <c r="FC57" s="100"/>
      <c r="FD57" s="100"/>
      <c r="FE57" s="100"/>
      <c r="FF57" s="100"/>
      <c r="FG57" s="100"/>
      <c r="FH57" s="100"/>
      <c r="FI57" s="100"/>
      <c r="FJ57" s="100"/>
      <c r="FK57" s="100"/>
      <c r="FL57" s="100"/>
      <c r="FM57" s="100"/>
      <c r="FN57" s="100"/>
      <c r="FO57" s="100"/>
      <c r="FP57" s="100"/>
      <c r="FQ57" s="100"/>
      <c r="FR57" s="100"/>
      <c r="FS57" s="100"/>
      <c r="FT57" s="100"/>
      <c r="FU57" s="100"/>
      <c r="FV57" s="100"/>
      <c r="FW57" s="100"/>
      <c r="FX57" s="100"/>
      <c r="FY57" s="100"/>
      <c r="FZ57" s="100"/>
      <c r="GA57" s="100"/>
      <c r="GB57" s="100"/>
      <c r="GC57" s="100"/>
      <c r="GD57" s="100"/>
      <c r="GE57" s="100"/>
      <c r="GF57" s="100"/>
      <c r="GG57" s="100"/>
      <c r="GH57" s="100"/>
      <c r="GI57" s="100"/>
      <c r="GJ57" s="100"/>
      <c r="GK57" s="100"/>
      <c r="GL57" s="100"/>
      <c r="GM57" s="100"/>
      <c r="GN57" s="100"/>
      <c r="GO57" s="100"/>
      <c r="GP57" s="100"/>
      <c r="GQ57" s="100"/>
      <c r="GR57" s="100"/>
      <c r="GS57" s="100"/>
      <c r="GT57" s="100"/>
      <c r="GU57" s="100"/>
      <c r="GV57" s="100"/>
      <c r="GW57" s="100"/>
      <c r="GX57" s="100"/>
      <c r="GY57" s="100"/>
      <c r="GZ57" s="100"/>
      <c r="HA57" s="100"/>
      <c r="HB57" s="100"/>
      <c r="HC57" s="100"/>
      <c r="HD57" s="100"/>
      <c r="HE57" s="100"/>
      <c r="HF57" s="100"/>
      <c r="HG57" s="100"/>
      <c r="HH57" s="100"/>
      <c r="HI57" s="100"/>
      <c r="HJ57" s="100"/>
      <c r="HK57" s="100"/>
      <c r="HL57" s="100"/>
      <c r="HM57" s="100"/>
      <c r="HN57" s="100"/>
      <c r="HO57" s="100"/>
      <c r="HP57" s="100"/>
      <c r="HQ57" s="100"/>
      <c r="HR57" s="100"/>
      <c r="HS57" s="100"/>
      <c r="HT57" s="100"/>
      <c r="HU57" s="100"/>
      <c r="HV57" s="100"/>
      <c r="HW57" s="100"/>
      <c r="HX57" s="100"/>
      <c r="HY57" s="100"/>
      <c r="HZ57" s="100"/>
      <c r="IA57" s="100"/>
      <c r="IB57" s="100"/>
      <c r="IC57" s="100"/>
      <c r="ID57" s="100"/>
      <c r="IE57" s="100"/>
      <c r="IF57" s="100"/>
      <c r="IG57" s="100"/>
      <c r="IH57" s="100"/>
      <c r="II57" s="100"/>
      <c r="IJ57" s="100"/>
      <c r="IK57" s="100"/>
      <c r="IL57" s="100"/>
      <c r="IM57" s="100"/>
      <c r="IN57" s="100"/>
      <c r="IO57" s="100"/>
      <c r="IP57" s="100"/>
      <c r="IQ57" s="100"/>
      <c r="IR57" s="100"/>
      <c r="IS57" s="100"/>
      <c r="IT57" s="100"/>
      <c r="IU57" s="100"/>
      <c r="IV57" s="100"/>
      <c r="IW57" s="100"/>
      <c r="IX57" s="100"/>
      <c r="IY57" s="100"/>
      <c r="IZ57" s="100"/>
      <c r="JA57" s="100"/>
      <c r="JB57" s="100"/>
      <c r="JC57" s="100"/>
      <c r="JD57" s="100"/>
      <c r="JE57" s="100"/>
      <c r="JF57" s="100"/>
      <c r="JG57" s="100"/>
      <c r="JH57" s="100"/>
      <c r="JI57" s="100"/>
      <c r="JJ57" s="100"/>
      <c r="JK57" s="100"/>
      <c r="JL57" s="100"/>
      <c r="JM57" s="100"/>
      <c r="JN57" s="100"/>
      <c r="JO57" s="100"/>
      <c r="JP57" s="100"/>
      <c r="JQ57" s="100"/>
      <c r="JR57" s="100"/>
      <c r="JS57" s="100"/>
      <c r="JT57" s="100"/>
      <c r="JU57" s="100"/>
      <c r="JV57" s="100"/>
      <c r="JW57" s="100"/>
      <c r="JX57" s="100"/>
      <c r="JY57" s="100"/>
      <c r="JZ57" s="100"/>
      <c r="KA57" s="100"/>
      <c r="KB57" s="100"/>
      <c r="KC57" s="100"/>
      <c r="KD57" s="100"/>
      <c r="KE57" s="100"/>
      <c r="KF57" s="100"/>
      <c r="KG57" s="100"/>
      <c r="KH57" s="100"/>
      <c r="KI57" s="100"/>
      <c r="KJ57" s="100"/>
    </row>
    <row r="58" spans="1:296" s="28" customFormat="1" x14ac:dyDescent="0.3">
      <c r="B58" s="28" t="s">
        <v>120</v>
      </c>
      <c r="C58" s="83">
        <f>+'DIS. PRENDAS'!L12</f>
        <v>25.279583333333335</v>
      </c>
      <c r="D58" s="114">
        <v>4</v>
      </c>
      <c r="E58" s="83">
        <f>-(+C58*D58)</f>
        <v>-101.11833333333334</v>
      </c>
      <c r="F58" s="117"/>
      <c r="G58" s="83"/>
      <c r="J58" s="39"/>
      <c r="K58" s="70"/>
      <c r="L58" s="75"/>
      <c r="M58" s="127"/>
      <c r="N58" s="77"/>
      <c r="O58" s="164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K58" s="100"/>
      <c r="BL58" s="100"/>
      <c r="BM58" s="100"/>
      <c r="BN58" s="100"/>
      <c r="BO58" s="100"/>
      <c r="BP58" s="100"/>
      <c r="BQ58" s="100"/>
      <c r="BR58" s="100"/>
      <c r="BS58" s="100"/>
      <c r="BT58" s="100"/>
      <c r="BU58" s="100"/>
      <c r="BV58" s="100"/>
      <c r="BW58" s="100"/>
      <c r="BX58" s="100"/>
      <c r="BY58" s="100"/>
      <c r="BZ58" s="100"/>
      <c r="CA58" s="100"/>
      <c r="CB58" s="100"/>
      <c r="CC58" s="100"/>
      <c r="CD58" s="100"/>
      <c r="CE58" s="100"/>
      <c r="CF58" s="100"/>
      <c r="CG58" s="100"/>
      <c r="CH58" s="100"/>
      <c r="CI58" s="100"/>
      <c r="CJ58" s="100"/>
      <c r="CK58" s="100"/>
      <c r="CL58" s="100"/>
      <c r="CM58" s="100"/>
      <c r="CN58" s="100"/>
      <c r="CO58" s="100"/>
      <c r="CP58" s="100"/>
      <c r="CQ58" s="100"/>
      <c r="CR58" s="100"/>
      <c r="CS58" s="100"/>
      <c r="CT58" s="100"/>
      <c r="CU58" s="100"/>
      <c r="CV58" s="100"/>
      <c r="CW58" s="100"/>
      <c r="CX58" s="100"/>
      <c r="CY58" s="100"/>
      <c r="CZ58" s="100"/>
      <c r="DA58" s="100"/>
      <c r="DB58" s="100"/>
      <c r="DC58" s="100"/>
      <c r="DD58" s="100"/>
      <c r="DE58" s="100"/>
      <c r="DF58" s="100"/>
      <c r="DG58" s="100"/>
      <c r="DH58" s="100"/>
      <c r="DI58" s="100"/>
      <c r="DJ58" s="100"/>
      <c r="DK58" s="100"/>
      <c r="DL58" s="100"/>
      <c r="DM58" s="100"/>
      <c r="DN58" s="100"/>
      <c r="DO58" s="100"/>
      <c r="DP58" s="100"/>
      <c r="DQ58" s="100"/>
      <c r="DR58" s="100"/>
      <c r="DS58" s="100"/>
      <c r="DT58" s="100"/>
      <c r="DU58" s="100"/>
      <c r="DV58" s="100"/>
      <c r="DW58" s="100"/>
      <c r="DX58" s="100"/>
      <c r="DY58" s="100"/>
      <c r="DZ58" s="100"/>
      <c r="EA58" s="100"/>
      <c r="EB58" s="100"/>
      <c r="EC58" s="100"/>
      <c r="ED58" s="100"/>
      <c r="EE58" s="100"/>
      <c r="EF58" s="100"/>
      <c r="EG58" s="100"/>
      <c r="EH58" s="100"/>
      <c r="EI58" s="100"/>
      <c r="EJ58" s="100"/>
      <c r="EK58" s="100"/>
      <c r="EL58" s="100"/>
      <c r="EM58" s="100"/>
      <c r="EN58" s="100"/>
      <c r="EO58" s="100"/>
      <c r="EP58" s="100"/>
      <c r="EQ58" s="100"/>
      <c r="ER58" s="100"/>
      <c r="ES58" s="100"/>
      <c r="ET58" s="100"/>
      <c r="EU58" s="100"/>
      <c r="EV58" s="100"/>
      <c r="EW58" s="100"/>
      <c r="EX58" s="100"/>
      <c r="EY58" s="100"/>
      <c r="EZ58" s="100"/>
      <c r="FA58" s="100"/>
      <c r="FB58" s="100"/>
      <c r="FC58" s="100"/>
      <c r="FD58" s="100"/>
      <c r="FE58" s="100"/>
      <c r="FF58" s="100"/>
      <c r="FG58" s="100"/>
      <c r="FH58" s="100"/>
      <c r="FI58" s="100"/>
      <c r="FJ58" s="100"/>
      <c r="FK58" s="100"/>
      <c r="FL58" s="100"/>
      <c r="FM58" s="100"/>
      <c r="FN58" s="100"/>
      <c r="FO58" s="100"/>
      <c r="FP58" s="100"/>
      <c r="FQ58" s="100"/>
      <c r="FR58" s="100"/>
      <c r="FS58" s="100"/>
      <c r="FT58" s="100"/>
      <c r="FU58" s="100"/>
      <c r="FV58" s="100"/>
      <c r="FW58" s="100"/>
      <c r="FX58" s="100"/>
      <c r="FY58" s="100"/>
      <c r="FZ58" s="100"/>
      <c r="GA58" s="100"/>
      <c r="GB58" s="100"/>
      <c r="GC58" s="100"/>
      <c r="GD58" s="100"/>
      <c r="GE58" s="100"/>
      <c r="GF58" s="100"/>
      <c r="GG58" s="100"/>
      <c r="GH58" s="100"/>
      <c r="GI58" s="100"/>
      <c r="GJ58" s="100"/>
      <c r="GK58" s="100"/>
      <c r="GL58" s="100"/>
      <c r="GM58" s="100"/>
      <c r="GN58" s="100"/>
      <c r="GO58" s="100"/>
      <c r="GP58" s="100"/>
      <c r="GQ58" s="100"/>
      <c r="GR58" s="100"/>
      <c r="GS58" s="100"/>
      <c r="GT58" s="100"/>
      <c r="GU58" s="100"/>
      <c r="GV58" s="100"/>
      <c r="GW58" s="100"/>
      <c r="GX58" s="100"/>
      <c r="GY58" s="100"/>
      <c r="GZ58" s="100"/>
      <c r="HA58" s="100"/>
      <c r="HB58" s="100"/>
      <c r="HC58" s="100"/>
      <c r="HD58" s="100"/>
      <c r="HE58" s="100"/>
      <c r="HF58" s="100"/>
      <c r="HG58" s="100"/>
      <c r="HH58" s="100"/>
      <c r="HI58" s="100"/>
      <c r="HJ58" s="100"/>
      <c r="HK58" s="100"/>
      <c r="HL58" s="100"/>
      <c r="HM58" s="100"/>
      <c r="HN58" s="100"/>
      <c r="HO58" s="100"/>
      <c r="HP58" s="100"/>
      <c r="HQ58" s="100"/>
      <c r="HR58" s="100"/>
      <c r="HS58" s="100"/>
      <c r="HT58" s="100"/>
      <c r="HU58" s="100"/>
      <c r="HV58" s="100"/>
      <c r="HW58" s="100"/>
      <c r="HX58" s="100"/>
      <c r="HY58" s="100"/>
      <c r="HZ58" s="100"/>
      <c r="IA58" s="100"/>
      <c r="IB58" s="100"/>
      <c r="IC58" s="100"/>
      <c r="ID58" s="100"/>
      <c r="IE58" s="100"/>
      <c r="IF58" s="100"/>
      <c r="IG58" s="100"/>
      <c r="IH58" s="100"/>
      <c r="II58" s="100"/>
      <c r="IJ58" s="100"/>
      <c r="IK58" s="100"/>
      <c r="IL58" s="100"/>
      <c r="IM58" s="100"/>
      <c r="IN58" s="100"/>
      <c r="IO58" s="100"/>
      <c r="IP58" s="100"/>
      <c r="IQ58" s="100"/>
      <c r="IR58" s="100"/>
      <c r="IS58" s="100"/>
      <c r="IT58" s="100"/>
      <c r="IU58" s="100"/>
      <c r="IV58" s="100"/>
      <c r="IW58" s="100"/>
      <c r="IX58" s="100"/>
      <c r="IY58" s="100"/>
      <c r="IZ58" s="100"/>
      <c r="JA58" s="100"/>
      <c r="JB58" s="100"/>
      <c r="JC58" s="100"/>
      <c r="JD58" s="100"/>
      <c r="JE58" s="100"/>
      <c r="JF58" s="100"/>
      <c r="JG58" s="100"/>
      <c r="JH58" s="100"/>
      <c r="JI58" s="100"/>
      <c r="JJ58" s="100"/>
      <c r="JK58" s="100"/>
      <c r="JL58" s="100"/>
      <c r="JM58" s="100"/>
      <c r="JN58" s="100"/>
      <c r="JO58" s="100"/>
      <c r="JP58" s="100"/>
      <c r="JQ58" s="100"/>
      <c r="JR58" s="100"/>
      <c r="JS58" s="100"/>
      <c r="JT58" s="100"/>
      <c r="JU58" s="100"/>
      <c r="JV58" s="100"/>
      <c r="JW58" s="100"/>
      <c r="JX58" s="100"/>
      <c r="JY58" s="100"/>
      <c r="JZ58" s="100"/>
      <c r="KA58" s="100"/>
      <c r="KB58" s="100"/>
      <c r="KC58" s="100"/>
      <c r="KD58" s="100"/>
      <c r="KE58" s="100"/>
      <c r="KF58" s="100"/>
      <c r="KG58" s="100"/>
      <c r="KH58" s="100"/>
      <c r="KI58" s="100"/>
      <c r="KJ58" s="100"/>
    </row>
    <row r="59" spans="1:296" s="43" customFormat="1" x14ac:dyDescent="0.3">
      <c r="B59" s="43" t="s">
        <v>9</v>
      </c>
      <c r="C59" s="119">
        <f>+'DIS. PRENDAS'!L12</f>
        <v>25.279583333333335</v>
      </c>
      <c r="D59" s="120">
        <v>5</v>
      </c>
      <c r="E59" s="119">
        <f t="shared" si="1"/>
        <v>-126.39791666666667</v>
      </c>
      <c r="F59" s="121"/>
      <c r="G59" s="119"/>
      <c r="I59" s="28"/>
      <c r="J59" s="39"/>
      <c r="K59" s="70"/>
      <c r="L59" s="75"/>
      <c r="M59" s="127"/>
      <c r="N59" s="77"/>
      <c r="O59" s="164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00"/>
      <c r="BV59" s="100"/>
      <c r="BW59" s="100"/>
      <c r="BX59" s="100"/>
      <c r="BY59" s="100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100"/>
      <c r="CX59" s="100"/>
      <c r="CY59" s="100"/>
      <c r="CZ59" s="100"/>
      <c r="DA59" s="100"/>
      <c r="DB59" s="100"/>
      <c r="DC59" s="100"/>
      <c r="DD59" s="100"/>
      <c r="DE59" s="100"/>
      <c r="DF59" s="100"/>
      <c r="DG59" s="100"/>
      <c r="DH59" s="100"/>
      <c r="DI59" s="100"/>
      <c r="DJ59" s="100"/>
      <c r="DK59" s="100"/>
      <c r="DL59" s="100"/>
      <c r="DM59" s="100"/>
      <c r="DN59" s="100"/>
      <c r="DO59" s="100"/>
      <c r="DP59" s="100"/>
      <c r="DQ59" s="100"/>
      <c r="DR59" s="100"/>
      <c r="DS59" s="100"/>
      <c r="DT59" s="100"/>
      <c r="DU59" s="100"/>
      <c r="DV59" s="100"/>
      <c r="DW59" s="100"/>
      <c r="DX59" s="100"/>
      <c r="DY59" s="100"/>
      <c r="DZ59" s="100"/>
      <c r="EA59" s="100"/>
      <c r="EB59" s="100"/>
      <c r="EC59" s="100"/>
      <c r="ED59" s="100"/>
      <c r="EE59" s="100"/>
      <c r="EF59" s="100"/>
      <c r="EG59" s="100"/>
      <c r="EH59" s="100"/>
      <c r="EI59" s="100"/>
      <c r="EJ59" s="100"/>
      <c r="EK59" s="100"/>
      <c r="EL59" s="100"/>
      <c r="EM59" s="100"/>
      <c r="EN59" s="100"/>
      <c r="EO59" s="100"/>
      <c r="EP59" s="100"/>
      <c r="EQ59" s="100"/>
      <c r="ER59" s="100"/>
      <c r="ES59" s="100"/>
      <c r="ET59" s="100"/>
      <c r="EU59" s="100"/>
      <c r="EV59" s="100"/>
      <c r="EW59" s="100"/>
      <c r="EX59" s="100"/>
      <c r="EY59" s="100"/>
      <c r="EZ59" s="100"/>
      <c r="FA59" s="100"/>
      <c r="FB59" s="100"/>
      <c r="FC59" s="100"/>
      <c r="FD59" s="100"/>
      <c r="FE59" s="100"/>
      <c r="FF59" s="100"/>
      <c r="FG59" s="100"/>
      <c r="FH59" s="100"/>
      <c r="FI59" s="100"/>
      <c r="FJ59" s="100"/>
      <c r="FK59" s="100"/>
      <c r="FL59" s="100"/>
      <c r="FM59" s="100"/>
      <c r="FN59" s="100"/>
      <c r="FO59" s="100"/>
      <c r="FP59" s="100"/>
      <c r="FQ59" s="100"/>
      <c r="FR59" s="100"/>
      <c r="FS59" s="100"/>
      <c r="FT59" s="100"/>
      <c r="FU59" s="100"/>
      <c r="FV59" s="100"/>
      <c r="FW59" s="100"/>
      <c r="FX59" s="100"/>
      <c r="FY59" s="100"/>
      <c r="FZ59" s="100"/>
      <c r="GA59" s="100"/>
      <c r="GB59" s="100"/>
      <c r="GC59" s="100"/>
      <c r="GD59" s="100"/>
      <c r="GE59" s="100"/>
      <c r="GF59" s="100"/>
      <c r="GG59" s="100"/>
      <c r="GH59" s="100"/>
      <c r="GI59" s="100"/>
      <c r="GJ59" s="100"/>
      <c r="GK59" s="100"/>
      <c r="GL59" s="100"/>
      <c r="GM59" s="100"/>
      <c r="GN59" s="100"/>
      <c r="GO59" s="100"/>
      <c r="GP59" s="100"/>
      <c r="GQ59" s="100"/>
      <c r="GR59" s="100"/>
      <c r="GS59" s="100"/>
      <c r="GT59" s="100"/>
      <c r="GU59" s="100"/>
      <c r="GV59" s="100"/>
      <c r="GW59" s="100"/>
      <c r="GX59" s="100"/>
      <c r="GY59" s="100"/>
      <c r="GZ59" s="100"/>
      <c r="HA59" s="100"/>
      <c r="HB59" s="100"/>
      <c r="HC59" s="100"/>
      <c r="HD59" s="100"/>
      <c r="HE59" s="100"/>
      <c r="HF59" s="100"/>
      <c r="HG59" s="100"/>
      <c r="HH59" s="100"/>
      <c r="HI59" s="100"/>
      <c r="HJ59" s="100"/>
      <c r="HK59" s="100"/>
      <c r="HL59" s="100"/>
      <c r="HM59" s="100"/>
      <c r="HN59" s="100"/>
      <c r="HO59" s="100"/>
      <c r="HP59" s="100"/>
      <c r="HQ59" s="100"/>
      <c r="HR59" s="100"/>
      <c r="HS59" s="100"/>
      <c r="HT59" s="100"/>
      <c r="HU59" s="100"/>
      <c r="HV59" s="100"/>
      <c r="HW59" s="100"/>
      <c r="HX59" s="100"/>
      <c r="HY59" s="100"/>
      <c r="HZ59" s="100"/>
      <c r="IA59" s="100"/>
      <c r="IB59" s="100"/>
      <c r="IC59" s="100"/>
      <c r="ID59" s="100"/>
      <c r="IE59" s="100"/>
      <c r="IF59" s="100"/>
      <c r="IG59" s="100"/>
      <c r="IH59" s="100"/>
      <c r="II59" s="100"/>
      <c r="IJ59" s="100"/>
      <c r="IK59" s="100"/>
      <c r="IL59" s="100"/>
      <c r="IM59" s="100"/>
      <c r="IN59" s="100"/>
      <c r="IO59" s="100"/>
      <c r="IP59" s="100"/>
      <c r="IQ59" s="100"/>
      <c r="IR59" s="100"/>
      <c r="IS59" s="100"/>
      <c r="IT59" s="100"/>
      <c r="IU59" s="100"/>
      <c r="IV59" s="100"/>
      <c r="IW59" s="100"/>
      <c r="IX59" s="100"/>
      <c r="IY59" s="100"/>
      <c r="IZ59" s="100"/>
      <c r="JA59" s="100"/>
      <c r="JB59" s="100"/>
      <c r="JC59" s="100"/>
      <c r="JD59" s="100"/>
      <c r="JE59" s="100"/>
      <c r="JF59" s="100"/>
      <c r="JG59" s="100"/>
      <c r="JH59" s="100"/>
      <c r="JI59" s="100"/>
      <c r="JJ59" s="100"/>
      <c r="JK59" s="100"/>
      <c r="JL59" s="100"/>
      <c r="JM59" s="100"/>
      <c r="JN59" s="100"/>
      <c r="JO59" s="100"/>
      <c r="JP59" s="100"/>
      <c r="JQ59" s="100"/>
      <c r="JR59" s="100"/>
      <c r="JS59" s="100"/>
      <c r="JT59" s="100"/>
      <c r="JU59" s="100"/>
      <c r="JV59" s="100"/>
      <c r="JW59" s="100"/>
      <c r="JX59" s="100"/>
      <c r="JY59" s="100"/>
      <c r="JZ59" s="100"/>
      <c r="KA59" s="100"/>
      <c r="KB59" s="100"/>
      <c r="KC59" s="100"/>
      <c r="KD59" s="100"/>
      <c r="KE59" s="100"/>
      <c r="KF59" s="100"/>
      <c r="KG59" s="100"/>
      <c r="KH59" s="100"/>
      <c r="KI59" s="100"/>
      <c r="KJ59" s="100"/>
    </row>
    <row r="60" spans="1:296" s="43" customFormat="1" x14ac:dyDescent="0.3">
      <c r="B60" s="43" t="s">
        <v>122</v>
      </c>
      <c r="C60" s="119">
        <v>20</v>
      </c>
      <c r="D60" s="120">
        <v>4</v>
      </c>
      <c r="E60" s="119">
        <f>-(+C60*D60)</f>
        <v>-80</v>
      </c>
      <c r="F60" s="121"/>
      <c r="G60" s="119"/>
      <c r="I60" s="28"/>
      <c r="J60" s="39"/>
      <c r="K60" s="70"/>
      <c r="L60" s="75"/>
      <c r="M60" s="127"/>
      <c r="N60" s="77"/>
      <c r="O60" s="164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00"/>
      <c r="BV60" s="100"/>
      <c r="BW60" s="100"/>
      <c r="BX60" s="100"/>
      <c r="BY60" s="100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100"/>
      <c r="CX60" s="100"/>
      <c r="CY60" s="100"/>
      <c r="CZ60" s="100"/>
      <c r="DA60" s="100"/>
      <c r="DB60" s="100"/>
      <c r="DC60" s="100"/>
      <c r="DD60" s="100"/>
      <c r="DE60" s="100"/>
      <c r="DF60" s="100"/>
      <c r="DG60" s="100"/>
      <c r="DH60" s="100"/>
      <c r="DI60" s="100"/>
      <c r="DJ60" s="100"/>
      <c r="DK60" s="100"/>
      <c r="DL60" s="100"/>
      <c r="DM60" s="100"/>
      <c r="DN60" s="100"/>
      <c r="DO60" s="100"/>
      <c r="DP60" s="100"/>
      <c r="DQ60" s="100"/>
      <c r="DR60" s="100"/>
      <c r="DS60" s="100"/>
      <c r="DT60" s="100"/>
      <c r="DU60" s="100"/>
      <c r="DV60" s="100"/>
      <c r="DW60" s="100"/>
      <c r="DX60" s="100"/>
      <c r="DY60" s="100"/>
      <c r="DZ60" s="100"/>
      <c r="EA60" s="100"/>
      <c r="EB60" s="100"/>
      <c r="EC60" s="100"/>
      <c r="ED60" s="100"/>
      <c r="EE60" s="100"/>
      <c r="EF60" s="100"/>
      <c r="EG60" s="100"/>
      <c r="EH60" s="100"/>
      <c r="EI60" s="100"/>
      <c r="EJ60" s="100"/>
      <c r="EK60" s="100"/>
      <c r="EL60" s="100"/>
      <c r="EM60" s="100"/>
      <c r="EN60" s="100"/>
      <c r="EO60" s="100"/>
      <c r="EP60" s="100"/>
      <c r="EQ60" s="100"/>
      <c r="ER60" s="100"/>
      <c r="ES60" s="100"/>
      <c r="ET60" s="100"/>
      <c r="EU60" s="100"/>
      <c r="EV60" s="100"/>
      <c r="EW60" s="100"/>
      <c r="EX60" s="100"/>
      <c r="EY60" s="100"/>
      <c r="EZ60" s="100"/>
      <c r="FA60" s="100"/>
      <c r="FB60" s="100"/>
      <c r="FC60" s="100"/>
      <c r="FD60" s="100"/>
      <c r="FE60" s="100"/>
      <c r="FF60" s="100"/>
      <c r="FG60" s="100"/>
      <c r="FH60" s="100"/>
      <c r="FI60" s="100"/>
      <c r="FJ60" s="100"/>
      <c r="FK60" s="100"/>
      <c r="FL60" s="100"/>
      <c r="FM60" s="100"/>
      <c r="FN60" s="100"/>
      <c r="FO60" s="100"/>
      <c r="FP60" s="100"/>
      <c r="FQ60" s="100"/>
      <c r="FR60" s="100"/>
      <c r="FS60" s="100"/>
      <c r="FT60" s="100"/>
      <c r="FU60" s="100"/>
      <c r="FV60" s="100"/>
      <c r="FW60" s="100"/>
      <c r="FX60" s="100"/>
      <c r="FY60" s="100"/>
      <c r="FZ60" s="100"/>
      <c r="GA60" s="100"/>
      <c r="GB60" s="100"/>
      <c r="GC60" s="100"/>
      <c r="GD60" s="100"/>
      <c r="GE60" s="100"/>
      <c r="GF60" s="100"/>
      <c r="GG60" s="100"/>
      <c r="GH60" s="100"/>
      <c r="GI60" s="100"/>
      <c r="GJ60" s="100"/>
      <c r="GK60" s="100"/>
      <c r="GL60" s="100"/>
      <c r="GM60" s="100"/>
      <c r="GN60" s="100"/>
      <c r="GO60" s="100"/>
      <c r="GP60" s="100"/>
      <c r="GQ60" s="100"/>
      <c r="GR60" s="100"/>
      <c r="GS60" s="100"/>
      <c r="GT60" s="100"/>
      <c r="GU60" s="100"/>
      <c r="GV60" s="100"/>
      <c r="GW60" s="100"/>
      <c r="GX60" s="100"/>
      <c r="GY60" s="100"/>
      <c r="GZ60" s="100"/>
      <c r="HA60" s="100"/>
      <c r="HB60" s="100"/>
      <c r="HC60" s="100"/>
      <c r="HD60" s="100"/>
      <c r="HE60" s="100"/>
      <c r="HF60" s="100"/>
      <c r="HG60" s="100"/>
      <c r="HH60" s="100"/>
      <c r="HI60" s="100"/>
      <c r="HJ60" s="100"/>
      <c r="HK60" s="100"/>
      <c r="HL60" s="100"/>
      <c r="HM60" s="100"/>
      <c r="HN60" s="100"/>
      <c r="HO60" s="100"/>
      <c r="HP60" s="100"/>
      <c r="HQ60" s="100"/>
      <c r="HR60" s="100"/>
      <c r="HS60" s="100"/>
      <c r="HT60" s="100"/>
      <c r="HU60" s="100"/>
      <c r="HV60" s="100"/>
      <c r="HW60" s="100"/>
      <c r="HX60" s="100"/>
      <c r="HY60" s="100"/>
      <c r="HZ60" s="100"/>
      <c r="IA60" s="100"/>
      <c r="IB60" s="100"/>
      <c r="IC60" s="100"/>
      <c r="ID60" s="100"/>
      <c r="IE60" s="100"/>
      <c r="IF60" s="100"/>
      <c r="IG60" s="100"/>
      <c r="IH60" s="100"/>
      <c r="II60" s="100"/>
      <c r="IJ60" s="100"/>
      <c r="IK60" s="100"/>
      <c r="IL60" s="100"/>
      <c r="IM60" s="100"/>
      <c r="IN60" s="100"/>
      <c r="IO60" s="100"/>
      <c r="IP60" s="100"/>
      <c r="IQ60" s="100"/>
      <c r="IR60" s="100"/>
      <c r="IS60" s="100"/>
      <c r="IT60" s="100"/>
      <c r="IU60" s="100"/>
      <c r="IV60" s="100"/>
      <c r="IW60" s="100"/>
      <c r="IX60" s="100"/>
      <c r="IY60" s="100"/>
      <c r="IZ60" s="100"/>
      <c r="JA60" s="100"/>
      <c r="JB60" s="100"/>
      <c r="JC60" s="100"/>
      <c r="JD60" s="100"/>
      <c r="JE60" s="100"/>
      <c r="JF60" s="100"/>
      <c r="JG60" s="100"/>
      <c r="JH60" s="100"/>
      <c r="JI60" s="100"/>
      <c r="JJ60" s="100"/>
      <c r="JK60" s="100"/>
      <c r="JL60" s="100"/>
      <c r="JM60" s="100"/>
      <c r="JN60" s="100"/>
      <c r="JO60" s="100"/>
      <c r="JP60" s="100"/>
      <c r="JQ60" s="100"/>
      <c r="JR60" s="100"/>
      <c r="JS60" s="100"/>
      <c r="JT60" s="100"/>
      <c r="JU60" s="100"/>
      <c r="JV60" s="100"/>
      <c r="JW60" s="100"/>
      <c r="JX60" s="100"/>
      <c r="JY60" s="100"/>
      <c r="JZ60" s="100"/>
      <c r="KA60" s="100"/>
      <c r="KB60" s="100"/>
      <c r="KC60" s="100"/>
      <c r="KD60" s="100"/>
      <c r="KE60" s="100"/>
      <c r="KF60" s="100"/>
      <c r="KG60" s="100"/>
      <c r="KH60" s="100"/>
      <c r="KI60" s="100"/>
      <c r="KJ60" s="100"/>
    </row>
    <row r="61" spans="1:296" x14ac:dyDescent="0.3">
      <c r="B61" t="s">
        <v>117</v>
      </c>
      <c r="C61" s="5">
        <v>15</v>
      </c>
      <c r="D61" s="111">
        <v>0</v>
      </c>
      <c r="E61" s="5">
        <f t="shared" ref="E61:E62" si="2">-(+C61*D61)</f>
        <v>0</v>
      </c>
      <c r="F61" s="98"/>
    </row>
    <row r="62" spans="1:296" x14ac:dyDescent="0.3">
      <c r="B62" t="s">
        <v>126</v>
      </c>
      <c r="C62" s="5">
        <f>+'DIS. PRENDAS'!L12</f>
        <v>25.279583333333335</v>
      </c>
      <c r="D62" s="111">
        <v>0</v>
      </c>
      <c r="E62" s="5">
        <f t="shared" si="2"/>
        <v>0</v>
      </c>
    </row>
    <row r="63" spans="1:296" s="43" customFormat="1" x14ac:dyDescent="0.3">
      <c r="B63" s="43" t="s">
        <v>123</v>
      </c>
      <c r="C63" s="119">
        <v>20</v>
      </c>
      <c r="D63" s="120">
        <v>3.5</v>
      </c>
      <c r="E63" s="119">
        <f>-(+C63*D63)</f>
        <v>-70</v>
      </c>
      <c r="F63" s="121"/>
      <c r="G63" s="119"/>
      <c r="I63" s="28"/>
      <c r="J63" s="39"/>
      <c r="K63" s="70"/>
      <c r="L63" s="75"/>
      <c r="M63" s="127"/>
      <c r="N63" s="77"/>
      <c r="O63" s="164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00"/>
      <c r="BU63" s="100"/>
      <c r="BV63" s="100"/>
      <c r="BW63" s="100"/>
      <c r="BX63" s="100"/>
      <c r="BY63" s="100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100"/>
      <c r="CX63" s="100"/>
      <c r="CY63" s="100"/>
      <c r="CZ63" s="100"/>
      <c r="DA63" s="100"/>
      <c r="DB63" s="100"/>
      <c r="DC63" s="100"/>
      <c r="DD63" s="100"/>
      <c r="DE63" s="100"/>
      <c r="DF63" s="100"/>
      <c r="DG63" s="100"/>
      <c r="DH63" s="100"/>
      <c r="DI63" s="100"/>
      <c r="DJ63" s="100"/>
      <c r="DK63" s="100"/>
      <c r="DL63" s="100"/>
      <c r="DM63" s="100"/>
      <c r="DN63" s="100"/>
      <c r="DO63" s="100"/>
      <c r="DP63" s="100"/>
      <c r="DQ63" s="100"/>
      <c r="DR63" s="100"/>
      <c r="DS63" s="100"/>
      <c r="DT63" s="100"/>
      <c r="DU63" s="100"/>
      <c r="DV63" s="100"/>
      <c r="DW63" s="100"/>
      <c r="DX63" s="100"/>
      <c r="DY63" s="100"/>
      <c r="DZ63" s="100"/>
      <c r="EA63" s="100"/>
      <c r="EB63" s="100"/>
      <c r="EC63" s="100"/>
      <c r="ED63" s="100"/>
      <c r="EE63" s="100"/>
      <c r="EF63" s="100"/>
      <c r="EG63" s="100"/>
      <c r="EH63" s="100"/>
      <c r="EI63" s="100"/>
      <c r="EJ63" s="100"/>
      <c r="EK63" s="100"/>
      <c r="EL63" s="100"/>
      <c r="EM63" s="100"/>
      <c r="EN63" s="100"/>
      <c r="EO63" s="100"/>
      <c r="EP63" s="100"/>
      <c r="EQ63" s="100"/>
      <c r="ER63" s="100"/>
      <c r="ES63" s="100"/>
      <c r="ET63" s="100"/>
      <c r="EU63" s="100"/>
      <c r="EV63" s="100"/>
      <c r="EW63" s="100"/>
      <c r="EX63" s="100"/>
      <c r="EY63" s="100"/>
      <c r="EZ63" s="100"/>
      <c r="FA63" s="100"/>
      <c r="FB63" s="100"/>
      <c r="FC63" s="100"/>
      <c r="FD63" s="100"/>
      <c r="FE63" s="100"/>
      <c r="FF63" s="100"/>
      <c r="FG63" s="100"/>
      <c r="FH63" s="100"/>
      <c r="FI63" s="100"/>
      <c r="FJ63" s="100"/>
      <c r="FK63" s="100"/>
      <c r="FL63" s="100"/>
      <c r="FM63" s="100"/>
      <c r="FN63" s="100"/>
      <c r="FO63" s="100"/>
      <c r="FP63" s="100"/>
      <c r="FQ63" s="100"/>
      <c r="FR63" s="100"/>
      <c r="FS63" s="100"/>
      <c r="FT63" s="100"/>
      <c r="FU63" s="100"/>
      <c r="FV63" s="100"/>
      <c r="FW63" s="100"/>
      <c r="FX63" s="100"/>
      <c r="FY63" s="100"/>
      <c r="FZ63" s="100"/>
      <c r="GA63" s="100"/>
      <c r="GB63" s="100"/>
      <c r="GC63" s="100"/>
      <c r="GD63" s="100"/>
      <c r="GE63" s="100"/>
      <c r="GF63" s="100"/>
      <c r="GG63" s="100"/>
      <c r="GH63" s="100"/>
      <c r="GI63" s="100"/>
      <c r="GJ63" s="100"/>
      <c r="GK63" s="100"/>
      <c r="GL63" s="100"/>
      <c r="GM63" s="100"/>
      <c r="GN63" s="100"/>
      <c r="GO63" s="100"/>
      <c r="GP63" s="100"/>
      <c r="GQ63" s="100"/>
      <c r="GR63" s="100"/>
      <c r="GS63" s="100"/>
      <c r="GT63" s="100"/>
      <c r="GU63" s="100"/>
      <c r="GV63" s="100"/>
      <c r="GW63" s="100"/>
      <c r="GX63" s="100"/>
      <c r="GY63" s="100"/>
      <c r="GZ63" s="100"/>
      <c r="HA63" s="100"/>
      <c r="HB63" s="100"/>
      <c r="HC63" s="100"/>
      <c r="HD63" s="100"/>
      <c r="HE63" s="100"/>
      <c r="HF63" s="100"/>
      <c r="HG63" s="100"/>
      <c r="HH63" s="100"/>
      <c r="HI63" s="100"/>
      <c r="HJ63" s="100"/>
      <c r="HK63" s="100"/>
      <c r="HL63" s="100"/>
      <c r="HM63" s="100"/>
      <c r="HN63" s="100"/>
      <c r="HO63" s="100"/>
      <c r="HP63" s="100"/>
      <c r="HQ63" s="100"/>
      <c r="HR63" s="100"/>
      <c r="HS63" s="100"/>
      <c r="HT63" s="100"/>
      <c r="HU63" s="100"/>
      <c r="HV63" s="100"/>
      <c r="HW63" s="100"/>
      <c r="HX63" s="100"/>
      <c r="HY63" s="100"/>
      <c r="HZ63" s="100"/>
      <c r="IA63" s="100"/>
      <c r="IB63" s="100"/>
      <c r="IC63" s="100"/>
      <c r="ID63" s="100"/>
      <c r="IE63" s="100"/>
      <c r="IF63" s="100"/>
      <c r="IG63" s="100"/>
      <c r="IH63" s="100"/>
      <c r="II63" s="100"/>
      <c r="IJ63" s="100"/>
      <c r="IK63" s="100"/>
      <c r="IL63" s="100"/>
      <c r="IM63" s="100"/>
      <c r="IN63" s="100"/>
      <c r="IO63" s="100"/>
      <c r="IP63" s="100"/>
      <c r="IQ63" s="100"/>
      <c r="IR63" s="100"/>
      <c r="IS63" s="100"/>
      <c r="IT63" s="100"/>
      <c r="IU63" s="100"/>
      <c r="IV63" s="100"/>
      <c r="IW63" s="100"/>
      <c r="IX63" s="100"/>
      <c r="IY63" s="100"/>
      <c r="IZ63" s="100"/>
      <c r="JA63" s="100"/>
      <c r="JB63" s="100"/>
      <c r="JC63" s="100"/>
      <c r="JD63" s="100"/>
      <c r="JE63" s="100"/>
      <c r="JF63" s="100"/>
      <c r="JG63" s="100"/>
      <c r="JH63" s="100"/>
      <c r="JI63" s="100"/>
      <c r="JJ63" s="100"/>
      <c r="JK63" s="100"/>
      <c r="JL63" s="100"/>
      <c r="JM63" s="100"/>
      <c r="JN63" s="100"/>
      <c r="JO63" s="100"/>
      <c r="JP63" s="100"/>
      <c r="JQ63" s="100"/>
      <c r="JR63" s="100"/>
      <c r="JS63" s="100"/>
      <c r="JT63" s="100"/>
      <c r="JU63" s="100"/>
      <c r="JV63" s="100"/>
      <c r="JW63" s="100"/>
      <c r="JX63" s="100"/>
      <c r="JY63" s="100"/>
      <c r="JZ63" s="100"/>
      <c r="KA63" s="100"/>
      <c r="KB63" s="100"/>
      <c r="KC63" s="100"/>
      <c r="KD63" s="100"/>
      <c r="KE63" s="100"/>
      <c r="KF63" s="100"/>
      <c r="KG63" s="100"/>
      <c r="KH63" s="100"/>
      <c r="KI63" s="100"/>
      <c r="KJ63" s="100"/>
    </row>
    <row r="64" spans="1:296" s="43" customFormat="1" x14ac:dyDescent="0.3">
      <c r="B64" s="43" t="s">
        <v>130</v>
      </c>
      <c r="C64" s="119">
        <v>20</v>
      </c>
      <c r="D64" s="120">
        <v>0</v>
      </c>
      <c r="E64" s="119">
        <f>-(+C64*D64)</f>
        <v>0</v>
      </c>
      <c r="F64" s="121"/>
      <c r="G64" s="119"/>
      <c r="I64" s="28"/>
      <c r="J64" s="39"/>
      <c r="K64" s="70"/>
      <c r="L64" s="75"/>
      <c r="M64" s="127"/>
      <c r="N64" s="77"/>
      <c r="O64" s="164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00"/>
      <c r="BR64" s="100"/>
      <c r="BS64" s="100"/>
      <c r="BT64" s="100"/>
      <c r="BU64" s="100"/>
      <c r="BV64" s="100"/>
      <c r="BW64" s="100"/>
      <c r="BX64" s="100"/>
      <c r="BY64" s="100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100"/>
      <c r="CX64" s="100"/>
      <c r="CY64" s="100"/>
      <c r="CZ64" s="100"/>
      <c r="DA64" s="100"/>
      <c r="DB64" s="100"/>
      <c r="DC64" s="100"/>
      <c r="DD64" s="100"/>
      <c r="DE64" s="100"/>
      <c r="DF64" s="100"/>
      <c r="DG64" s="100"/>
      <c r="DH64" s="100"/>
      <c r="DI64" s="100"/>
      <c r="DJ64" s="100"/>
      <c r="DK64" s="100"/>
      <c r="DL64" s="100"/>
      <c r="DM64" s="100"/>
      <c r="DN64" s="100"/>
      <c r="DO64" s="100"/>
      <c r="DP64" s="100"/>
      <c r="DQ64" s="100"/>
      <c r="DR64" s="100"/>
      <c r="DS64" s="100"/>
      <c r="DT64" s="100"/>
      <c r="DU64" s="100"/>
      <c r="DV64" s="100"/>
      <c r="DW64" s="100"/>
      <c r="DX64" s="100"/>
      <c r="DY64" s="100"/>
      <c r="DZ64" s="100"/>
      <c r="EA64" s="100"/>
      <c r="EB64" s="100"/>
      <c r="EC64" s="100"/>
      <c r="ED64" s="100"/>
      <c r="EE64" s="100"/>
      <c r="EF64" s="100"/>
      <c r="EG64" s="100"/>
      <c r="EH64" s="100"/>
      <c r="EI64" s="100"/>
      <c r="EJ64" s="100"/>
      <c r="EK64" s="100"/>
      <c r="EL64" s="100"/>
      <c r="EM64" s="100"/>
      <c r="EN64" s="100"/>
      <c r="EO64" s="100"/>
      <c r="EP64" s="100"/>
      <c r="EQ64" s="100"/>
      <c r="ER64" s="100"/>
      <c r="ES64" s="100"/>
      <c r="ET64" s="100"/>
      <c r="EU64" s="100"/>
      <c r="EV64" s="100"/>
      <c r="EW64" s="100"/>
      <c r="EX64" s="100"/>
      <c r="EY64" s="100"/>
      <c r="EZ64" s="100"/>
      <c r="FA64" s="100"/>
      <c r="FB64" s="100"/>
      <c r="FC64" s="100"/>
      <c r="FD64" s="100"/>
      <c r="FE64" s="100"/>
      <c r="FF64" s="100"/>
      <c r="FG64" s="100"/>
      <c r="FH64" s="100"/>
      <c r="FI64" s="100"/>
      <c r="FJ64" s="100"/>
      <c r="FK64" s="100"/>
      <c r="FL64" s="100"/>
      <c r="FM64" s="100"/>
      <c r="FN64" s="100"/>
      <c r="FO64" s="100"/>
      <c r="FP64" s="100"/>
      <c r="FQ64" s="100"/>
      <c r="FR64" s="100"/>
      <c r="FS64" s="100"/>
      <c r="FT64" s="100"/>
      <c r="FU64" s="100"/>
      <c r="FV64" s="100"/>
      <c r="FW64" s="100"/>
      <c r="FX64" s="100"/>
      <c r="FY64" s="100"/>
      <c r="FZ64" s="100"/>
      <c r="GA64" s="100"/>
      <c r="GB64" s="100"/>
      <c r="GC64" s="100"/>
      <c r="GD64" s="100"/>
      <c r="GE64" s="100"/>
      <c r="GF64" s="100"/>
      <c r="GG64" s="100"/>
      <c r="GH64" s="100"/>
      <c r="GI64" s="100"/>
      <c r="GJ64" s="100"/>
      <c r="GK64" s="100"/>
      <c r="GL64" s="100"/>
      <c r="GM64" s="100"/>
      <c r="GN64" s="100"/>
      <c r="GO64" s="100"/>
      <c r="GP64" s="100"/>
      <c r="GQ64" s="100"/>
      <c r="GR64" s="100"/>
      <c r="GS64" s="100"/>
      <c r="GT64" s="100"/>
      <c r="GU64" s="100"/>
      <c r="GV64" s="100"/>
      <c r="GW64" s="100"/>
      <c r="GX64" s="100"/>
      <c r="GY64" s="100"/>
      <c r="GZ64" s="100"/>
      <c r="HA64" s="100"/>
      <c r="HB64" s="100"/>
      <c r="HC64" s="100"/>
      <c r="HD64" s="100"/>
      <c r="HE64" s="100"/>
      <c r="HF64" s="100"/>
      <c r="HG64" s="100"/>
      <c r="HH64" s="100"/>
      <c r="HI64" s="100"/>
      <c r="HJ64" s="100"/>
      <c r="HK64" s="100"/>
      <c r="HL64" s="100"/>
      <c r="HM64" s="100"/>
      <c r="HN64" s="100"/>
      <c r="HO64" s="100"/>
      <c r="HP64" s="100"/>
      <c r="HQ64" s="100"/>
      <c r="HR64" s="100"/>
      <c r="HS64" s="100"/>
      <c r="HT64" s="100"/>
      <c r="HU64" s="100"/>
      <c r="HV64" s="100"/>
      <c r="HW64" s="100"/>
      <c r="HX64" s="100"/>
      <c r="HY64" s="100"/>
      <c r="HZ64" s="100"/>
      <c r="IA64" s="100"/>
      <c r="IB64" s="100"/>
      <c r="IC64" s="100"/>
      <c r="ID64" s="100"/>
      <c r="IE64" s="100"/>
      <c r="IF64" s="100"/>
      <c r="IG64" s="100"/>
      <c r="IH64" s="100"/>
      <c r="II64" s="100"/>
      <c r="IJ64" s="100"/>
      <c r="IK64" s="100"/>
      <c r="IL64" s="100"/>
      <c r="IM64" s="100"/>
      <c r="IN64" s="100"/>
      <c r="IO64" s="100"/>
      <c r="IP64" s="100"/>
      <c r="IQ64" s="100"/>
      <c r="IR64" s="100"/>
      <c r="IS64" s="100"/>
      <c r="IT64" s="100"/>
      <c r="IU64" s="100"/>
      <c r="IV64" s="100"/>
      <c r="IW64" s="100"/>
      <c r="IX64" s="100"/>
      <c r="IY64" s="100"/>
      <c r="IZ64" s="100"/>
      <c r="JA64" s="100"/>
      <c r="JB64" s="100"/>
      <c r="JC64" s="100"/>
      <c r="JD64" s="100"/>
      <c r="JE64" s="100"/>
      <c r="JF64" s="100"/>
      <c r="JG64" s="100"/>
      <c r="JH64" s="100"/>
      <c r="JI64" s="100"/>
      <c r="JJ64" s="100"/>
      <c r="JK64" s="100"/>
      <c r="JL64" s="100"/>
      <c r="JM64" s="100"/>
      <c r="JN64" s="100"/>
      <c r="JO64" s="100"/>
      <c r="JP64" s="100"/>
      <c r="JQ64" s="100"/>
      <c r="JR64" s="100"/>
      <c r="JS64" s="100"/>
      <c r="JT64" s="100"/>
      <c r="JU64" s="100"/>
      <c r="JV64" s="100"/>
      <c r="JW64" s="100"/>
      <c r="JX64" s="100"/>
      <c r="JY64" s="100"/>
      <c r="JZ64" s="100"/>
      <c r="KA64" s="100"/>
      <c r="KB64" s="100"/>
      <c r="KC64" s="100"/>
      <c r="KD64" s="100"/>
      <c r="KE64" s="100"/>
      <c r="KF64" s="100"/>
      <c r="KG64" s="100"/>
      <c r="KH64" s="100"/>
      <c r="KI64" s="100"/>
      <c r="KJ64" s="100"/>
    </row>
    <row r="65" spans="2:296" s="43" customFormat="1" x14ac:dyDescent="0.3">
      <c r="B65" s="130" t="s">
        <v>127</v>
      </c>
      <c r="C65" s="119">
        <v>25</v>
      </c>
      <c r="D65" s="120">
        <v>1</v>
      </c>
      <c r="E65" s="119">
        <f>-(+C65*D65)</f>
        <v>-25</v>
      </c>
      <c r="F65" s="121"/>
      <c r="G65" s="119"/>
      <c r="I65" s="28"/>
      <c r="J65" s="39"/>
      <c r="K65" s="70"/>
      <c r="L65" s="75"/>
      <c r="M65" s="127"/>
      <c r="N65" s="77"/>
      <c r="O65" s="164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100"/>
      <c r="BS65" s="100"/>
      <c r="BT65" s="100"/>
      <c r="BU65" s="100"/>
      <c r="BV65" s="100"/>
      <c r="BW65" s="100"/>
      <c r="BX65" s="100"/>
      <c r="BY65" s="100"/>
      <c r="BZ65" s="100"/>
      <c r="CA65" s="100"/>
      <c r="CB65" s="100"/>
      <c r="CC65" s="100"/>
      <c r="CD65" s="100"/>
      <c r="CE65" s="10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  <c r="CU65" s="100"/>
      <c r="CV65" s="100"/>
      <c r="CW65" s="100"/>
      <c r="CX65" s="100"/>
      <c r="CY65" s="100"/>
      <c r="CZ65" s="100"/>
      <c r="DA65" s="100"/>
      <c r="DB65" s="100"/>
      <c r="DC65" s="100"/>
      <c r="DD65" s="100"/>
      <c r="DE65" s="100"/>
      <c r="DF65" s="100"/>
      <c r="DG65" s="100"/>
      <c r="DH65" s="100"/>
      <c r="DI65" s="100"/>
      <c r="DJ65" s="100"/>
      <c r="DK65" s="100"/>
      <c r="DL65" s="100"/>
      <c r="DM65" s="100"/>
      <c r="DN65" s="100"/>
      <c r="DO65" s="100"/>
      <c r="DP65" s="100"/>
      <c r="DQ65" s="100"/>
      <c r="DR65" s="100"/>
      <c r="DS65" s="100"/>
      <c r="DT65" s="100"/>
      <c r="DU65" s="100"/>
      <c r="DV65" s="100"/>
      <c r="DW65" s="100"/>
      <c r="DX65" s="100"/>
      <c r="DY65" s="100"/>
      <c r="DZ65" s="100"/>
      <c r="EA65" s="100"/>
      <c r="EB65" s="100"/>
      <c r="EC65" s="100"/>
      <c r="ED65" s="100"/>
      <c r="EE65" s="100"/>
      <c r="EF65" s="100"/>
      <c r="EG65" s="100"/>
      <c r="EH65" s="100"/>
      <c r="EI65" s="100"/>
      <c r="EJ65" s="100"/>
      <c r="EK65" s="100"/>
      <c r="EL65" s="100"/>
      <c r="EM65" s="100"/>
      <c r="EN65" s="100"/>
      <c r="EO65" s="100"/>
      <c r="EP65" s="100"/>
      <c r="EQ65" s="100"/>
      <c r="ER65" s="100"/>
      <c r="ES65" s="100"/>
      <c r="ET65" s="100"/>
      <c r="EU65" s="100"/>
      <c r="EV65" s="100"/>
      <c r="EW65" s="100"/>
      <c r="EX65" s="100"/>
      <c r="EY65" s="100"/>
      <c r="EZ65" s="100"/>
      <c r="FA65" s="100"/>
      <c r="FB65" s="100"/>
      <c r="FC65" s="100"/>
      <c r="FD65" s="100"/>
      <c r="FE65" s="100"/>
      <c r="FF65" s="100"/>
      <c r="FG65" s="100"/>
      <c r="FH65" s="100"/>
      <c r="FI65" s="100"/>
      <c r="FJ65" s="100"/>
      <c r="FK65" s="100"/>
      <c r="FL65" s="100"/>
      <c r="FM65" s="100"/>
      <c r="FN65" s="100"/>
      <c r="FO65" s="100"/>
      <c r="FP65" s="100"/>
      <c r="FQ65" s="100"/>
      <c r="FR65" s="100"/>
      <c r="FS65" s="100"/>
      <c r="FT65" s="100"/>
      <c r="FU65" s="100"/>
      <c r="FV65" s="100"/>
      <c r="FW65" s="100"/>
      <c r="FX65" s="100"/>
      <c r="FY65" s="100"/>
      <c r="FZ65" s="100"/>
      <c r="GA65" s="100"/>
      <c r="GB65" s="100"/>
      <c r="GC65" s="100"/>
      <c r="GD65" s="100"/>
      <c r="GE65" s="100"/>
      <c r="GF65" s="100"/>
      <c r="GG65" s="100"/>
      <c r="GH65" s="100"/>
      <c r="GI65" s="100"/>
      <c r="GJ65" s="100"/>
      <c r="GK65" s="100"/>
      <c r="GL65" s="100"/>
      <c r="GM65" s="100"/>
      <c r="GN65" s="100"/>
      <c r="GO65" s="100"/>
      <c r="GP65" s="100"/>
      <c r="GQ65" s="100"/>
      <c r="GR65" s="100"/>
      <c r="GS65" s="100"/>
      <c r="GT65" s="100"/>
      <c r="GU65" s="100"/>
      <c r="GV65" s="100"/>
      <c r="GW65" s="100"/>
      <c r="GX65" s="100"/>
      <c r="GY65" s="100"/>
      <c r="GZ65" s="100"/>
      <c r="HA65" s="100"/>
      <c r="HB65" s="100"/>
      <c r="HC65" s="100"/>
      <c r="HD65" s="100"/>
      <c r="HE65" s="100"/>
      <c r="HF65" s="100"/>
      <c r="HG65" s="100"/>
      <c r="HH65" s="100"/>
      <c r="HI65" s="100"/>
      <c r="HJ65" s="100"/>
      <c r="HK65" s="100"/>
      <c r="HL65" s="100"/>
      <c r="HM65" s="100"/>
      <c r="HN65" s="100"/>
      <c r="HO65" s="100"/>
      <c r="HP65" s="100"/>
      <c r="HQ65" s="100"/>
      <c r="HR65" s="100"/>
      <c r="HS65" s="100"/>
      <c r="HT65" s="100"/>
      <c r="HU65" s="100"/>
      <c r="HV65" s="100"/>
      <c r="HW65" s="100"/>
      <c r="HX65" s="100"/>
      <c r="HY65" s="100"/>
      <c r="HZ65" s="100"/>
      <c r="IA65" s="100"/>
      <c r="IB65" s="100"/>
      <c r="IC65" s="100"/>
      <c r="ID65" s="100"/>
      <c r="IE65" s="100"/>
      <c r="IF65" s="100"/>
      <c r="IG65" s="100"/>
      <c r="IH65" s="100"/>
      <c r="II65" s="100"/>
      <c r="IJ65" s="100"/>
      <c r="IK65" s="100"/>
      <c r="IL65" s="100"/>
      <c r="IM65" s="100"/>
      <c r="IN65" s="100"/>
      <c r="IO65" s="100"/>
      <c r="IP65" s="100"/>
      <c r="IQ65" s="100"/>
      <c r="IR65" s="100"/>
      <c r="IS65" s="100"/>
      <c r="IT65" s="100"/>
      <c r="IU65" s="100"/>
      <c r="IV65" s="100"/>
      <c r="IW65" s="100"/>
      <c r="IX65" s="100"/>
      <c r="IY65" s="100"/>
      <c r="IZ65" s="100"/>
      <c r="JA65" s="100"/>
      <c r="JB65" s="100"/>
      <c r="JC65" s="100"/>
      <c r="JD65" s="100"/>
      <c r="JE65" s="100"/>
      <c r="JF65" s="100"/>
      <c r="JG65" s="100"/>
      <c r="JH65" s="100"/>
      <c r="JI65" s="100"/>
      <c r="JJ65" s="100"/>
      <c r="JK65" s="100"/>
      <c r="JL65" s="100"/>
      <c r="JM65" s="100"/>
      <c r="JN65" s="100"/>
      <c r="JO65" s="100"/>
      <c r="JP65" s="100"/>
      <c r="JQ65" s="100"/>
      <c r="JR65" s="100"/>
      <c r="JS65" s="100"/>
      <c r="JT65" s="100"/>
      <c r="JU65" s="100"/>
      <c r="JV65" s="100"/>
      <c r="JW65" s="100"/>
      <c r="JX65" s="100"/>
      <c r="JY65" s="100"/>
      <c r="JZ65" s="100"/>
      <c r="KA65" s="100"/>
      <c r="KB65" s="100"/>
      <c r="KC65" s="100"/>
      <c r="KD65" s="100"/>
      <c r="KE65" s="100"/>
      <c r="KF65" s="100"/>
      <c r="KG65" s="100"/>
      <c r="KH65" s="100"/>
      <c r="KI65" s="100"/>
      <c r="KJ65" s="100"/>
    </row>
    <row r="66" spans="2:296" x14ac:dyDescent="0.3">
      <c r="C66" s="5"/>
      <c r="D66" s="112"/>
      <c r="E66" s="94">
        <f>SUM(E51:E65)</f>
        <v>-1286.4958333333334</v>
      </c>
    </row>
    <row r="67" spans="2:296" s="100" customFormat="1" x14ac:dyDescent="0.3">
      <c r="C67" s="116"/>
      <c r="D67" s="124"/>
      <c r="E67" s="125"/>
      <c r="F67" s="96"/>
      <c r="G67" s="116"/>
      <c r="I67" s="28"/>
      <c r="J67" s="39"/>
      <c r="K67" s="70"/>
      <c r="L67" s="75"/>
      <c r="M67" s="127"/>
      <c r="N67" s="77"/>
      <c r="O67" s="164"/>
    </row>
    <row r="68" spans="2:296" x14ac:dyDescent="0.3">
      <c r="C68" s="5"/>
      <c r="D68" s="112"/>
      <c r="E68" s="27"/>
    </row>
    <row r="69" spans="2:296" ht="25.8" x14ac:dyDescent="0.3">
      <c r="F69" s="174" t="s">
        <v>22</v>
      </c>
      <c r="G69" s="174"/>
      <c r="H69" s="174"/>
      <c r="I69" s="85"/>
    </row>
    <row r="70" spans="2:296" ht="28.8" x14ac:dyDescent="0.3">
      <c r="B70" s="3" t="s">
        <v>2</v>
      </c>
      <c r="C70" s="12" t="s">
        <v>12</v>
      </c>
      <c r="D70" s="175" t="s">
        <v>17</v>
      </c>
      <c r="E70" s="176"/>
      <c r="F70" s="11" t="s">
        <v>15</v>
      </c>
      <c r="G70" s="14" t="s">
        <v>16</v>
      </c>
      <c r="H70" s="13" t="s">
        <v>138</v>
      </c>
      <c r="I70" s="86" t="s">
        <v>41</v>
      </c>
      <c r="J70" s="40" t="s">
        <v>42</v>
      </c>
      <c r="K70" s="149" t="s">
        <v>95</v>
      </c>
      <c r="L70" s="76" t="s">
        <v>96</v>
      </c>
      <c r="M70" s="128" t="s">
        <v>125</v>
      </c>
      <c r="N70" s="78" t="s">
        <v>94</v>
      </c>
      <c r="O70" s="162" t="s">
        <v>161</v>
      </c>
    </row>
    <row r="71" spans="2:296" ht="13.8" customHeight="1" x14ac:dyDescent="0.3">
      <c r="B71" s="3"/>
      <c r="C71" s="67">
        <f>SUM(C72:C306)</f>
        <v>0</v>
      </c>
      <c r="D71" s="122" t="s">
        <v>20</v>
      </c>
      <c r="E71" s="67">
        <f>SUM(E72:E306)</f>
        <v>3662.41</v>
      </c>
      <c r="F71" s="67">
        <f t="shared" ref="F71:N71" si="3">SUM(F72:F306)</f>
        <v>159</v>
      </c>
      <c r="G71" s="67">
        <f t="shared" si="3"/>
        <v>0</v>
      </c>
      <c r="H71" s="67">
        <f t="shared" si="3"/>
        <v>35</v>
      </c>
      <c r="I71" s="67">
        <f t="shared" si="3"/>
        <v>0</v>
      </c>
      <c r="J71" s="67">
        <f t="shared" si="3"/>
        <v>0</v>
      </c>
      <c r="K71" s="67">
        <f t="shared" si="3"/>
        <v>6</v>
      </c>
      <c r="L71" s="67">
        <f t="shared" si="3"/>
        <v>6</v>
      </c>
      <c r="M71" s="67">
        <f t="shared" si="3"/>
        <v>8</v>
      </c>
      <c r="N71" s="67">
        <f t="shared" si="3"/>
        <v>0</v>
      </c>
      <c r="O71" s="163">
        <f>SUM(O72:O306)</f>
        <v>118.4</v>
      </c>
    </row>
    <row r="72" spans="2:296" ht="13.8" customHeight="1" x14ac:dyDescent="0.3">
      <c r="B72" s="146" t="s">
        <v>137</v>
      </c>
      <c r="C72" s="99"/>
      <c r="D72" s="122" t="s">
        <v>133</v>
      </c>
      <c r="E72" s="67"/>
      <c r="F72" s="67"/>
      <c r="G72" s="118"/>
      <c r="H72" s="118"/>
      <c r="I72" s="118"/>
      <c r="J72" s="118"/>
      <c r="K72" s="118"/>
      <c r="L72" s="118"/>
      <c r="M72" s="118">
        <v>3</v>
      </c>
      <c r="N72" s="118"/>
    </row>
    <row r="73" spans="2:296" ht="13.8" customHeight="1" x14ac:dyDescent="0.3">
      <c r="B73" t="s">
        <v>147</v>
      </c>
      <c r="C73" s="99"/>
      <c r="D73" s="122" t="s">
        <v>145</v>
      </c>
      <c r="E73" s="67">
        <v>10.23</v>
      </c>
      <c r="F73" s="67"/>
      <c r="G73" s="118"/>
      <c r="H73" s="118"/>
      <c r="I73" s="118"/>
      <c r="J73" s="118"/>
      <c r="K73" s="118"/>
      <c r="L73" s="118"/>
      <c r="M73" s="118"/>
      <c r="N73" s="118"/>
    </row>
    <row r="74" spans="2:296" ht="13.8" customHeight="1" x14ac:dyDescent="0.3">
      <c r="B74" s="146" t="s">
        <v>156</v>
      </c>
      <c r="C74" s="99"/>
      <c r="D74" s="122" t="s">
        <v>158</v>
      </c>
      <c r="E74" s="67"/>
      <c r="F74" s="67"/>
      <c r="G74" s="118"/>
      <c r="H74" s="118"/>
      <c r="I74" s="118"/>
      <c r="J74" s="118"/>
      <c r="K74" s="118"/>
      <c r="L74" s="118"/>
      <c r="M74" s="118">
        <v>5</v>
      </c>
      <c r="N74" s="118"/>
    </row>
    <row r="75" spans="2:296" ht="13.8" customHeight="1" x14ac:dyDescent="0.3">
      <c r="B75" s="146" t="s">
        <v>159</v>
      </c>
      <c r="C75" s="99"/>
      <c r="D75" s="122" t="s">
        <v>157</v>
      </c>
      <c r="E75" s="67"/>
      <c r="F75" s="67"/>
      <c r="G75" s="118"/>
      <c r="H75" s="118"/>
      <c r="I75" s="118"/>
      <c r="J75" s="118"/>
      <c r="K75" s="118"/>
      <c r="L75" s="118"/>
      <c r="M75" s="118"/>
      <c r="N75" s="118"/>
      <c r="O75" s="164">
        <v>31</v>
      </c>
    </row>
    <row r="76" spans="2:296" ht="13.8" customHeight="1" x14ac:dyDescent="0.3">
      <c r="B76" s="146" t="s">
        <v>160</v>
      </c>
      <c r="C76" s="99"/>
      <c r="D76" s="122" t="s">
        <v>157</v>
      </c>
      <c r="E76" s="67"/>
      <c r="F76" s="67"/>
      <c r="G76" s="118"/>
      <c r="H76" s="118"/>
      <c r="I76" s="118"/>
      <c r="J76" s="118"/>
      <c r="K76" s="118"/>
      <c r="L76" s="118"/>
      <c r="M76" s="118"/>
      <c r="N76" s="118"/>
      <c r="O76" s="164">
        <v>2</v>
      </c>
    </row>
    <row r="77" spans="2:296" ht="13.8" customHeight="1" x14ac:dyDescent="0.3">
      <c r="B77" s="146" t="s">
        <v>162</v>
      </c>
      <c r="C77" s="99"/>
      <c r="D77" s="122" t="s">
        <v>157</v>
      </c>
      <c r="E77" s="67"/>
      <c r="F77" s="67"/>
      <c r="G77" s="118"/>
      <c r="H77" s="118"/>
      <c r="I77" s="118"/>
      <c r="J77" s="118"/>
      <c r="K77" s="118"/>
      <c r="L77" s="118"/>
      <c r="M77" s="118"/>
      <c r="N77" s="118"/>
      <c r="O77" s="164">
        <v>2.5</v>
      </c>
    </row>
    <row r="78" spans="2:296" ht="13.8" customHeight="1" x14ac:dyDescent="0.3">
      <c r="B78" s="146" t="s">
        <v>163</v>
      </c>
      <c r="C78" s="99"/>
      <c r="D78" s="122" t="s">
        <v>157</v>
      </c>
      <c r="E78" s="67"/>
      <c r="F78" s="67"/>
      <c r="G78" s="118"/>
      <c r="H78" s="118"/>
      <c r="I78" s="118"/>
      <c r="J78" s="118"/>
      <c r="K78" s="118"/>
      <c r="L78" s="118"/>
      <c r="M78" s="118"/>
      <c r="N78" s="118"/>
      <c r="O78" s="164">
        <v>11.5</v>
      </c>
    </row>
    <row r="79" spans="2:296" ht="13.8" customHeight="1" x14ac:dyDescent="0.3">
      <c r="B79" s="146" t="s">
        <v>164</v>
      </c>
      <c r="C79" s="99"/>
      <c r="D79" s="122" t="s">
        <v>157</v>
      </c>
      <c r="E79" s="67"/>
      <c r="F79" s="67"/>
      <c r="G79" s="118"/>
      <c r="H79" s="118"/>
      <c r="I79" s="118"/>
      <c r="J79" s="118"/>
      <c r="K79" s="118"/>
      <c r="L79" s="118"/>
      <c r="M79" s="118"/>
      <c r="N79" s="118"/>
      <c r="O79" s="164">
        <v>11.75</v>
      </c>
    </row>
    <row r="80" spans="2:296" ht="13.8" customHeight="1" x14ac:dyDescent="0.3">
      <c r="B80" s="146" t="s">
        <v>165</v>
      </c>
      <c r="C80" s="99"/>
      <c r="D80" s="122" t="s">
        <v>157</v>
      </c>
      <c r="E80" s="67"/>
      <c r="F80" s="67"/>
      <c r="G80" s="118"/>
      <c r="H80" s="118"/>
      <c r="I80" s="118"/>
      <c r="J80" s="118"/>
      <c r="K80" s="118"/>
      <c r="L80" s="118"/>
      <c r="M80" s="118"/>
      <c r="N80" s="118"/>
      <c r="O80" s="164">
        <v>37.4</v>
      </c>
    </row>
    <row r="81" spans="1:15" ht="13.8" customHeight="1" x14ac:dyDescent="0.3">
      <c r="B81" s="146" t="s">
        <v>167</v>
      </c>
      <c r="C81" s="99"/>
      <c r="D81" s="122" t="s">
        <v>157</v>
      </c>
      <c r="E81" s="67"/>
      <c r="F81" s="67"/>
      <c r="G81" s="118"/>
      <c r="H81" s="118"/>
      <c r="I81" s="118"/>
      <c r="J81" s="118"/>
      <c r="K81" s="118"/>
      <c r="L81" s="118"/>
      <c r="M81" s="118"/>
      <c r="N81" s="118"/>
      <c r="O81" s="164">
        <v>3</v>
      </c>
    </row>
    <row r="82" spans="1:15" ht="13.8" customHeight="1" x14ac:dyDescent="0.3">
      <c r="B82" s="146" t="s">
        <v>166</v>
      </c>
      <c r="C82" s="99"/>
      <c r="D82" s="122" t="s">
        <v>157</v>
      </c>
      <c r="E82" s="67"/>
      <c r="F82" s="67"/>
      <c r="G82" s="118"/>
      <c r="H82" s="118"/>
      <c r="I82" s="118"/>
      <c r="J82" s="118"/>
      <c r="K82" s="118"/>
      <c r="L82" s="118"/>
      <c r="M82" s="118"/>
      <c r="N82" s="118"/>
      <c r="O82" s="164">
        <v>5</v>
      </c>
    </row>
    <row r="83" spans="1:15" ht="13.8" customHeight="1" x14ac:dyDescent="0.3">
      <c r="B83" s="146" t="s">
        <v>168</v>
      </c>
      <c r="C83" s="99"/>
      <c r="D83" s="122" t="s">
        <v>157</v>
      </c>
      <c r="E83" s="67"/>
      <c r="F83" s="67"/>
      <c r="G83" s="118"/>
      <c r="H83" s="118"/>
      <c r="I83" s="118"/>
      <c r="J83" s="118"/>
      <c r="K83" s="118"/>
      <c r="L83" s="118"/>
      <c r="M83" s="118"/>
      <c r="N83" s="118"/>
      <c r="O83" s="164">
        <v>3</v>
      </c>
    </row>
    <row r="84" spans="1:15" ht="13.8" customHeight="1" x14ac:dyDescent="0.3">
      <c r="B84" s="146" t="s">
        <v>169</v>
      </c>
      <c r="C84" s="99"/>
      <c r="D84" s="122" t="s">
        <v>157</v>
      </c>
      <c r="E84" s="67"/>
      <c r="F84" s="67"/>
      <c r="G84" s="118"/>
      <c r="H84" s="118"/>
      <c r="I84" s="118"/>
      <c r="J84" s="118"/>
      <c r="K84" s="118"/>
      <c r="L84" s="118"/>
      <c r="M84" s="118"/>
      <c r="N84" s="118"/>
      <c r="O84" s="164">
        <f>5.15+1.1</f>
        <v>6.25</v>
      </c>
    </row>
    <row r="85" spans="1:15" ht="13.8" customHeight="1" x14ac:dyDescent="0.3">
      <c r="B85" s="146" t="s">
        <v>170</v>
      </c>
      <c r="C85" s="99"/>
      <c r="D85" s="122" t="s">
        <v>157</v>
      </c>
      <c r="E85" s="67"/>
      <c r="F85" s="67"/>
      <c r="G85" s="118"/>
      <c r="H85" s="118"/>
      <c r="I85" s="118"/>
      <c r="J85" s="118"/>
      <c r="K85" s="118"/>
      <c r="L85" s="118"/>
      <c r="M85" s="118"/>
      <c r="N85" s="118"/>
      <c r="O85" s="164">
        <v>5</v>
      </c>
    </row>
    <row r="86" spans="1:15" s="5" customFormat="1" x14ac:dyDescent="0.3">
      <c r="A86"/>
      <c r="B86" t="s">
        <v>13</v>
      </c>
      <c r="C86"/>
      <c r="D86" s="147">
        <v>5429</v>
      </c>
      <c r="E86" s="95">
        <v>0</v>
      </c>
      <c r="F86" s="97" t="s">
        <v>142</v>
      </c>
      <c r="H86"/>
      <c r="I86" s="28"/>
      <c r="J86" s="39"/>
      <c r="K86" s="70"/>
      <c r="L86" s="75"/>
      <c r="M86" s="127"/>
      <c r="N86" s="77"/>
      <c r="O86" s="165"/>
    </row>
    <row r="87" spans="1:15" x14ac:dyDescent="0.3">
      <c r="B87" s="126" t="s">
        <v>13</v>
      </c>
      <c r="C87" s="100"/>
      <c r="D87" s="147">
        <v>6070</v>
      </c>
      <c r="E87" s="24"/>
      <c r="F87" s="132" t="s">
        <v>131</v>
      </c>
    </row>
    <row r="88" spans="1:15" x14ac:dyDescent="0.3">
      <c r="B88" s="123" t="s">
        <v>13</v>
      </c>
      <c r="C88" s="100"/>
      <c r="D88" s="147">
        <v>6119</v>
      </c>
      <c r="E88" s="24">
        <v>0</v>
      </c>
      <c r="F88" s="132" t="s">
        <v>132</v>
      </c>
    </row>
    <row r="89" spans="1:15" x14ac:dyDescent="0.3">
      <c r="B89" s="126" t="s">
        <v>13</v>
      </c>
      <c r="D89" s="147">
        <v>6150</v>
      </c>
      <c r="E89" s="24"/>
      <c r="F89" s="132" t="s">
        <v>151</v>
      </c>
    </row>
    <row r="90" spans="1:15" x14ac:dyDescent="0.3">
      <c r="B90" s="126" t="s">
        <v>13</v>
      </c>
      <c r="D90" s="160">
        <v>6165</v>
      </c>
      <c r="E90" s="24">
        <v>319</v>
      </c>
      <c r="F90" s="132">
        <v>17</v>
      </c>
    </row>
    <row r="91" spans="1:15" x14ac:dyDescent="0.3">
      <c r="B91" s="126" t="s">
        <v>13</v>
      </c>
      <c r="D91" s="147">
        <v>6183</v>
      </c>
      <c r="E91" s="24">
        <v>0</v>
      </c>
      <c r="F91" s="157" t="s">
        <v>153</v>
      </c>
    </row>
    <row r="92" spans="1:15" x14ac:dyDescent="0.3">
      <c r="B92" s="126" t="s">
        <v>13</v>
      </c>
      <c r="D92" s="150">
        <v>6208</v>
      </c>
      <c r="E92" s="151">
        <v>0</v>
      </c>
      <c r="F92" s="157" t="s">
        <v>148</v>
      </c>
    </row>
    <row r="93" spans="1:15" x14ac:dyDescent="0.3">
      <c r="B93" s="126" t="s">
        <v>13</v>
      </c>
      <c r="D93" s="150">
        <v>6229</v>
      </c>
      <c r="E93" s="151">
        <v>306</v>
      </c>
      <c r="F93" s="157">
        <v>16</v>
      </c>
    </row>
    <row r="94" spans="1:15" x14ac:dyDescent="0.3">
      <c r="A94" s="158"/>
      <c r="B94" s="159" t="s">
        <v>13</v>
      </c>
      <c r="C94" s="158"/>
      <c r="D94" s="113">
        <v>6240</v>
      </c>
      <c r="E94" s="24">
        <v>187</v>
      </c>
      <c r="F94" s="132"/>
      <c r="H94" s="100">
        <v>35</v>
      </c>
    </row>
    <row r="95" spans="1:15" x14ac:dyDescent="0.3">
      <c r="A95" s="158"/>
      <c r="B95" s="159" t="s">
        <v>13</v>
      </c>
      <c r="C95" s="158"/>
      <c r="D95" s="113">
        <v>6241</v>
      </c>
      <c r="E95" s="24">
        <v>604.5</v>
      </c>
      <c r="F95" s="157">
        <v>38</v>
      </c>
      <c r="H95" s="100"/>
    </row>
    <row r="96" spans="1:15" x14ac:dyDescent="0.3">
      <c r="B96" s="126" t="s">
        <v>13</v>
      </c>
      <c r="D96" s="160">
        <v>6243</v>
      </c>
      <c r="E96" s="24">
        <v>10</v>
      </c>
      <c r="F96" s="161" t="s">
        <v>152</v>
      </c>
    </row>
    <row r="97" spans="2:12" x14ac:dyDescent="0.3">
      <c r="B97" s="126" t="s">
        <v>146</v>
      </c>
      <c r="D97" s="113">
        <v>6244</v>
      </c>
      <c r="E97" s="24">
        <v>158.68</v>
      </c>
      <c r="F97" s="30"/>
    </row>
    <row r="98" spans="2:12" x14ac:dyDescent="0.3">
      <c r="B98" s="137" t="s">
        <v>13</v>
      </c>
      <c r="D98" s="113">
        <v>6245</v>
      </c>
      <c r="E98" s="24">
        <f>440*0.6</f>
        <v>264</v>
      </c>
      <c r="F98" s="30" t="s">
        <v>155</v>
      </c>
    </row>
    <row r="99" spans="2:12" x14ac:dyDescent="0.3">
      <c r="B99" s="126" t="s">
        <v>13</v>
      </c>
      <c r="D99" s="113">
        <v>6246</v>
      </c>
      <c r="E99" s="24">
        <v>194</v>
      </c>
      <c r="F99" s="30">
        <v>12</v>
      </c>
    </row>
    <row r="100" spans="2:12" x14ac:dyDescent="0.3">
      <c r="B100" s="126" t="s">
        <v>13</v>
      </c>
      <c r="D100" s="113">
        <v>6247</v>
      </c>
      <c r="E100" s="24">
        <v>24</v>
      </c>
      <c r="F100" s="30"/>
      <c r="K100" s="70">
        <v>2</v>
      </c>
      <c r="L100" s="75">
        <v>2</v>
      </c>
    </row>
    <row r="101" spans="2:12" x14ac:dyDescent="0.3">
      <c r="B101" s="126" t="s">
        <v>13</v>
      </c>
      <c r="D101" s="113">
        <v>6248</v>
      </c>
      <c r="E101" s="24">
        <v>11</v>
      </c>
      <c r="F101" s="30"/>
      <c r="K101" s="70">
        <v>1</v>
      </c>
      <c r="L101" s="75">
        <v>1</v>
      </c>
    </row>
    <row r="102" spans="2:12" x14ac:dyDescent="0.3">
      <c r="B102" s="126" t="s">
        <v>13</v>
      </c>
      <c r="D102" s="113">
        <v>6249</v>
      </c>
      <c r="E102" s="24">
        <v>43</v>
      </c>
      <c r="F102" s="30"/>
    </row>
    <row r="103" spans="2:12" x14ac:dyDescent="0.3">
      <c r="B103" s="126" t="s">
        <v>13</v>
      </c>
      <c r="D103" s="113">
        <v>6250</v>
      </c>
      <c r="E103" s="24">
        <v>369</v>
      </c>
      <c r="F103" s="30">
        <v>22</v>
      </c>
    </row>
    <row r="104" spans="2:12" x14ac:dyDescent="0.3">
      <c r="B104" s="126" t="s">
        <v>13</v>
      </c>
      <c r="D104" s="113">
        <v>6251</v>
      </c>
      <c r="E104" s="24">
        <v>766</v>
      </c>
      <c r="F104" s="30">
        <v>47</v>
      </c>
    </row>
    <row r="105" spans="2:12" x14ac:dyDescent="0.3">
      <c r="B105" s="126" t="s">
        <v>13</v>
      </c>
      <c r="D105" s="113">
        <v>6252</v>
      </c>
      <c r="E105" s="24">
        <v>30</v>
      </c>
      <c r="F105" s="30"/>
    </row>
    <row r="106" spans="2:12" x14ac:dyDescent="0.3">
      <c r="B106" s="126" t="s">
        <v>13</v>
      </c>
      <c r="D106" s="113">
        <v>6253</v>
      </c>
      <c r="E106" s="24">
        <f>140*0.6</f>
        <v>84</v>
      </c>
      <c r="F106" s="30" t="s">
        <v>154</v>
      </c>
      <c r="H106" s="5"/>
    </row>
    <row r="107" spans="2:12" x14ac:dyDescent="0.3">
      <c r="B107" s="126" t="s">
        <v>13</v>
      </c>
      <c r="D107" s="113">
        <v>6254</v>
      </c>
      <c r="E107" s="24">
        <v>9</v>
      </c>
      <c r="F107" s="30"/>
      <c r="H107" s="5"/>
    </row>
    <row r="108" spans="2:12" x14ac:dyDescent="0.3">
      <c r="B108" s="126" t="s">
        <v>13</v>
      </c>
      <c r="D108" s="113">
        <v>6255</v>
      </c>
      <c r="E108" s="24">
        <v>22</v>
      </c>
      <c r="F108" s="30"/>
      <c r="H108" s="5"/>
      <c r="K108" s="70">
        <v>2</v>
      </c>
      <c r="L108" s="75">
        <v>2</v>
      </c>
    </row>
    <row r="109" spans="2:12" x14ac:dyDescent="0.3">
      <c r="B109" s="126" t="s">
        <v>13</v>
      </c>
      <c r="D109" s="113">
        <v>6256</v>
      </c>
      <c r="E109" s="24">
        <v>119</v>
      </c>
      <c r="F109" s="30">
        <v>4</v>
      </c>
    </row>
    <row r="110" spans="2:12" x14ac:dyDescent="0.3">
      <c r="B110" s="126" t="s">
        <v>13</v>
      </c>
      <c r="D110" s="113">
        <v>6257</v>
      </c>
      <c r="E110" s="24">
        <v>16</v>
      </c>
      <c r="F110" s="30">
        <v>1</v>
      </c>
    </row>
    <row r="111" spans="2:12" x14ac:dyDescent="0.3">
      <c r="B111" s="126" t="s">
        <v>13</v>
      </c>
      <c r="D111" s="113">
        <v>6258</v>
      </c>
      <c r="E111" s="24">
        <v>40</v>
      </c>
      <c r="F111" s="30">
        <v>2</v>
      </c>
    </row>
    <row r="112" spans="2:12" x14ac:dyDescent="0.3">
      <c r="B112" s="126" t="s">
        <v>13</v>
      </c>
      <c r="D112" s="113">
        <v>6259</v>
      </c>
      <c r="E112" s="24">
        <v>0</v>
      </c>
      <c r="F112" s="30" t="s">
        <v>150</v>
      </c>
    </row>
    <row r="113" spans="2:12" x14ac:dyDescent="0.3">
      <c r="B113" s="126" t="s">
        <v>13</v>
      </c>
      <c r="D113" s="113">
        <v>6260</v>
      </c>
      <c r="E113" s="24">
        <v>11</v>
      </c>
      <c r="F113" s="30"/>
      <c r="K113" s="70">
        <v>1</v>
      </c>
      <c r="L113" s="75">
        <v>1</v>
      </c>
    </row>
    <row r="114" spans="2:12" x14ac:dyDescent="0.3">
      <c r="B114" s="126" t="s">
        <v>13</v>
      </c>
      <c r="D114" s="113">
        <v>6261</v>
      </c>
      <c r="E114" s="24">
        <v>7</v>
      </c>
      <c r="F114" s="30"/>
    </row>
    <row r="115" spans="2:12" x14ac:dyDescent="0.3">
      <c r="B115" s="126" t="s">
        <v>13</v>
      </c>
      <c r="D115" s="113">
        <v>6262</v>
      </c>
      <c r="E115" s="24">
        <v>16</v>
      </c>
      <c r="F115" s="30"/>
    </row>
    <row r="116" spans="2:12" x14ac:dyDescent="0.3">
      <c r="B116" s="126" t="s">
        <v>13</v>
      </c>
      <c r="D116" s="113">
        <v>6263</v>
      </c>
      <c r="E116" s="24">
        <v>42</v>
      </c>
      <c r="F116" s="30"/>
    </row>
  </sheetData>
  <mergeCells count="3">
    <mergeCell ref="B49:E49"/>
    <mergeCell ref="F69:H69"/>
    <mergeCell ref="D70:E70"/>
  </mergeCells>
  <pageMargins left="0.70866141732283472" right="0.70866141732283472" top="0.74803149606299213" bottom="0.74803149606299213" header="0.31496062992125984" footer="0.31496062992125984"/>
  <pageSetup paperSize="9" scale="68" fitToHeight="0" orientation="landscape" horizontalDpi="360" verticalDpi="360" r:id="rId1"/>
  <headerFooter>
    <oddFooter>&amp;RSEMANA &amp;A                 &amp;P de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7CA2-5FD6-4ABC-9980-3FFA9CA098C4}">
  <sheetPr>
    <pageSetUpPr fitToPage="1"/>
  </sheetPr>
  <dimension ref="A2:KJ100"/>
  <sheetViews>
    <sheetView topLeftCell="A79" zoomScaleNormal="100" workbookViewId="0">
      <selection activeCell="H96" sqref="H96"/>
    </sheetView>
  </sheetViews>
  <sheetFormatPr baseColWidth="10" defaultRowHeight="14.4" x14ac:dyDescent="0.3"/>
  <cols>
    <col min="1" max="1" width="5.5546875" bestFit="1" customWidth="1"/>
    <col min="2" max="2" width="51.6640625" bestFit="1" customWidth="1"/>
    <col min="3" max="3" width="11" customWidth="1"/>
    <col min="4" max="4" width="10.109375" style="55" customWidth="1"/>
    <col min="5" max="5" width="11.33203125" style="5" customWidth="1"/>
    <col min="6" max="6" width="9.88671875" style="7" bestFit="1" customWidth="1"/>
    <col min="7" max="7" width="10.88671875" style="5" bestFit="1" customWidth="1"/>
    <col min="9" max="9" width="11.5546875" style="28"/>
    <col min="10" max="10" width="11.5546875" style="39"/>
    <col min="11" max="11" width="11.5546875" style="70"/>
    <col min="12" max="12" width="11.5546875" style="75"/>
    <col min="13" max="13" width="11.5546875" style="127"/>
    <col min="14" max="14" width="11.5546875" style="77"/>
    <col min="15" max="15" width="11.5546875" style="164"/>
    <col min="16" max="296" width="11.5546875" style="100"/>
  </cols>
  <sheetData>
    <row r="2" spans="1:296" ht="31.5" customHeight="1" x14ac:dyDescent="0.3">
      <c r="B2" s="17" t="s">
        <v>171</v>
      </c>
      <c r="C2" s="17"/>
      <c r="D2" s="101"/>
      <c r="E2" s="25"/>
      <c r="F2" s="17"/>
      <c r="G2" s="17"/>
      <c r="H2" s="17"/>
      <c r="I2" s="79"/>
    </row>
    <row r="3" spans="1:296" s="39" customFormat="1" ht="18.75" customHeight="1" x14ac:dyDescent="0.3">
      <c r="A3"/>
      <c r="B3" s="9" t="s">
        <v>172</v>
      </c>
      <c r="C3" s="9"/>
      <c r="D3" s="102"/>
      <c r="E3" s="26"/>
      <c r="F3" s="9"/>
      <c r="G3" s="9"/>
      <c r="H3" s="9"/>
      <c r="I3" s="80"/>
      <c r="K3" s="70"/>
      <c r="L3" s="75"/>
      <c r="M3" s="127"/>
      <c r="N3" s="77"/>
      <c r="O3" s="164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100"/>
      <c r="CL3" s="100"/>
      <c r="CM3" s="100"/>
      <c r="CN3" s="100"/>
      <c r="CO3" s="100"/>
      <c r="CP3" s="100"/>
      <c r="CQ3" s="100"/>
      <c r="CR3" s="100"/>
      <c r="CS3" s="100"/>
      <c r="CT3" s="100"/>
      <c r="CU3" s="100"/>
      <c r="CV3" s="100"/>
      <c r="CW3" s="100"/>
      <c r="CX3" s="100"/>
      <c r="CY3" s="100"/>
      <c r="CZ3" s="100"/>
      <c r="DA3" s="100"/>
      <c r="DB3" s="100"/>
      <c r="DC3" s="100"/>
      <c r="DD3" s="100"/>
      <c r="DE3" s="100"/>
      <c r="DF3" s="100"/>
      <c r="DG3" s="100"/>
      <c r="DH3" s="100"/>
      <c r="DI3" s="100"/>
      <c r="DJ3" s="100"/>
      <c r="DK3" s="100"/>
      <c r="DL3" s="100"/>
      <c r="DM3" s="100"/>
      <c r="DN3" s="100"/>
      <c r="DO3" s="100"/>
      <c r="DP3" s="100"/>
      <c r="DQ3" s="100"/>
      <c r="DR3" s="100"/>
      <c r="DS3" s="100"/>
      <c r="DT3" s="100"/>
      <c r="DU3" s="100"/>
      <c r="DV3" s="100"/>
      <c r="DW3" s="100"/>
      <c r="DX3" s="100"/>
      <c r="DY3" s="100"/>
      <c r="DZ3" s="100"/>
      <c r="EA3" s="100"/>
      <c r="EB3" s="100"/>
      <c r="EC3" s="100"/>
      <c r="ED3" s="100"/>
      <c r="EE3" s="100"/>
      <c r="EF3" s="100"/>
      <c r="EG3" s="100"/>
      <c r="EH3" s="100"/>
      <c r="EI3" s="100"/>
      <c r="EJ3" s="100"/>
      <c r="EK3" s="100"/>
      <c r="EL3" s="100"/>
      <c r="EM3" s="100"/>
      <c r="EN3" s="100"/>
      <c r="EO3" s="100"/>
      <c r="EP3" s="100"/>
      <c r="EQ3" s="100"/>
      <c r="ER3" s="100"/>
      <c r="ES3" s="100"/>
      <c r="ET3" s="100"/>
      <c r="EU3" s="100"/>
      <c r="EV3" s="100"/>
      <c r="EW3" s="100"/>
      <c r="EX3" s="100"/>
      <c r="EY3" s="100"/>
      <c r="EZ3" s="100"/>
      <c r="FA3" s="100"/>
      <c r="FB3" s="100"/>
      <c r="FC3" s="100"/>
      <c r="FD3" s="100"/>
      <c r="FE3" s="100"/>
      <c r="FF3" s="100"/>
      <c r="FG3" s="100"/>
      <c r="FH3" s="100"/>
      <c r="FI3" s="100"/>
      <c r="FJ3" s="100"/>
      <c r="FK3" s="100"/>
      <c r="FL3" s="100"/>
      <c r="FM3" s="100"/>
      <c r="FN3" s="100"/>
      <c r="FO3" s="100"/>
      <c r="FP3" s="100"/>
      <c r="FQ3" s="100"/>
      <c r="FR3" s="100"/>
      <c r="FS3" s="100"/>
      <c r="FT3" s="100"/>
      <c r="FU3" s="100"/>
      <c r="FV3" s="100"/>
      <c r="FW3" s="100"/>
      <c r="FX3" s="100"/>
      <c r="FY3" s="100"/>
      <c r="FZ3" s="100"/>
      <c r="GA3" s="100"/>
      <c r="GB3" s="100"/>
      <c r="GC3" s="100"/>
      <c r="GD3" s="100"/>
      <c r="GE3" s="100"/>
      <c r="GF3" s="100"/>
      <c r="GG3" s="100"/>
      <c r="GH3" s="100"/>
      <c r="GI3" s="100"/>
      <c r="GJ3" s="100"/>
      <c r="GK3" s="100"/>
      <c r="GL3" s="100"/>
      <c r="GM3" s="100"/>
      <c r="GN3" s="100"/>
      <c r="GO3" s="100"/>
      <c r="GP3" s="100"/>
      <c r="GQ3" s="100"/>
      <c r="GR3" s="100"/>
      <c r="GS3" s="100"/>
      <c r="GT3" s="100"/>
      <c r="GU3" s="100"/>
      <c r="GV3" s="100"/>
      <c r="GW3" s="100"/>
      <c r="GX3" s="100"/>
      <c r="GY3" s="100"/>
      <c r="GZ3" s="100"/>
      <c r="HA3" s="100"/>
      <c r="HB3" s="100"/>
      <c r="HC3" s="100"/>
      <c r="HD3" s="100"/>
      <c r="HE3" s="100"/>
      <c r="HF3" s="100"/>
      <c r="HG3" s="100"/>
      <c r="HH3" s="100"/>
      <c r="HI3" s="100"/>
      <c r="HJ3" s="100"/>
      <c r="HK3" s="100"/>
      <c r="HL3" s="100"/>
      <c r="HM3" s="100"/>
      <c r="HN3" s="100"/>
      <c r="HO3" s="100"/>
      <c r="HP3" s="100"/>
      <c r="HQ3" s="100"/>
      <c r="HR3" s="100"/>
      <c r="HS3" s="100"/>
      <c r="HT3" s="100"/>
      <c r="HU3" s="100"/>
      <c r="HV3" s="100"/>
      <c r="HW3" s="100"/>
      <c r="HX3" s="100"/>
      <c r="HY3" s="100"/>
      <c r="HZ3" s="100"/>
      <c r="IA3" s="100"/>
      <c r="IB3" s="100"/>
      <c r="IC3" s="100"/>
      <c r="ID3" s="100"/>
      <c r="IE3" s="100"/>
      <c r="IF3" s="100"/>
      <c r="IG3" s="100"/>
      <c r="IH3" s="100"/>
      <c r="II3" s="100"/>
      <c r="IJ3" s="100"/>
      <c r="IK3" s="100"/>
      <c r="IL3" s="100"/>
      <c r="IM3" s="100"/>
      <c r="IN3" s="100"/>
      <c r="IO3" s="100"/>
      <c r="IP3" s="100"/>
      <c r="IQ3" s="100"/>
      <c r="IR3" s="100"/>
      <c r="IS3" s="100"/>
      <c r="IT3" s="100"/>
      <c r="IU3" s="100"/>
      <c r="IV3" s="100"/>
      <c r="IW3" s="100"/>
      <c r="IX3" s="100"/>
      <c r="IY3" s="100"/>
      <c r="IZ3" s="100"/>
      <c r="JA3" s="100"/>
      <c r="JB3" s="100"/>
      <c r="JC3" s="100"/>
      <c r="JD3" s="100"/>
      <c r="JE3" s="100"/>
      <c r="JF3" s="100"/>
      <c r="JG3" s="100"/>
      <c r="JH3" s="100"/>
      <c r="JI3" s="100"/>
      <c r="JJ3" s="100"/>
      <c r="JK3" s="100"/>
      <c r="JL3" s="100"/>
      <c r="JM3" s="100"/>
      <c r="JN3" s="100"/>
      <c r="JO3" s="100"/>
      <c r="JP3" s="100"/>
      <c r="JQ3" s="100"/>
      <c r="JR3" s="100"/>
      <c r="JS3" s="100"/>
      <c r="JT3" s="100"/>
      <c r="JU3" s="100"/>
      <c r="JV3" s="100"/>
      <c r="JW3" s="100"/>
      <c r="JX3" s="100"/>
      <c r="JY3" s="100"/>
      <c r="JZ3" s="100"/>
      <c r="KA3" s="100"/>
      <c r="KB3" s="100"/>
      <c r="KC3" s="100"/>
      <c r="KD3" s="100"/>
      <c r="KE3" s="100"/>
      <c r="KF3" s="100"/>
      <c r="KG3" s="100"/>
      <c r="KH3" s="100"/>
      <c r="KI3" s="100"/>
      <c r="KJ3" s="100"/>
    </row>
    <row r="4" spans="1:296" ht="18" x14ac:dyDescent="0.35">
      <c r="B4" s="10" t="s">
        <v>17</v>
      </c>
      <c r="C4" s="10"/>
      <c r="D4" s="103"/>
      <c r="E4" s="23">
        <f>+E71</f>
        <v>720.92</v>
      </c>
      <c r="F4" s="16"/>
      <c r="G4" s="16"/>
      <c r="H4" s="8"/>
      <c r="I4" s="81"/>
    </row>
    <row r="5" spans="1:296" x14ac:dyDescent="0.3">
      <c r="B5" s="88" t="s">
        <v>10</v>
      </c>
      <c r="C5" s="89"/>
      <c r="D5" s="104"/>
      <c r="E5" s="89"/>
      <c r="F5" s="90">
        <f>SUM(E8:E47)</f>
        <v>-1301.1667316677435</v>
      </c>
    </row>
    <row r="6" spans="1:296" x14ac:dyDescent="0.3">
      <c r="B6" s="87" t="s">
        <v>109</v>
      </c>
      <c r="C6" s="87"/>
      <c r="D6" s="105"/>
      <c r="E6" s="29">
        <f>+E4+F5</f>
        <v>-580.24673166774357</v>
      </c>
      <c r="H6" s="91">
        <f>+E6/E4</f>
        <v>-0.80486979369103873</v>
      </c>
      <c r="I6" s="84"/>
    </row>
    <row r="7" spans="1:296" s="39" customFormat="1" x14ac:dyDescent="0.3">
      <c r="A7" s="92" t="s">
        <v>97</v>
      </c>
      <c r="B7" s="92" t="s">
        <v>10</v>
      </c>
      <c r="C7" s="92" t="s">
        <v>19</v>
      </c>
      <c r="D7" s="106" t="s">
        <v>3</v>
      </c>
      <c r="E7" s="92"/>
      <c r="F7" s="7"/>
      <c r="G7" s="5"/>
      <c r="H7" s="1"/>
      <c r="I7" s="82"/>
      <c r="K7" s="70"/>
      <c r="L7" s="75"/>
      <c r="M7" s="127"/>
      <c r="N7" s="77"/>
      <c r="O7" s="164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  <c r="CU7" s="100"/>
      <c r="CV7" s="100"/>
      <c r="CW7" s="100"/>
      <c r="CX7" s="100"/>
      <c r="CY7" s="100"/>
      <c r="CZ7" s="100"/>
      <c r="DA7" s="100"/>
      <c r="DB7" s="100"/>
      <c r="DC7" s="100"/>
      <c r="DD7" s="100"/>
      <c r="DE7" s="100"/>
      <c r="DF7" s="100"/>
      <c r="DG7" s="100"/>
      <c r="DH7" s="100"/>
      <c r="DI7" s="100"/>
      <c r="DJ7" s="100"/>
      <c r="DK7" s="100"/>
      <c r="DL7" s="100"/>
      <c r="DM7" s="100"/>
      <c r="DN7" s="100"/>
      <c r="DO7" s="100"/>
      <c r="DP7" s="100"/>
      <c r="DQ7" s="100"/>
      <c r="DR7" s="100"/>
      <c r="DS7" s="100"/>
      <c r="DT7" s="100"/>
      <c r="DU7" s="100"/>
      <c r="DV7" s="100"/>
      <c r="DW7" s="100"/>
      <c r="DX7" s="100"/>
      <c r="DY7" s="100"/>
      <c r="DZ7" s="100"/>
      <c r="EA7" s="100"/>
      <c r="EB7" s="100"/>
      <c r="EC7" s="100"/>
      <c r="ED7" s="100"/>
      <c r="EE7" s="100"/>
      <c r="EF7" s="100"/>
      <c r="EG7" s="100"/>
      <c r="EH7" s="100"/>
      <c r="EI7" s="100"/>
      <c r="EJ7" s="100"/>
      <c r="EK7" s="100"/>
      <c r="EL7" s="100"/>
      <c r="EM7" s="100"/>
      <c r="EN7" s="100"/>
      <c r="EO7" s="100"/>
      <c r="EP7" s="100"/>
      <c r="EQ7" s="100"/>
      <c r="ER7" s="100"/>
      <c r="ES7" s="100"/>
      <c r="ET7" s="100"/>
      <c r="EU7" s="100"/>
      <c r="EV7" s="100"/>
      <c r="EW7" s="100"/>
      <c r="EX7" s="100"/>
      <c r="EY7" s="100"/>
      <c r="EZ7" s="100"/>
      <c r="FA7" s="100"/>
      <c r="FB7" s="100"/>
      <c r="FC7" s="100"/>
      <c r="FD7" s="100"/>
      <c r="FE7" s="100"/>
      <c r="FF7" s="100"/>
      <c r="FG7" s="100"/>
      <c r="FH7" s="100"/>
      <c r="FI7" s="100"/>
      <c r="FJ7" s="100"/>
      <c r="FK7" s="100"/>
      <c r="FL7" s="100"/>
      <c r="FM7" s="100"/>
      <c r="FN7" s="100"/>
      <c r="FO7" s="100"/>
      <c r="FP7" s="100"/>
      <c r="FQ7" s="100"/>
      <c r="FR7" s="100"/>
      <c r="FS7" s="100"/>
      <c r="FT7" s="100"/>
      <c r="FU7" s="100"/>
      <c r="FV7" s="100"/>
      <c r="FW7" s="100"/>
      <c r="FX7" s="100"/>
      <c r="FY7" s="100"/>
      <c r="FZ7" s="100"/>
      <c r="GA7" s="100"/>
      <c r="GB7" s="100"/>
      <c r="GC7" s="100"/>
      <c r="GD7" s="100"/>
      <c r="GE7" s="100"/>
      <c r="GF7" s="100"/>
      <c r="GG7" s="100"/>
      <c r="GH7" s="100"/>
      <c r="GI7" s="100"/>
      <c r="GJ7" s="100"/>
      <c r="GK7" s="100"/>
      <c r="GL7" s="100"/>
      <c r="GM7" s="100"/>
      <c r="GN7" s="100"/>
      <c r="GO7" s="100"/>
      <c r="GP7" s="100"/>
      <c r="GQ7" s="100"/>
      <c r="GR7" s="100"/>
      <c r="GS7" s="100"/>
      <c r="GT7" s="100"/>
      <c r="GU7" s="100"/>
      <c r="GV7" s="100"/>
      <c r="GW7" s="100"/>
      <c r="GX7" s="100"/>
      <c r="GY7" s="100"/>
      <c r="GZ7" s="100"/>
      <c r="HA7" s="100"/>
      <c r="HB7" s="100"/>
      <c r="HC7" s="100"/>
      <c r="HD7" s="100"/>
      <c r="HE7" s="100"/>
      <c r="HF7" s="100"/>
      <c r="HG7" s="100"/>
      <c r="HH7" s="100"/>
      <c r="HI7" s="100"/>
      <c r="HJ7" s="100"/>
      <c r="HK7" s="100"/>
      <c r="HL7" s="100"/>
      <c r="HM7" s="100"/>
      <c r="HN7" s="100"/>
      <c r="HO7" s="100"/>
      <c r="HP7" s="100"/>
      <c r="HQ7" s="100"/>
      <c r="HR7" s="100"/>
      <c r="HS7" s="100"/>
      <c r="HT7" s="100"/>
      <c r="HU7" s="100"/>
      <c r="HV7" s="100"/>
      <c r="HW7" s="100"/>
      <c r="HX7" s="100"/>
      <c r="HY7" s="100"/>
      <c r="HZ7" s="100"/>
      <c r="IA7" s="100"/>
      <c r="IB7" s="100"/>
      <c r="IC7" s="100"/>
      <c r="ID7" s="100"/>
      <c r="IE7" s="100"/>
      <c r="IF7" s="100"/>
      <c r="IG7" s="100"/>
      <c r="IH7" s="100"/>
      <c r="II7" s="100"/>
      <c r="IJ7" s="100"/>
      <c r="IK7" s="100"/>
      <c r="IL7" s="100"/>
      <c r="IM7" s="100"/>
      <c r="IN7" s="100"/>
      <c r="IO7" s="100"/>
      <c r="IP7" s="100"/>
      <c r="IQ7" s="100"/>
      <c r="IR7" s="100"/>
      <c r="IS7" s="100"/>
      <c r="IT7" s="100"/>
      <c r="IU7" s="100"/>
      <c r="IV7" s="100"/>
      <c r="IW7" s="100"/>
      <c r="IX7" s="100"/>
      <c r="IY7" s="100"/>
      <c r="IZ7" s="100"/>
      <c r="JA7" s="100"/>
      <c r="JB7" s="100"/>
      <c r="JC7" s="100"/>
      <c r="JD7" s="100"/>
      <c r="JE7" s="100"/>
      <c r="JF7" s="100"/>
      <c r="JG7" s="100"/>
      <c r="JH7" s="100"/>
      <c r="JI7" s="100"/>
      <c r="JJ7" s="100"/>
      <c r="JK7" s="100"/>
      <c r="JL7" s="100"/>
      <c r="JM7" s="100"/>
      <c r="JN7" s="100"/>
      <c r="JO7" s="100"/>
      <c r="JP7" s="100"/>
      <c r="JQ7" s="100"/>
      <c r="JR7" s="100"/>
      <c r="JS7" s="100"/>
      <c r="JT7" s="100"/>
      <c r="JU7" s="100"/>
      <c r="JV7" s="100"/>
      <c r="JW7" s="100"/>
      <c r="JX7" s="100"/>
      <c r="JY7" s="100"/>
      <c r="JZ7" s="100"/>
      <c r="KA7" s="100"/>
      <c r="KB7" s="100"/>
      <c r="KC7" s="100"/>
      <c r="KD7" s="100"/>
      <c r="KE7" s="100"/>
      <c r="KF7" s="100"/>
      <c r="KG7" s="100"/>
      <c r="KH7" s="100"/>
      <c r="KI7" s="100"/>
      <c r="KJ7" s="100"/>
    </row>
    <row r="8" spans="1:296" s="39" customFormat="1" x14ac:dyDescent="0.3">
      <c r="A8" s="71" t="str">
        <f>IF('[1]PRODUCTO NACIONAL'!A14&lt;&gt;"",'[1]PRODUCTO NACIONAL'!A14,"")</f>
        <v>M11</v>
      </c>
      <c r="B8" s="72" t="str">
        <f>VLOOKUP(A8,'[1]PRODUCTO NACIONAL'!$A$4:$R$161,6,FALSE)</f>
        <v>IMPRESIÓN SIN DISEÑO, ANCHO 1.8X90gsm</v>
      </c>
      <c r="C8" s="73">
        <f>IFERROR(HLOOKUP(A8,[4]dimensiones_pdfs!$C$3:$Z$5,3,FALSE),0)</f>
        <v>59.833518688060579</v>
      </c>
      <c r="D8" s="107">
        <f>VLOOKUP(A8,'[1]PRODUCTO NACIONAL'!$A$4:$R$161,18,FALSE)</f>
        <v>1.387984064708671</v>
      </c>
      <c r="E8" s="5">
        <f>-(+C8*D8)</f>
        <v>-83.047970474476543</v>
      </c>
      <c r="F8" s="7"/>
      <c r="G8" s="5"/>
      <c r="H8"/>
      <c r="I8" s="28"/>
      <c r="K8" s="70"/>
      <c r="L8" s="75"/>
      <c r="M8" s="127"/>
      <c r="N8" s="77"/>
      <c r="O8" s="164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0"/>
      <c r="CJ8" s="100"/>
      <c r="CK8" s="100"/>
      <c r="CL8" s="100"/>
      <c r="CM8" s="100"/>
      <c r="CN8" s="100"/>
      <c r="CO8" s="100"/>
      <c r="CP8" s="100"/>
      <c r="CQ8" s="100"/>
      <c r="CR8" s="100"/>
      <c r="CS8" s="100"/>
      <c r="CT8" s="100"/>
      <c r="CU8" s="100"/>
      <c r="CV8" s="100"/>
      <c r="CW8" s="100"/>
      <c r="CX8" s="100"/>
      <c r="CY8" s="100"/>
      <c r="CZ8" s="100"/>
      <c r="DA8" s="100"/>
      <c r="DB8" s="100"/>
      <c r="DC8" s="100"/>
      <c r="DD8" s="100"/>
      <c r="DE8" s="100"/>
      <c r="DF8" s="100"/>
      <c r="DG8" s="100"/>
      <c r="DH8" s="100"/>
      <c r="DI8" s="100"/>
      <c r="DJ8" s="100"/>
      <c r="DK8" s="100"/>
      <c r="DL8" s="100"/>
      <c r="DM8" s="100"/>
      <c r="DN8" s="100"/>
      <c r="DO8" s="100"/>
      <c r="DP8" s="100"/>
      <c r="DQ8" s="100"/>
      <c r="DR8" s="100"/>
      <c r="DS8" s="100"/>
      <c r="DT8" s="100"/>
      <c r="DU8" s="100"/>
      <c r="DV8" s="100"/>
      <c r="DW8" s="100"/>
      <c r="DX8" s="100"/>
      <c r="DY8" s="100"/>
      <c r="DZ8" s="100"/>
      <c r="EA8" s="100"/>
      <c r="EB8" s="100"/>
      <c r="EC8" s="100"/>
      <c r="ED8" s="100"/>
      <c r="EE8" s="100"/>
      <c r="EF8" s="100"/>
      <c r="EG8" s="100"/>
      <c r="EH8" s="100"/>
      <c r="EI8" s="100"/>
      <c r="EJ8" s="100"/>
      <c r="EK8" s="100"/>
      <c r="EL8" s="100"/>
      <c r="EM8" s="100"/>
      <c r="EN8" s="100"/>
      <c r="EO8" s="100"/>
      <c r="EP8" s="100"/>
      <c r="EQ8" s="100"/>
      <c r="ER8" s="100"/>
      <c r="ES8" s="100"/>
      <c r="ET8" s="100"/>
      <c r="EU8" s="100"/>
      <c r="EV8" s="100"/>
      <c r="EW8" s="100"/>
      <c r="EX8" s="100"/>
      <c r="EY8" s="100"/>
      <c r="EZ8" s="100"/>
      <c r="FA8" s="100"/>
      <c r="FB8" s="100"/>
      <c r="FC8" s="100"/>
      <c r="FD8" s="100"/>
      <c r="FE8" s="100"/>
      <c r="FF8" s="100"/>
      <c r="FG8" s="100"/>
      <c r="FH8" s="100"/>
      <c r="FI8" s="100"/>
      <c r="FJ8" s="100"/>
      <c r="FK8" s="100"/>
      <c r="FL8" s="100"/>
      <c r="FM8" s="100"/>
      <c r="FN8" s="100"/>
      <c r="FO8" s="100"/>
      <c r="FP8" s="100"/>
      <c r="FQ8" s="100"/>
      <c r="FR8" s="100"/>
      <c r="FS8" s="100"/>
      <c r="FT8" s="100"/>
      <c r="FU8" s="100"/>
      <c r="FV8" s="100"/>
      <c r="FW8" s="100"/>
      <c r="FX8" s="100"/>
      <c r="FY8" s="100"/>
      <c r="FZ8" s="100"/>
      <c r="GA8" s="100"/>
      <c r="GB8" s="100"/>
      <c r="GC8" s="100"/>
      <c r="GD8" s="100"/>
      <c r="GE8" s="100"/>
      <c r="GF8" s="100"/>
      <c r="GG8" s="100"/>
      <c r="GH8" s="100"/>
      <c r="GI8" s="100"/>
      <c r="GJ8" s="100"/>
      <c r="GK8" s="100"/>
      <c r="GL8" s="100"/>
      <c r="GM8" s="100"/>
      <c r="GN8" s="100"/>
      <c r="GO8" s="100"/>
      <c r="GP8" s="100"/>
      <c r="GQ8" s="100"/>
      <c r="GR8" s="100"/>
      <c r="GS8" s="100"/>
      <c r="GT8" s="100"/>
      <c r="GU8" s="100"/>
      <c r="GV8" s="100"/>
      <c r="GW8" s="100"/>
      <c r="GX8" s="100"/>
      <c r="GY8" s="100"/>
      <c r="GZ8" s="100"/>
      <c r="HA8" s="100"/>
      <c r="HB8" s="100"/>
      <c r="HC8" s="100"/>
      <c r="HD8" s="100"/>
      <c r="HE8" s="100"/>
      <c r="HF8" s="100"/>
      <c r="HG8" s="100"/>
      <c r="HH8" s="100"/>
      <c r="HI8" s="100"/>
      <c r="HJ8" s="100"/>
      <c r="HK8" s="100"/>
      <c r="HL8" s="100"/>
      <c r="HM8" s="100"/>
      <c r="HN8" s="100"/>
      <c r="HO8" s="100"/>
      <c r="HP8" s="100"/>
      <c r="HQ8" s="100"/>
      <c r="HR8" s="100"/>
      <c r="HS8" s="100"/>
      <c r="HT8" s="100"/>
      <c r="HU8" s="100"/>
      <c r="HV8" s="100"/>
      <c r="HW8" s="100"/>
      <c r="HX8" s="100"/>
      <c r="HY8" s="100"/>
      <c r="HZ8" s="100"/>
      <c r="IA8" s="100"/>
      <c r="IB8" s="100"/>
      <c r="IC8" s="100"/>
      <c r="ID8" s="100"/>
      <c r="IE8" s="100"/>
      <c r="IF8" s="100"/>
      <c r="IG8" s="100"/>
      <c r="IH8" s="100"/>
      <c r="II8" s="100"/>
      <c r="IJ8" s="100"/>
      <c r="IK8" s="100"/>
      <c r="IL8" s="100"/>
      <c r="IM8" s="100"/>
      <c r="IN8" s="100"/>
      <c r="IO8" s="100"/>
      <c r="IP8" s="100"/>
      <c r="IQ8" s="100"/>
      <c r="IR8" s="100"/>
      <c r="IS8" s="100"/>
      <c r="IT8" s="100"/>
      <c r="IU8" s="100"/>
      <c r="IV8" s="100"/>
      <c r="IW8" s="100"/>
      <c r="IX8" s="100"/>
      <c r="IY8" s="100"/>
      <c r="IZ8" s="100"/>
      <c r="JA8" s="100"/>
      <c r="JB8" s="100"/>
      <c r="JC8" s="100"/>
      <c r="JD8" s="100"/>
      <c r="JE8" s="100"/>
      <c r="JF8" s="100"/>
      <c r="JG8" s="100"/>
      <c r="JH8" s="100"/>
      <c r="JI8" s="100"/>
      <c r="JJ8" s="100"/>
      <c r="JK8" s="100"/>
      <c r="JL8" s="100"/>
      <c r="JM8" s="100"/>
      <c r="JN8" s="100"/>
      <c r="JO8" s="100"/>
      <c r="JP8" s="100"/>
      <c r="JQ8" s="100"/>
      <c r="JR8" s="100"/>
      <c r="JS8" s="100"/>
      <c r="JT8" s="100"/>
      <c r="JU8" s="100"/>
      <c r="JV8" s="100"/>
      <c r="JW8" s="100"/>
      <c r="JX8" s="100"/>
      <c r="JY8" s="100"/>
      <c r="JZ8" s="100"/>
      <c r="KA8" s="100"/>
      <c r="KB8" s="100"/>
      <c r="KC8" s="100"/>
      <c r="KD8" s="100"/>
      <c r="KE8" s="100"/>
      <c r="KF8" s="100"/>
      <c r="KG8" s="100"/>
      <c r="KH8" s="100"/>
      <c r="KI8" s="100"/>
      <c r="KJ8" s="100"/>
    </row>
    <row r="9" spans="1:296" s="39" customFormat="1" x14ac:dyDescent="0.3">
      <c r="A9" s="71" t="str">
        <f>IF('[1]PRODUCTO NACIONAL'!A18&lt;&gt;"",'[1]PRODUCTO NACIONAL'!A18,"")</f>
        <v>M15</v>
      </c>
      <c r="B9" s="72" t="str">
        <f>VLOOKUP(A9,'[1]PRODUCTO NACIONAL'!$A$4:$R$161,6,FALSE)</f>
        <v>D2006 Rollo Panal 1.70m x 160gr</v>
      </c>
      <c r="C9" s="73">
        <f>IFERROR(HLOOKUP(A9,[4]dimensiones_pdfs!$C$3:$Z$5,3,FALSE),0)</f>
        <v>11.213983298866689</v>
      </c>
      <c r="D9" s="107">
        <f>VLOOKUP(A9,'[1]PRODUCTO NACIONAL'!$A$4:$R$161,18,FALSE)</f>
        <v>1.6348773841961852</v>
      </c>
      <c r="E9" s="5">
        <f>-(+C9*D9)</f>
        <v>-18.333487682070881</v>
      </c>
      <c r="F9" s="7"/>
      <c r="G9" s="5"/>
      <c r="H9" s="5"/>
      <c r="I9" s="83"/>
      <c r="K9" s="70"/>
      <c r="L9" s="75"/>
      <c r="M9" s="127"/>
      <c r="N9" s="77"/>
      <c r="O9" s="164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00"/>
      <c r="CX9" s="100"/>
      <c r="CY9" s="100"/>
      <c r="CZ9" s="100"/>
      <c r="DA9" s="100"/>
      <c r="DB9" s="100"/>
      <c r="DC9" s="100"/>
      <c r="DD9" s="100"/>
      <c r="DE9" s="100"/>
      <c r="DF9" s="100"/>
      <c r="DG9" s="100"/>
      <c r="DH9" s="100"/>
      <c r="DI9" s="100"/>
      <c r="DJ9" s="100"/>
      <c r="DK9" s="100"/>
      <c r="DL9" s="100"/>
      <c r="DM9" s="100"/>
      <c r="DN9" s="100"/>
      <c r="DO9" s="100"/>
      <c r="DP9" s="100"/>
      <c r="DQ9" s="100"/>
      <c r="DR9" s="100"/>
      <c r="DS9" s="100"/>
      <c r="DT9" s="100"/>
      <c r="DU9" s="100"/>
      <c r="DV9" s="100"/>
      <c r="DW9" s="100"/>
      <c r="DX9" s="100"/>
      <c r="DY9" s="100"/>
      <c r="DZ9" s="100"/>
      <c r="EA9" s="100"/>
      <c r="EB9" s="100"/>
      <c r="EC9" s="100"/>
      <c r="ED9" s="100"/>
      <c r="EE9" s="100"/>
      <c r="EF9" s="100"/>
      <c r="EG9" s="100"/>
      <c r="EH9" s="100"/>
      <c r="EI9" s="100"/>
      <c r="EJ9" s="100"/>
      <c r="EK9" s="100"/>
      <c r="EL9" s="100"/>
      <c r="EM9" s="100"/>
      <c r="EN9" s="100"/>
      <c r="EO9" s="100"/>
      <c r="EP9" s="100"/>
      <c r="EQ9" s="100"/>
      <c r="ER9" s="100"/>
      <c r="ES9" s="100"/>
      <c r="ET9" s="100"/>
      <c r="EU9" s="100"/>
      <c r="EV9" s="100"/>
      <c r="EW9" s="100"/>
      <c r="EX9" s="100"/>
      <c r="EY9" s="100"/>
      <c r="EZ9" s="100"/>
      <c r="FA9" s="100"/>
      <c r="FB9" s="100"/>
      <c r="FC9" s="100"/>
      <c r="FD9" s="100"/>
      <c r="FE9" s="100"/>
      <c r="FF9" s="100"/>
      <c r="FG9" s="100"/>
      <c r="FH9" s="100"/>
      <c r="FI9" s="100"/>
      <c r="FJ9" s="100"/>
      <c r="FK9" s="100"/>
      <c r="FL9" s="100"/>
      <c r="FM9" s="100"/>
      <c r="FN9" s="100"/>
      <c r="FO9" s="100"/>
      <c r="FP9" s="100"/>
      <c r="FQ9" s="100"/>
      <c r="FR9" s="100"/>
      <c r="FS9" s="100"/>
      <c r="FT9" s="100"/>
      <c r="FU9" s="100"/>
      <c r="FV9" s="100"/>
      <c r="FW9" s="100"/>
      <c r="FX9" s="100"/>
      <c r="FY9" s="100"/>
      <c r="FZ9" s="100"/>
      <c r="GA9" s="100"/>
      <c r="GB9" s="100"/>
      <c r="GC9" s="100"/>
      <c r="GD9" s="100"/>
      <c r="GE9" s="100"/>
      <c r="GF9" s="100"/>
      <c r="GG9" s="100"/>
      <c r="GH9" s="100"/>
      <c r="GI9" s="100"/>
      <c r="GJ9" s="100"/>
      <c r="GK9" s="100"/>
      <c r="GL9" s="100"/>
      <c r="GM9" s="100"/>
      <c r="GN9" s="100"/>
      <c r="GO9" s="100"/>
      <c r="GP9" s="100"/>
      <c r="GQ9" s="100"/>
      <c r="GR9" s="100"/>
      <c r="GS9" s="100"/>
      <c r="GT9" s="100"/>
      <c r="GU9" s="100"/>
      <c r="GV9" s="100"/>
      <c r="GW9" s="100"/>
      <c r="GX9" s="100"/>
      <c r="GY9" s="100"/>
      <c r="GZ9" s="100"/>
      <c r="HA9" s="100"/>
      <c r="HB9" s="100"/>
      <c r="HC9" s="100"/>
      <c r="HD9" s="100"/>
      <c r="HE9" s="100"/>
      <c r="HF9" s="100"/>
      <c r="HG9" s="100"/>
      <c r="HH9" s="100"/>
      <c r="HI9" s="100"/>
      <c r="HJ9" s="100"/>
      <c r="HK9" s="100"/>
      <c r="HL9" s="100"/>
      <c r="HM9" s="100"/>
      <c r="HN9" s="100"/>
      <c r="HO9" s="100"/>
      <c r="HP9" s="100"/>
      <c r="HQ9" s="100"/>
      <c r="HR9" s="100"/>
      <c r="HS9" s="100"/>
      <c r="HT9" s="100"/>
      <c r="HU9" s="100"/>
      <c r="HV9" s="100"/>
      <c r="HW9" s="100"/>
      <c r="HX9" s="100"/>
      <c r="HY9" s="100"/>
      <c r="HZ9" s="100"/>
      <c r="IA9" s="100"/>
      <c r="IB9" s="100"/>
      <c r="IC9" s="100"/>
      <c r="ID9" s="100"/>
      <c r="IE9" s="100"/>
      <c r="IF9" s="100"/>
      <c r="IG9" s="100"/>
      <c r="IH9" s="100"/>
      <c r="II9" s="100"/>
      <c r="IJ9" s="100"/>
      <c r="IK9" s="100"/>
      <c r="IL9" s="100"/>
      <c r="IM9" s="100"/>
      <c r="IN9" s="100"/>
      <c r="IO9" s="100"/>
      <c r="IP9" s="100"/>
      <c r="IQ9" s="100"/>
      <c r="IR9" s="100"/>
      <c r="IS9" s="100"/>
      <c r="IT9" s="100"/>
      <c r="IU9" s="100"/>
      <c r="IV9" s="100"/>
      <c r="IW9" s="100"/>
      <c r="IX9" s="100"/>
      <c r="IY9" s="100"/>
      <c r="IZ9" s="100"/>
      <c r="JA9" s="100"/>
      <c r="JB9" s="100"/>
      <c r="JC9" s="100"/>
      <c r="JD9" s="100"/>
      <c r="JE9" s="100"/>
      <c r="JF9" s="100"/>
      <c r="JG9" s="100"/>
      <c r="JH9" s="100"/>
      <c r="JI9" s="100"/>
      <c r="JJ9" s="100"/>
      <c r="JK9" s="100"/>
      <c r="JL9" s="100"/>
      <c r="JM9" s="100"/>
      <c r="JN9" s="100"/>
      <c r="JO9" s="100"/>
      <c r="JP9" s="100"/>
      <c r="JQ9" s="100"/>
      <c r="JR9" s="100"/>
      <c r="JS9" s="100"/>
      <c r="JT9" s="100"/>
      <c r="JU9" s="100"/>
      <c r="JV9" s="100"/>
      <c r="JW9" s="100"/>
      <c r="JX9" s="100"/>
      <c r="JY9" s="100"/>
      <c r="JZ9" s="100"/>
      <c r="KA9" s="100"/>
      <c r="KB9" s="100"/>
      <c r="KC9" s="100"/>
      <c r="KD9" s="100"/>
      <c r="KE9" s="100"/>
      <c r="KF9" s="100"/>
      <c r="KG9" s="100"/>
      <c r="KH9" s="100"/>
      <c r="KI9" s="100"/>
      <c r="KJ9" s="100"/>
    </row>
    <row r="10" spans="1:296" s="39" customFormat="1" x14ac:dyDescent="0.3">
      <c r="A10" s="71" t="str">
        <f>IF('[1]PRODUCTO NACIONAL'!A27&lt;&gt;"",'[1]PRODUCTO NACIONAL'!A27,"")</f>
        <v>M24</v>
      </c>
      <c r="B10" s="71" t="str">
        <f>IF('[1]PRODUCTO NACIONAL'!F27&lt;&gt;"",'[1]PRODUCTO NACIONAL'!F27,"")</f>
        <v>POLIN GUTMAN T8-10 | T10-12</v>
      </c>
      <c r="C10" s="67">
        <f>F71</f>
        <v>25</v>
      </c>
      <c r="D10" s="108">
        <f>IF('[1]PRODUCTO NACIONAL'!R27&lt;&gt;"",'[1]PRODUCTO NACIONAL'!R27,"")</f>
        <v>1.925065</v>
      </c>
      <c r="E10" s="5">
        <f>-(+C10*D10)</f>
        <v>-48.126625000000004</v>
      </c>
      <c r="F10" s="7"/>
      <c r="G10" s="5"/>
      <c r="H10"/>
      <c r="I10" s="28"/>
      <c r="K10" s="70"/>
      <c r="L10" s="75"/>
      <c r="M10" s="127"/>
      <c r="N10" s="77"/>
      <c r="O10" s="164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00"/>
      <c r="CX10" s="100"/>
      <c r="CY10" s="100"/>
      <c r="CZ10" s="100"/>
      <c r="DA10" s="100"/>
      <c r="DB10" s="100"/>
      <c r="DC10" s="100"/>
      <c r="DD10" s="100"/>
      <c r="DE10" s="100"/>
      <c r="DF10" s="100"/>
      <c r="DG10" s="100"/>
      <c r="DH10" s="100"/>
      <c r="DI10" s="100"/>
      <c r="DJ10" s="100"/>
      <c r="DK10" s="100"/>
      <c r="DL10" s="100"/>
      <c r="DM10" s="100"/>
      <c r="DN10" s="100"/>
      <c r="DO10" s="100"/>
      <c r="DP10" s="100"/>
      <c r="DQ10" s="100"/>
      <c r="DR10" s="100"/>
      <c r="DS10" s="100"/>
      <c r="DT10" s="100"/>
      <c r="DU10" s="100"/>
      <c r="DV10" s="100"/>
      <c r="DW10" s="100"/>
      <c r="DX10" s="100"/>
      <c r="DY10" s="100"/>
      <c r="DZ10" s="100"/>
      <c r="EA10" s="100"/>
      <c r="EB10" s="100"/>
      <c r="EC10" s="100"/>
      <c r="ED10" s="100"/>
      <c r="EE10" s="100"/>
      <c r="EF10" s="100"/>
      <c r="EG10" s="100"/>
      <c r="EH10" s="100"/>
      <c r="EI10" s="100"/>
      <c r="EJ10" s="100"/>
      <c r="EK10" s="100"/>
      <c r="EL10" s="100"/>
      <c r="EM10" s="100"/>
      <c r="EN10" s="100"/>
      <c r="EO10" s="100"/>
      <c r="EP10" s="100"/>
      <c r="EQ10" s="100"/>
      <c r="ER10" s="100"/>
      <c r="ES10" s="100"/>
      <c r="ET10" s="100"/>
      <c r="EU10" s="100"/>
      <c r="EV10" s="100"/>
      <c r="EW10" s="100"/>
      <c r="EX10" s="100"/>
      <c r="EY10" s="100"/>
      <c r="EZ10" s="100"/>
      <c r="FA10" s="100"/>
      <c r="FB10" s="100"/>
      <c r="FC10" s="100"/>
      <c r="FD10" s="100"/>
      <c r="FE10" s="100"/>
      <c r="FF10" s="100"/>
      <c r="FG10" s="100"/>
      <c r="FH10" s="100"/>
      <c r="FI10" s="100"/>
      <c r="FJ10" s="100"/>
      <c r="FK10" s="100"/>
      <c r="FL10" s="100"/>
      <c r="FM10" s="100"/>
      <c r="FN10" s="100"/>
      <c r="FO10" s="100"/>
      <c r="FP10" s="100"/>
      <c r="FQ10" s="100"/>
      <c r="FR10" s="100"/>
      <c r="FS10" s="100"/>
      <c r="FT10" s="100"/>
      <c r="FU10" s="100"/>
      <c r="FV10" s="100"/>
      <c r="FW10" s="100"/>
      <c r="FX10" s="100"/>
      <c r="FY10" s="100"/>
      <c r="FZ10" s="100"/>
      <c r="GA10" s="100"/>
      <c r="GB10" s="100"/>
      <c r="GC10" s="100"/>
      <c r="GD10" s="100"/>
      <c r="GE10" s="100"/>
      <c r="GF10" s="100"/>
      <c r="GG10" s="100"/>
      <c r="GH10" s="100"/>
      <c r="GI10" s="100"/>
      <c r="GJ10" s="100"/>
      <c r="GK10" s="100"/>
      <c r="GL10" s="100"/>
      <c r="GM10" s="100"/>
      <c r="GN10" s="100"/>
      <c r="GO10" s="100"/>
      <c r="GP10" s="100"/>
      <c r="GQ10" s="100"/>
      <c r="GR10" s="100"/>
      <c r="GS10" s="100"/>
      <c r="GT10" s="100"/>
      <c r="GU10" s="100"/>
      <c r="GV10" s="100"/>
      <c r="GW10" s="100"/>
      <c r="GX10" s="100"/>
      <c r="GY10" s="100"/>
      <c r="GZ10" s="100"/>
      <c r="HA10" s="100"/>
      <c r="HB10" s="100"/>
      <c r="HC10" s="100"/>
      <c r="HD10" s="100"/>
      <c r="HE10" s="100"/>
      <c r="HF10" s="100"/>
      <c r="HG10" s="100"/>
      <c r="HH10" s="100"/>
      <c r="HI10" s="100"/>
      <c r="HJ10" s="100"/>
      <c r="HK10" s="100"/>
      <c r="HL10" s="100"/>
      <c r="HM10" s="100"/>
      <c r="HN10" s="100"/>
      <c r="HO10" s="100"/>
      <c r="HP10" s="100"/>
      <c r="HQ10" s="100"/>
      <c r="HR10" s="100"/>
      <c r="HS10" s="100"/>
      <c r="HT10" s="100"/>
      <c r="HU10" s="100"/>
      <c r="HV10" s="100"/>
      <c r="HW10" s="100"/>
      <c r="HX10" s="100"/>
      <c r="HY10" s="100"/>
      <c r="HZ10" s="100"/>
      <c r="IA10" s="100"/>
      <c r="IB10" s="100"/>
      <c r="IC10" s="100"/>
      <c r="ID10" s="100"/>
      <c r="IE10" s="100"/>
      <c r="IF10" s="100"/>
      <c r="IG10" s="100"/>
      <c r="IH10" s="100"/>
      <c r="II10" s="100"/>
      <c r="IJ10" s="100"/>
      <c r="IK10" s="100"/>
      <c r="IL10" s="100"/>
      <c r="IM10" s="100"/>
      <c r="IN10" s="100"/>
      <c r="IO10" s="100"/>
      <c r="IP10" s="100"/>
      <c r="IQ10" s="100"/>
      <c r="IR10" s="100"/>
      <c r="IS10" s="100"/>
      <c r="IT10" s="100"/>
      <c r="IU10" s="100"/>
      <c r="IV10" s="100"/>
      <c r="IW10" s="100"/>
      <c r="IX10" s="100"/>
      <c r="IY10" s="100"/>
      <c r="IZ10" s="100"/>
      <c r="JA10" s="100"/>
      <c r="JB10" s="100"/>
      <c r="JC10" s="100"/>
      <c r="JD10" s="100"/>
      <c r="JE10" s="100"/>
      <c r="JF10" s="100"/>
      <c r="JG10" s="100"/>
      <c r="JH10" s="100"/>
      <c r="JI10" s="100"/>
      <c r="JJ10" s="100"/>
      <c r="JK10" s="100"/>
      <c r="JL10" s="100"/>
      <c r="JM10" s="100"/>
      <c r="JN10" s="100"/>
      <c r="JO10" s="100"/>
      <c r="JP10" s="100"/>
      <c r="JQ10" s="100"/>
      <c r="JR10" s="100"/>
      <c r="JS10" s="100"/>
      <c r="JT10" s="100"/>
      <c r="JU10" s="100"/>
      <c r="JV10" s="100"/>
      <c r="JW10" s="100"/>
      <c r="JX10" s="100"/>
      <c r="JY10" s="100"/>
      <c r="JZ10" s="100"/>
      <c r="KA10" s="100"/>
      <c r="KB10" s="100"/>
      <c r="KC10" s="100"/>
      <c r="KD10" s="100"/>
      <c r="KE10" s="100"/>
      <c r="KF10" s="100"/>
      <c r="KG10" s="100"/>
      <c r="KH10" s="100"/>
      <c r="KI10" s="100"/>
      <c r="KJ10" s="100"/>
    </row>
    <row r="11" spans="1:296" s="39" customFormat="1" x14ac:dyDescent="0.3">
      <c r="A11" s="71"/>
      <c r="B11" s="22" t="str">
        <f>+G70</f>
        <v>BORDADO</v>
      </c>
      <c r="C11" s="67">
        <f>G71</f>
        <v>0</v>
      </c>
      <c r="D11" s="55">
        <v>1</v>
      </c>
      <c r="E11" s="5">
        <f t="shared" ref="E11:E38" si="0">-(+C11*D11)</f>
        <v>0</v>
      </c>
      <c r="F11" s="7"/>
      <c r="G11" s="5"/>
      <c r="H11"/>
      <c r="I11" s="28"/>
      <c r="K11" s="70"/>
      <c r="L11" s="75"/>
      <c r="M11" s="127"/>
      <c r="N11" s="77"/>
      <c r="O11" s="164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  <c r="CY11" s="100"/>
      <c r="CZ11" s="100"/>
      <c r="DA11" s="100"/>
      <c r="DB11" s="100"/>
      <c r="DC11" s="100"/>
      <c r="DD11" s="100"/>
      <c r="DE11" s="100"/>
      <c r="DF11" s="100"/>
      <c r="DG11" s="100"/>
      <c r="DH11" s="100"/>
      <c r="DI11" s="100"/>
      <c r="DJ11" s="100"/>
      <c r="DK11" s="100"/>
      <c r="DL11" s="100"/>
      <c r="DM11" s="100"/>
      <c r="DN11" s="100"/>
      <c r="DO11" s="100"/>
      <c r="DP11" s="100"/>
      <c r="DQ11" s="100"/>
      <c r="DR11" s="100"/>
      <c r="DS11" s="100"/>
      <c r="DT11" s="100"/>
      <c r="DU11" s="100"/>
      <c r="DV11" s="100"/>
      <c r="DW11" s="100"/>
      <c r="DX11" s="100"/>
      <c r="DY11" s="100"/>
      <c r="DZ11" s="100"/>
      <c r="EA11" s="100"/>
      <c r="EB11" s="100"/>
      <c r="EC11" s="100"/>
      <c r="ED11" s="100"/>
      <c r="EE11" s="100"/>
      <c r="EF11" s="100"/>
      <c r="EG11" s="100"/>
      <c r="EH11" s="100"/>
      <c r="EI11" s="100"/>
      <c r="EJ11" s="100"/>
      <c r="EK11" s="100"/>
      <c r="EL11" s="100"/>
      <c r="EM11" s="100"/>
      <c r="EN11" s="100"/>
      <c r="EO11" s="100"/>
      <c r="EP11" s="100"/>
      <c r="EQ11" s="100"/>
      <c r="ER11" s="100"/>
      <c r="ES11" s="100"/>
      <c r="ET11" s="100"/>
      <c r="EU11" s="100"/>
      <c r="EV11" s="100"/>
      <c r="EW11" s="100"/>
      <c r="EX11" s="100"/>
      <c r="EY11" s="100"/>
      <c r="EZ11" s="100"/>
      <c r="FA11" s="100"/>
      <c r="FB11" s="100"/>
      <c r="FC11" s="100"/>
      <c r="FD11" s="100"/>
      <c r="FE11" s="100"/>
      <c r="FF11" s="100"/>
      <c r="FG11" s="100"/>
      <c r="FH11" s="100"/>
      <c r="FI11" s="100"/>
      <c r="FJ11" s="100"/>
      <c r="FK11" s="100"/>
      <c r="FL11" s="100"/>
      <c r="FM11" s="100"/>
      <c r="FN11" s="100"/>
      <c r="FO11" s="100"/>
      <c r="FP11" s="100"/>
      <c r="FQ11" s="100"/>
      <c r="FR11" s="100"/>
      <c r="FS11" s="100"/>
      <c r="FT11" s="100"/>
      <c r="FU11" s="100"/>
      <c r="FV11" s="100"/>
      <c r="FW11" s="100"/>
      <c r="FX11" s="100"/>
      <c r="FY11" s="100"/>
      <c r="FZ11" s="100"/>
      <c r="GA11" s="100"/>
      <c r="GB11" s="100"/>
      <c r="GC11" s="100"/>
      <c r="GD11" s="100"/>
      <c r="GE11" s="100"/>
      <c r="GF11" s="100"/>
      <c r="GG11" s="100"/>
      <c r="GH11" s="100"/>
      <c r="GI11" s="100"/>
      <c r="GJ11" s="100"/>
      <c r="GK11" s="100"/>
      <c r="GL11" s="100"/>
      <c r="GM11" s="100"/>
      <c r="GN11" s="100"/>
      <c r="GO11" s="100"/>
      <c r="GP11" s="100"/>
      <c r="GQ11" s="100"/>
      <c r="GR11" s="100"/>
      <c r="GS11" s="100"/>
      <c r="GT11" s="100"/>
      <c r="GU11" s="100"/>
      <c r="GV11" s="100"/>
      <c r="GW11" s="100"/>
      <c r="GX11" s="100"/>
      <c r="GY11" s="100"/>
      <c r="GZ11" s="100"/>
      <c r="HA11" s="100"/>
      <c r="HB11" s="100"/>
      <c r="HC11" s="100"/>
      <c r="HD11" s="100"/>
      <c r="HE11" s="100"/>
      <c r="HF11" s="100"/>
      <c r="HG11" s="100"/>
      <c r="HH11" s="100"/>
      <c r="HI11" s="100"/>
      <c r="HJ11" s="100"/>
      <c r="HK11" s="100"/>
      <c r="HL11" s="100"/>
      <c r="HM11" s="100"/>
      <c r="HN11" s="100"/>
      <c r="HO11" s="100"/>
      <c r="HP11" s="100"/>
      <c r="HQ11" s="100"/>
      <c r="HR11" s="100"/>
      <c r="HS11" s="100"/>
      <c r="HT11" s="100"/>
      <c r="HU11" s="100"/>
      <c r="HV11" s="100"/>
      <c r="HW11" s="100"/>
      <c r="HX11" s="100"/>
      <c r="HY11" s="100"/>
      <c r="HZ11" s="100"/>
      <c r="IA11" s="100"/>
      <c r="IB11" s="100"/>
      <c r="IC11" s="100"/>
      <c r="ID11" s="100"/>
      <c r="IE11" s="100"/>
      <c r="IF11" s="100"/>
      <c r="IG11" s="100"/>
      <c r="IH11" s="100"/>
      <c r="II11" s="100"/>
      <c r="IJ11" s="100"/>
      <c r="IK11" s="100"/>
      <c r="IL11" s="100"/>
      <c r="IM11" s="100"/>
      <c r="IN11" s="100"/>
      <c r="IO11" s="100"/>
      <c r="IP11" s="100"/>
      <c r="IQ11" s="100"/>
      <c r="IR11" s="100"/>
      <c r="IS11" s="100"/>
      <c r="IT11" s="100"/>
      <c r="IU11" s="100"/>
      <c r="IV11" s="100"/>
      <c r="IW11" s="100"/>
      <c r="IX11" s="100"/>
      <c r="IY11" s="100"/>
      <c r="IZ11" s="100"/>
      <c r="JA11" s="100"/>
      <c r="JB11" s="100"/>
      <c r="JC11" s="100"/>
      <c r="JD11" s="100"/>
      <c r="JE11" s="100"/>
      <c r="JF11" s="100"/>
      <c r="JG11" s="100"/>
      <c r="JH11" s="100"/>
      <c r="JI11" s="100"/>
      <c r="JJ11" s="100"/>
      <c r="JK11" s="100"/>
      <c r="JL11" s="100"/>
      <c r="JM11" s="100"/>
      <c r="JN11" s="100"/>
      <c r="JO11" s="100"/>
      <c r="JP11" s="100"/>
      <c r="JQ11" s="100"/>
      <c r="JR11" s="100"/>
      <c r="JS11" s="100"/>
      <c r="JT11" s="100"/>
      <c r="JU11" s="100"/>
      <c r="JV11" s="100"/>
      <c r="JW11" s="100"/>
      <c r="JX11" s="100"/>
      <c r="JY11" s="100"/>
      <c r="JZ11" s="100"/>
      <c r="KA11" s="100"/>
      <c r="KB11" s="100"/>
      <c r="KC11" s="100"/>
      <c r="KD11" s="100"/>
      <c r="KE11" s="100"/>
      <c r="KF11" s="100"/>
      <c r="KG11" s="100"/>
      <c r="KH11" s="100"/>
      <c r="KI11" s="100"/>
      <c r="KJ11" s="100"/>
    </row>
    <row r="12" spans="1:296" s="39" customFormat="1" x14ac:dyDescent="0.3">
      <c r="A12" s="71"/>
      <c r="B12" s="2" t="str">
        <f>+H70</f>
        <v>DTF/TPU</v>
      </c>
      <c r="C12" s="67">
        <f>H71</f>
        <v>0</v>
      </c>
      <c r="D12" s="55">
        <v>1</v>
      </c>
      <c r="E12" s="5">
        <f t="shared" si="0"/>
        <v>0</v>
      </c>
      <c r="F12" s="7"/>
      <c r="G12" s="5"/>
      <c r="H12"/>
      <c r="I12" s="28"/>
      <c r="K12" s="70"/>
      <c r="L12" s="75"/>
      <c r="M12" s="127"/>
      <c r="N12" s="77"/>
      <c r="O12" s="164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100"/>
      <c r="CR12" s="100"/>
      <c r="CS12" s="100"/>
      <c r="CT12" s="100"/>
      <c r="CU12" s="100"/>
      <c r="CV12" s="100"/>
      <c r="CW12" s="100"/>
      <c r="CX12" s="100"/>
      <c r="CY12" s="100"/>
      <c r="CZ12" s="100"/>
      <c r="DA12" s="100"/>
      <c r="DB12" s="100"/>
      <c r="DC12" s="100"/>
      <c r="DD12" s="100"/>
      <c r="DE12" s="100"/>
      <c r="DF12" s="100"/>
      <c r="DG12" s="100"/>
      <c r="DH12" s="100"/>
      <c r="DI12" s="100"/>
      <c r="DJ12" s="100"/>
      <c r="DK12" s="100"/>
      <c r="DL12" s="100"/>
      <c r="DM12" s="100"/>
      <c r="DN12" s="100"/>
      <c r="DO12" s="100"/>
      <c r="DP12" s="100"/>
      <c r="DQ12" s="100"/>
      <c r="DR12" s="100"/>
      <c r="DS12" s="100"/>
      <c r="DT12" s="100"/>
      <c r="DU12" s="100"/>
      <c r="DV12" s="100"/>
      <c r="DW12" s="100"/>
      <c r="DX12" s="100"/>
      <c r="DY12" s="100"/>
      <c r="DZ12" s="100"/>
      <c r="EA12" s="100"/>
      <c r="EB12" s="100"/>
      <c r="EC12" s="100"/>
      <c r="ED12" s="100"/>
      <c r="EE12" s="100"/>
      <c r="EF12" s="100"/>
      <c r="EG12" s="100"/>
      <c r="EH12" s="100"/>
      <c r="EI12" s="100"/>
      <c r="EJ12" s="100"/>
      <c r="EK12" s="100"/>
      <c r="EL12" s="100"/>
      <c r="EM12" s="100"/>
      <c r="EN12" s="100"/>
      <c r="EO12" s="100"/>
      <c r="EP12" s="100"/>
      <c r="EQ12" s="100"/>
      <c r="ER12" s="100"/>
      <c r="ES12" s="100"/>
      <c r="ET12" s="100"/>
      <c r="EU12" s="100"/>
      <c r="EV12" s="100"/>
      <c r="EW12" s="100"/>
      <c r="EX12" s="100"/>
      <c r="EY12" s="100"/>
      <c r="EZ12" s="100"/>
      <c r="FA12" s="100"/>
      <c r="FB12" s="100"/>
      <c r="FC12" s="100"/>
      <c r="FD12" s="100"/>
      <c r="FE12" s="100"/>
      <c r="FF12" s="100"/>
      <c r="FG12" s="100"/>
      <c r="FH12" s="100"/>
      <c r="FI12" s="100"/>
      <c r="FJ12" s="100"/>
      <c r="FK12" s="100"/>
      <c r="FL12" s="100"/>
      <c r="FM12" s="100"/>
      <c r="FN12" s="100"/>
      <c r="FO12" s="100"/>
      <c r="FP12" s="100"/>
      <c r="FQ12" s="100"/>
      <c r="FR12" s="100"/>
      <c r="FS12" s="100"/>
      <c r="FT12" s="100"/>
      <c r="FU12" s="100"/>
      <c r="FV12" s="100"/>
      <c r="FW12" s="100"/>
      <c r="FX12" s="100"/>
      <c r="FY12" s="100"/>
      <c r="FZ12" s="100"/>
      <c r="GA12" s="100"/>
      <c r="GB12" s="100"/>
      <c r="GC12" s="100"/>
      <c r="GD12" s="100"/>
      <c r="GE12" s="100"/>
      <c r="GF12" s="100"/>
      <c r="GG12" s="100"/>
      <c r="GH12" s="100"/>
      <c r="GI12" s="100"/>
      <c r="GJ12" s="100"/>
      <c r="GK12" s="100"/>
      <c r="GL12" s="100"/>
      <c r="GM12" s="100"/>
      <c r="GN12" s="100"/>
      <c r="GO12" s="100"/>
      <c r="GP12" s="100"/>
      <c r="GQ12" s="100"/>
      <c r="GR12" s="100"/>
      <c r="GS12" s="100"/>
      <c r="GT12" s="100"/>
      <c r="GU12" s="100"/>
      <c r="GV12" s="100"/>
      <c r="GW12" s="100"/>
      <c r="GX12" s="100"/>
      <c r="GY12" s="100"/>
      <c r="GZ12" s="100"/>
      <c r="HA12" s="100"/>
      <c r="HB12" s="100"/>
      <c r="HC12" s="100"/>
      <c r="HD12" s="100"/>
      <c r="HE12" s="100"/>
      <c r="HF12" s="100"/>
      <c r="HG12" s="100"/>
      <c r="HH12" s="100"/>
      <c r="HI12" s="100"/>
      <c r="HJ12" s="100"/>
      <c r="HK12" s="100"/>
      <c r="HL12" s="100"/>
      <c r="HM12" s="100"/>
      <c r="HN12" s="100"/>
      <c r="HO12" s="100"/>
      <c r="HP12" s="100"/>
      <c r="HQ12" s="100"/>
      <c r="HR12" s="100"/>
      <c r="HS12" s="100"/>
      <c r="HT12" s="100"/>
      <c r="HU12" s="100"/>
      <c r="HV12" s="100"/>
      <c r="HW12" s="100"/>
      <c r="HX12" s="100"/>
      <c r="HY12" s="100"/>
      <c r="HZ12" s="100"/>
      <c r="IA12" s="100"/>
      <c r="IB12" s="100"/>
      <c r="IC12" s="100"/>
      <c r="ID12" s="100"/>
      <c r="IE12" s="100"/>
      <c r="IF12" s="100"/>
      <c r="IG12" s="100"/>
      <c r="IH12" s="100"/>
      <c r="II12" s="100"/>
      <c r="IJ12" s="100"/>
      <c r="IK12" s="100"/>
      <c r="IL12" s="100"/>
      <c r="IM12" s="100"/>
      <c r="IN12" s="100"/>
      <c r="IO12" s="100"/>
      <c r="IP12" s="100"/>
      <c r="IQ12" s="100"/>
      <c r="IR12" s="100"/>
      <c r="IS12" s="100"/>
      <c r="IT12" s="100"/>
      <c r="IU12" s="100"/>
      <c r="IV12" s="100"/>
      <c r="IW12" s="100"/>
      <c r="IX12" s="100"/>
      <c r="IY12" s="100"/>
      <c r="IZ12" s="100"/>
      <c r="JA12" s="100"/>
      <c r="JB12" s="100"/>
      <c r="JC12" s="100"/>
      <c r="JD12" s="100"/>
      <c r="JE12" s="100"/>
      <c r="JF12" s="100"/>
      <c r="JG12" s="100"/>
      <c r="JH12" s="100"/>
      <c r="JI12" s="100"/>
      <c r="JJ12" s="100"/>
      <c r="JK12" s="100"/>
      <c r="JL12" s="100"/>
      <c r="JM12" s="100"/>
      <c r="JN12" s="100"/>
      <c r="JO12" s="100"/>
      <c r="JP12" s="100"/>
      <c r="JQ12" s="100"/>
      <c r="JR12" s="100"/>
      <c r="JS12" s="100"/>
      <c r="JT12" s="100"/>
      <c r="JU12" s="100"/>
      <c r="JV12" s="100"/>
      <c r="JW12" s="100"/>
      <c r="JX12" s="100"/>
      <c r="JY12" s="100"/>
      <c r="JZ12" s="100"/>
      <c r="KA12" s="100"/>
      <c r="KB12" s="100"/>
      <c r="KC12" s="100"/>
      <c r="KD12" s="100"/>
      <c r="KE12" s="100"/>
      <c r="KF12" s="100"/>
      <c r="KG12" s="100"/>
      <c r="KH12" s="100"/>
      <c r="KI12" s="100"/>
      <c r="KJ12" s="100"/>
    </row>
    <row r="13" spans="1:296" s="39" customFormat="1" x14ac:dyDescent="0.3">
      <c r="A13" s="71"/>
      <c r="B13" s="2" t="str">
        <f>+I70</f>
        <v>GORRAS</v>
      </c>
      <c r="C13" s="67">
        <f>I71</f>
        <v>0</v>
      </c>
      <c r="D13" s="55">
        <v>2</v>
      </c>
      <c r="E13" s="5">
        <f t="shared" si="0"/>
        <v>0</v>
      </c>
      <c r="F13" s="22"/>
      <c r="G13" s="5"/>
      <c r="H13"/>
      <c r="I13" s="28"/>
      <c r="K13" s="70"/>
      <c r="L13" s="75"/>
      <c r="M13" s="127"/>
      <c r="N13" s="77"/>
      <c r="O13" s="164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100"/>
      <c r="CX13" s="100"/>
      <c r="CY13" s="100"/>
      <c r="CZ13" s="100"/>
      <c r="DA13" s="100"/>
      <c r="DB13" s="100"/>
      <c r="DC13" s="100"/>
      <c r="DD13" s="100"/>
      <c r="DE13" s="100"/>
      <c r="DF13" s="100"/>
      <c r="DG13" s="100"/>
      <c r="DH13" s="100"/>
      <c r="DI13" s="100"/>
      <c r="DJ13" s="100"/>
      <c r="DK13" s="100"/>
      <c r="DL13" s="100"/>
      <c r="DM13" s="100"/>
      <c r="DN13" s="100"/>
      <c r="DO13" s="100"/>
      <c r="DP13" s="100"/>
      <c r="DQ13" s="100"/>
      <c r="DR13" s="100"/>
      <c r="DS13" s="100"/>
      <c r="DT13" s="100"/>
      <c r="DU13" s="100"/>
      <c r="DV13" s="100"/>
      <c r="DW13" s="100"/>
      <c r="DX13" s="100"/>
      <c r="DY13" s="100"/>
      <c r="DZ13" s="100"/>
      <c r="EA13" s="100"/>
      <c r="EB13" s="100"/>
      <c r="EC13" s="100"/>
      <c r="ED13" s="100"/>
      <c r="EE13" s="100"/>
      <c r="EF13" s="100"/>
      <c r="EG13" s="100"/>
      <c r="EH13" s="100"/>
      <c r="EI13" s="100"/>
      <c r="EJ13" s="100"/>
      <c r="EK13" s="100"/>
      <c r="EL13" s="100"/>
      <c r="EM13" s="100"/>
      <c r="EN13" s="100"/>
      <c r="EO13" s="100"/>
      <c r="EP13" s="100"/>
      <c r="EQ13" s="100"/>
      <c r="ER13" s="100"/>
      <c r="ES13" s="100"/>
      <c r="ET13" s="100"/>
      <c r="EU13" s="100"/>
      <c r="EV13" s="100"/>
      <c r="EW13" s="100"/>
      <c r="EX13" s="100"/>
      <c r="EY13" s="100"/>
      <c r="EZ13" s="100"/>
      <c r="FA13" s="100"/>
      <c r="FB13" s="100"/>
      <c r="FC13" s="100"/>
      <c r="FD13" s="100"/>
      <c r="FE13" s="100"/>
      <c r="FF13" s="100"/>
      <c r="FG13" s="100"/>
      <c r="FH13" s="100"/>
      <c r="FI13" s="100"/>
      <c r="FJ13" s="100"/>
      <c r="FK13" s="100"/>
      <c r="FL13" s="100"/>
      <c r="FM13" s="100"/>
      <c r="FN13" s="100"/>
      <c r="FO13" s="100"/>
      <c r="FP13" s="100"/>
      <c r="FQ13" s="100"/>
      <c r="FR13" s="100"/>
      <c r="FS13" s="100"/>
      <c r="FT13" s="100"/>
      <c r="FU13" s="100"/>
      <c r="FV13" s="100"/>
      <c r="FW13" s="100"/>
      <c r="FX13" s="100"/>
      <c r="FY13" s="100"/>
      <c r="FZ13" s="100"/>
      <c r="GA13" s="100"/>
      <c r="GB13" s="100"/>
      <c r="GC13" s="100"/>
      <c r="GD13" s="100"/>
      <c r="GE13" s="100"/>
      <c r="GF13" s="100"/>
      <c r="GG13" s="100"/>
      <c r="GH13" s="100"/>
      <c r="GI13" s="100"/>
      <c r="GJ13" s="100"/>
      <c r="GK13" s="100"/>
      <c r="GL13" s="100"/>
      <c r="GM13" s="100"/>
      <c r="GN13" s="100"/>
      <c r="GO13" s="100"/>
      <c r="GP13" s="100"/>
      <c r="GQ13" s="100"/>
      <c r="GR13" s="100"/>
      <c r="GS13" s="100"/>
      <c r="GT13" s="100"/>
      <c r="GU13" s="100"/>
      <c r="GV13" s="100"/>
      <c r="GW13" s="100"/>
      <c r="GX13" s="100"/>
      <c r="GY13" s="100"/>
      <c r="GZ13" s="100"/>
      <c r="HA13" s="100"/>
      <c r="HB13" s="100"/>
      <c r="HC13" s="100"/>
      <c r="HD13" s="100"/>
      <c r="HE13" s="100"/>
      <c r="HF13" s="100"/>
      <c r="HG13" s="100"/>
      <c r="HH13" s="100"/>
      <c r="HI13" s="100"/>
      <c r="HJ13" s="100"/>
      <c r="HK13" s="100"/>
      <c r="HL13" s="100"/>
      <c r="HM13" s="100"/>
      <c r="HN13" s="100"/>
      <c r="HO13" s="100"/>
      <c r="HP13" s="100"/>
      <c r="HQ13" s="100"/>
      <c r="HR13" s="100"/>
      <c r="HS13" s="100"/>
      <c r="HT13" s="100"/>
      <c r="HU13" s="100"/>
      <c r="HV13" s="100"/>
      <c r="HW13" s="100"/>
      <c r="HX13" s="100"/>
      <c r="HY13" s="100"/>
      <c r="HZ13" s="100"/>
      <c r="IA13" s="100"/>
      <c r="IB13" s="100"/>
      <c r="IC13" s="100"/>
      <c r="ID13" s="100"/>
      <c r="IE13" s="100"/>
      <c r="IF13" s="100"/>
      <c r="IG13" s="100"/>
      <c r="IH13" s="100"/>
      <c r="II13" s="100"/>
      <c r="IJ13" s="100"/>
      <c r="IK13" s="100"/>
      <c r="IL13" s="100"/>
      <c r="IM13" s="100"/>
      <c r="IN13" s="100"/>
      <c r="IO13" s="100"/>
      <c r="IP13" s="100"/>
      <c r="IQ13" s="100"/>
      <c r="IR13" s="100"/>
      <c r="IS13" s="100"/>
      <c r="IT13" s="100"/>
      <c r="IU13" s="100"/>
      <c r="IV13" s="100"/>
      <c r="IW13" s="100"/>
      <c r="IX13" s="100"/>
      <c r="IY13" s="100"/>
      <c r="IZ13" s="100"/>
      <c r="JA13" s="100"/>
      <c r="JB13" s="100"/>
      <c r="JC13" s="100"/>
      <c r="JD13" s="100"/>
      <c r="JE13" s="100"/>
      <c r="JF13" s="100"/>
      <c r="JG13" s="100"/>
      <c r="JH13" s="100"/>
      <c r="JI13" s="100"/>
      <c r="JJ13" s="100"/>
      <c r="JK13" s="100"/>
      <c r="JL13" s="100"/>
      <c r="JM13" s="100"/>
      <c r="JN13" s="100"/>
      <c r="JO13" s="100"/>
      <c r="JP13" s="100"/>
      <c r="JQ13" s="100"/>
      <c r="JR13" s="100"/>
      <c r="JS13" s="100"/>
      <c r="JT13" s="100"/>
      <c r="JU13" s="100"/>
      <c r="JV13" s="100"/>
      <c r="JW13" s="100"/>
      <c r="JX13" s="100"/>
      <c r="JY13" s="100"/>
      <c r="JZ13" s="100"/>
      <c r="KA13" s="100"/>
      <c r="KB13" s="100"/>
      <c r="KC13" s="100"/>
      <c r="KD13" s="100"/>
      <c r="KE13" s="100"/>
      <c r="KF13" s="100"/>
      <c r="KG13" s="100"/>
      <c r="KH13" s="100"/>
      <c r="KI13" s="100"/>
      <c r="KJ13" s="100"/>
    </row>
    <row r="14" spans="1:296" s="39" customFormat="1" x14ac:dyDescent="0.3">
      <c r="A14" s="71"/>
      <c r="B14" s="2" t="str">
        <f>+J70</f>
        <v>JARRO</v>
      </c>
      <c r="C14" s="67">
        <f>J71</f>
        <v>0</v>
      </c>
      <c r="D14" s="55"/>
      <c r="E14" s="5">
        <f t="shared" si="0"/>
        <v>0</v>
      </c>
      <c r="F14" s="22"/>
      <c r="G14" s="5"/>
      <c r="H14"/>
      <c r="I14" s="28"/>
      <c r="K14" s="70"/>
      <c r="L14" s="75"/>
      <c r="M14" s="127"/>
      <c r="N14" s="77"/>
      <c r="O14" s="164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00"/>
      <c r="CX14" s="100"/>
      <c r="CY14" s="100"/>
      <c r="CZ14" s="100"/>
      <c r="DA14" s="100"/>
      <c r="DB14" s="100"/>
      <c r="DC14" s="100"/>
      <c r="DD14" s="100"/>
      <c r="DE14" s="100"/>
      <c r="DF14" s="100"/>
      <c r="DG14" s="100"/>
      <c r="DH14" s="100"/>
      <c r="DI14" s="100"/>
      <c r="DJ14" s="100"/>
      <c r="DK14" s="100"/>
      <c r="DL14" s="100"/>
      <c r="DM14" s="100"/>
      <c r="DN14" s="100"/>
      <c r="DO14" s="100"/>
      <c r="DP14" s="100"/>
      <c r="DQ14" s="100"/>
      <c r="DR14" s="100"/>
      <c r="DS14" s="100"/>
      <c r="DT14" s="100"/>
      <c r="DU14" s="100"/>
      <c r="DV14" s="100"/>
      <c r="DW14" s="100"/>
      <c r="DX14" s="100"/>
      <c r="DY14" s="100"/>
      <c r="DZ14" s="100"/>
      <c r="EA14" s="100"/>
      <c r="EB14" s="100"/>
      <c r="EC14" s="100"/>
      <c r="ED14" s="100"/>
      <c r="EE14" s="100"/>
      <c r="EF14" s="100"/>
      <c r="EG14" s="100"/>
      <c r="EH14" s="100"/>
      <c r="EI14" s="100"/>
      <c r="EJ14" s="100"/>
      <c r="EK14" s="100"/>
      <c r="EL14" s="100"/>
      <c r="EM14" s="100"/>
      <c r="EN14" s="100"/>
      <c r="EO14" s="100"/>
      <c r="EP14" s="100"/>
      <c r="EQ14" s="100"/>
      <c r="ER14" s="100"/>
      <c r="ES14" s="100"/>
      <c r="ET14" s="100"/>
      <c r="EU14" s="100"/>
      <c r="EV14" s="100"/>
      <c r="EW14" s="100"/>
      <c r="EX14" s="100"/>
      <c r="EY14" s="100"/>
      <c r="EZ14" s="100"/>
      <c r="FA14" s="100"/>
      <c r="FB14" s="100"/>
      <c r="FC14" s="100"/>
      <c r="FD14" s="100"/>
      <c r="FE14" s="100"/>
      <c r="FF14" s="100"/>
      <c r="FG14" s="100"/>
      <c r="FH14" s="100"/>
      <c r="FI14" s="100"/>
      <c r="FJ14" s="100"/>
      <c r="FK14" s="100"/>
      <c r="FL14" s="100"/>
      <c r="FM14" s="100"/>
      <c r="FN14" s="100"/>
      <c r="FO14" s="100"/>
      <c r="FP14" s="100"/>
      <c r="FQ14" s="100"/>
      <c r="FR14" s="100"/>
      <c r="FS14" s="100"/>
      <c r="FT14" s="100"/>
      <c r="FU14" s="100"/>
      <c r="FV14" s="100"/>
      <c r="FW14" s="100"/>
      <c r="FX14" s="100"/>
      <c r="FY14" s="100"/>
      <c r="FZ14" s="100"/>
      <c r="GA14" s="100"/>
      <c r="GB14" s="100"/>
      <c r="GC14" s="100"/>
      <c r="GD14" s="100"/>
      <c r="GE14" s="100"/>
      <c r="GF14" s="100"/>
      <c r="GG14" s="100"/>
      <c r="GH14" s="100"/>
      <c r="GI14" s="100"/>
      <c r="GJ14" s="100"/>
      <c r="GK14" s="100"/>
      <c r="GL14" s="100"/>
      <c r="GM14" s="100"/>
      <c r="GN14" s="100"/>
      <c r="GO14" s="100"/>
      <c r="GP14" s="100"/>
      <c r="GQ14" s="100"/>
      <c r="GR14" s="100"/>
      <c r="GS14" s="100"/>
      <c r="GT14" s="100"/>
      <c r="GU14" s="100"/>
      <c r="GV14" s="100"/>
      <c r="GW14" s="100"/>
      <c r="GX14" s="100"/>
      <c r="GY14" s="100"/>
      <c r="GZ14" s="100"/>
      <c r="HA14" s="100"/>
      <c r="HB14" s="100"/>
      <c r="HC14" s="100"/>
      <c r="HD14" s="100"/>
      <c r="HE14" s="100"/>
      <c r="HF14" s="100"/>
      <c r="HG14" s="100"/>
      <c r="HH14" s="100"/>
      <c r="HI14" s="100"/>
      <c r="HJ14" s="100"/>
      <c r="HK14" s="100"/>
      <c r="HL14" s="100"/>
      <c r="HM14" s="100"/>
      <c r="HN14" s="100"/>
      <c r="HO14" s="100"/>
      <c r="HP14" s="100"/>
      <c r="HQ14" s="100"/>
      <c r="HR14" s="100"/>
      <c r="HS14" s="100"/>
      <c r="HT14" s="100"/>
      <c r="HU14" s="100"/>
      <c r="HV14" s="100"/>
      <c r="HW14" s="100"/>
      <c r="HX14" s="100"/>
      <c r="HY14" s="100"/>
      <c r="HZ14" s="100"/>
      <c r="IA14" s="100"/>
      <c r="IB14" s="100"/>
      <c r="IC14" s="100"/>
      <c r="ID14" s="100"/>
      <c r="IE14" s="100"/>
      <c r="IF14" s="100"/>
      <c r="IG14" s="100"/>
      <c r="IH14" s="100"/>
      <c r="II14" s="100"/>
      <c r="IJ14" s="100"/>
      <c r="IK14" s="100"/>
      <c r="IL14" s="100"/>
      <c r="IM14" s="100"/>
      <c r="IN14" s="100"/>
      <c r="IO14" s="100"/>
      <c r="IP14" s="100"/>
      <c r="IQ14" s="100"/>
      <c r="IR14" s="100"/>
      <c r="IS14" s="100"/>
      <c r="IT14" s="100"/>
      <c r="IU14" s="100"/>
      <c r="IV14" s="100"/>
      <c r="IW14" s="100"/>
      <c r="IX14" s="100"/>
      <c r="IY14" s="100"/>
      <c r="IZ14" s="100"/>
      <c r="JA14" s="100"/>
      <c r="JB14" s="100"/>
      <c r="JC14" s="100"/>
      <c r="JD14" s="100"/>
      <c r="JE14" s="100"/>
      <c r="JF14" s="100"/>
      <c r="JG14" s="100"/>
      <c r="JH14" s="100"/>
      <c r="JI14" s="100"/>
      <c r="JJ14" s="100"/>
      <c r="JK14" s="100"/>
      <c r="JL14" s="100"/>
      <c r="JM14" s="100"/>
      <c r="JN14" s="100"/>
      <c r="JO14" s="100"/>
      <c r="JP14" s="100"/>
      <c r="JQ14" s="100"/>
      <c r="JR14" s="100"/>
      <c r="JS14" s="100"/>
      <c r="JT14" s="100"/>
      <c r="JU14" s="100"/>
      <c r="JV14" s="100"/>
      <c r="JW14" s="100"/>
      <c r="JX14" s="100"/>
      <c r="JY14" s="100"/>
      <c r="JZ14" s="100"/>
      <c r="KA14" s="100"/>
      <c r="KB14" s="100"/>
      <c r="KC14" s="100"/>
      <c r="KD14" s="100"/>
      <c r="KE14" s="100"/>
      <c r="KF14" s="100"/>
      <c r="KG14" s="100"/>
      <c r="KH14" s="100"/>
      <c r="KI14" s="100"/>
      <c r="KJ14" s="100"/>
    </row>
    <row r="15" spans="1:296" s="39" customFormat="1" x14ac:dyDescent="0.3">
      <c r="A15" s="71" t="str">
        <f>IF('[1]PRODUCTO NACIONAL'!A67&lt;&gt;"",'[1]PRODUCTO NACIONAL'!A67,"")</f>
        <v>M64</v>
      </c>
      <c r="B15" s="71" t="str">
        <f>IF('[1]PRODUCTO NACIONAL'!F67&lt;&gt;"",'[1]PRODUCTO NACIONAL'!F67,"")</f>
        <v>CUELLOS20 PEI|NEGRO AZABACHE Y MAS.</v>
      </c>
      <c r="C15" s="67">
        <f>K71</f>
        <v>4</v>
      </c>
      <c r="D15" s="107">
        <f>VLOOKUP(A15,'[1]PRODUCTO NACIONAL'!$A$4:$R$161,18,FALSE)</f>
        <v>0.4764460606060606</v>
      </c>
      <c r="E15" s="5">
        <f t="shared" si="0"/>
        <v>-1.9057842424242424</v>
      </c>
      <c r="F15" s="22"/>
      <c r="G15" s="5"/>
      <c r="H15"/>
      <c r="I15" s="28"/>
      <c r="K15" s="70"/>
      <c r="L15" s="75"/>
      <c r="M15" s="127"/>
      <c r="N15" s="77"/>
      <c r="O15" s="164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00"/>
      <c r="CX15" s="100"/>
      <c r="CY15" s="100"/>
      <c r="CZ15" s="100"/>
      <c r="DA15" s="100"/>
      <c r="DB15" s="100"/>
      <c r="DC15" s="100"/>
      <c r="DD15" s="100"/>
      <c r="DE15" s="100"/>
      <c r="DF15" s="100"/>
      <c r="DG15" s="100"/>
      <c r="DH15" s="100"/>
      <c r="DI15" s="100"/>
      <c r="DJ15" s="100"/>
      <c r="DK15" s="100"/>
      <c r="DL15" s="100"/>
      <c r="DM15" s="100"/>
      <c r="DN15" s="100"/>
      <c r="DO15" s="100"/>
      <c r="DP15" s="100"/>
      <c r="DQ15" s="100"/>
      <c r="DR15" s="100"/>
      <c r="DS15" s="100"/>
      <c r="DT15" s="100"/>
      <c r="DU15" s="100"/>
      <c r="DV15" s="100"/>
      <c r="DW15" s="100"/>
      <c r="DX15" s="100"/>
      <c r="DY15" s="100"/>
      <c r="DZ15" s="100"/>
      <c r="EA15" s="100"/>
      <c r="EB15" s="100"/>
      <c r="EC15" s="100"/>
      <c r="ED15" s="100"/>
      <c r="EE15" s="100"/>
      <c r="EF15" s="100"/>
      <c r="EG15" s="100"/>
      <c r="EH15" s="100"/>
      <c r="EI15" s="100"/>
      <c r="EJ15" s="100"/>
      <c r="EK15" s="100"/>
      <c r="EL15" s="100"/>
      <c r="EM15" s="100"/>
      <c r="EN15" s="100"/>
      <c r="EO15" s="100"/>
      <c r="EP15" s="100"/>
      <c r="EQ15" s="100"/>
      <c r="ER15" s="100"/>
      <c r="ES15" s="100"/>
      <c r="ET15" s="100"/>
      <c r="EU15" s="100"/>
      <c r="EV15" s="100"/>
      <c r="EW15" s="100"/>
      <c r="EX15" s="100"/>
      <c r="EY15" s="100"/>
      <c r="EZ15" s="100"/>
      <c r="FA15" s="100"/>
      <c r="FB15" s="100"/>
      <c r="FC15" s="100"/>
      <c r="FD15" s="100"/>
      <c r="FE15" s="100"/>
      <c r="FF15" s="100"/>
      <c r="FG15" s="100"/>
      <c r="FH15" s="100"/>
      <c r="FI15" s="100"/>
      <c r="FJ15" s="100"/>
      <c r="FK15" s="100"/>
      <c r="FL15" s="100"/>
      <c r="FM15" s="100"/>
      <c r="FN15" s="100"/>
      <c r="FO15" s="100"/>
      <c r="FP15" s="100"/>
      <c r="FQ15" s="100"/>
      <c r="FR15" s="100"/>
      <c r="FS15" s="100"/>
      <c r="FT15" s="100"/>
      <c r="FU15" s="100"/>
      <c r="FV15" s="100"/>
      <c r="FW15" s="100"/>
      <c r="FX15" s="100"/>
      <c r="FY15" s="100"/>
      <c r="FZ15" s="100"/>
      <c r="GA15" s="100"/>
      <c r="GB15" s="100"/>
      <c r="GC15" s="100"/>
      <c r="GD15" s="100"/>
      <c r="GE15" s="100"/>
      <c r="GF15" s="100"/>
      <c r="GG15" s="100"/>
      <c r="GH15" s="100"/>
      <c r="GI15" s="100"/>
      <c r="GJ15" s="100"/>
      <c r="GK15" s="100"/>
      <c r="GL15" s="100"/>
      <c r="GM15" s="100"/>
      <c r="GN15" s="100"/>
      <c r="GO15" s="100"/>
      <c r="GP15" s="100"/>
      <c r="GQ15" s="100"/>
      <c r="GR15" s="100"/>
      <c r="GS15" s="100"/>
      <c r="GT15" s="100"/>
      <c r="GU15" s="100"/>
      <c r="GV15" s="100"/>
      <c r="GW15" s="100"/>
      <c r="GX15" s="100"/>
      <c r="GY15" s="100"/>
      <c r="GZ15" s="100"/>
      <c r="HA15" s="100"/>
      <c r="HB15" s="100"/>
      <c r="HC15" s="100"/>
      <c r="HD15" s="100"/>
      <c r="HE15" s="100"/>
      <c r="HF15" s="100"/>
      <c r="HG15" s="100"/>
      <c r="HH15" s="100"/>
      <c r="HI15" s="100"/>
      <c r="HJ15" s="100"/>
      <c r="HK15" s="100"/>
      <c r="HL15" s="100"/>
      <c r="HM15" s="100"/>
      <c r="HN15" s="100"/>
      <c r="HO15" s="100"/>
      <c r="HP15" s="100"/>
      <c r="HQ15" s="100"/>
      <c r="HR15" s="100"/>
      <c r="HS15" s="100"/>
      <c r="HT15" s="100"/>
      <c r="HU15" s="100"/>
      <c r="HV15" s="100"/>
      <c r="HW15" s="100"/>
      <c r="HX15" s="100"/>
      <c r="HY15" s="100"/>
      <c r="HZ15" s="100"/>
      <c r="IA15" s="100"/>
      <c r="IB15" s="100"/>
      <c r="IC15" s="100"/>
      <c r="ID15" s="100"/>
      <c r="IE15" s="100"/>
      <c r="IF15" s="100"/>
      <c r="IG15" s="100"/>
      <c r="IH15" s="100"/>
      <c r="II15" s="100"/>
      <c r="IJ15" s="100"/>
      <c r="IK15" s="100"/>
      <c r="IL15" s="100"/>
      <c r="IM15" s="100"/>
      <c r="IN15" s="100"/>
      <c r="IO15" s="100"/>
      <c r="IP15" s="100"/>
      <c r="IQ15" s="100"/>
      <c r="IR15" s="100"/>
      <c r="IS15" s="100"/>
      <c r="IT15" s="100"/>
      <c r="IU15" s="100"/>
      <c r="IV15" s="100"/>
      <c r="IW15" s="100"/>
      <c r="IX15" s="100"/>
      <c r="IY15" s="100"/>
      <c r="IZ15" s="100"/>
      <c r="JA15" s="100"/>
      <c r="JB15" s="100"/>
      <c r="JC15" s="100"/>
      <c r="JD15" s="100"/>
      <c r="JE15" s="100"/>
      <c r="JF15" s="100"/>
      <c r="JG15" s="100"/>
      <c r="JH15" s="100"/>
      <c r="JI15" s="100"/>
      <c r="JJ15" s="100"/>
      <c r="JK15" s="100"/>
      <c r="JL15" s="100"/>
      <c r="JM15" s="100"/>
      <c r="JN15" s="100"/>
      <c r="JO15" s="100"/>
      <c r="JP15" s="100"/>
      <c r="JQ15" s="100"/>
      <c r="JR15" s="100"/>
      <c r="JS15" s="100"/>
      <c r="JT15" s="100"/>
      <c r="JU15" s="100"/>
      <c r="JV15" s="100"/>
      <c r="JW15" s="100"/>
      <c r="JX15" s="100"/>
      <c r="JY15" s="100"/>
      <c r="JZ15" s="100"/>
      <c r="KA15" s="100"/>
      <c r="KB15" s="100"/>
      <c r="KC15" s="100"/>
      <c r="KD15" s="100"/>
      <c r="KE15" s="100"/>
      <c r="KF15" s="100"/>
      <c r="KG15" s="100"/>
      <c r="KH15" s="100"/>
      <c r="KI15" s="100"/>
      <c r="KJ15" s="100"/>
    </row>
    <row r="16" spans="1:296" s="39" customFormat="1" x14ac:dyDescent="0.3">
      <c r="A16" s="71" t="str">
        <f>IF('[1]PRODUCTO NACIONAL'!A68&lt;&gt;"",'[1]PRODUCTO NACIONAL'!A68,"")</f>
        <v>M65</v>
      </c>
      <c r="B16" s="71" t="str">
        <f>IF('[1]PRODUCTO NACIONAL'!F68&lt;&gt;"",'[1]PRODUCTO NACIONAL'!F68,"")</f>
        <v>PUÑOS20 PEI|NEGRO AZABACHE Y MAS.</v>
      </c>
      <c r="C16" s="67">
        <f>L71</f>
        <v>4</v>
      </c>
      <c r="D16" s="107">
        <f>VLOOKUP(A16,'[1]PRODUCTO NACIONAL'!$A$4:$R$161,18,FALSE)</f>
        <v>0.23822303030303027</v>
      </c>
      <c r="E16" s="5">
        <f t="shared" si="0"/>
        <v>-0.95289212121212108</v>
      </c>
      <c r="F16" s="22"/>
      <c r="G16" s="5"/>
      <c r="H16"/>
      <c r="I16" s="28"/>
      <c r="K16" s="70"/>
      <c r="L16" s="75"/>
      <c r="M16" s="127"/>
      <c r="N16" s="77"/>
      <c r="O16" s="164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  <c r="CX16" s="100"/>
      <c r="CY16" s="100"/>
      <c r="CZ16" s="100"/>
      <c r="DA16" s="100"/>
      <c r="DB16" s="100"/>
      <c r="DC16" s="100"/>
      <c r="DD16" s="100"/>
      <c r="DE16" s="100"/>
      <c r="DF16" s="100"/>
      <c r="DG16" s="100"/>
      <c r="DH16" s="100"/>
      <c r="DI16" s="100"/>
      <c r="DJ16" s="100"/>
      <c r="DK16" s="100"/>
      <c r="DL16" s="100"/>
      <c r="DM16" s="100"/>
      <c r="DN16" s="100"/>
      <c r="DO16" s="100"/>
      <c r="DP16" s="100"/>
      <c r="DQ16" s="100"/>
      <c r="DR16" s="100"/>
      <c r="DS16" s="100"/>
      <c r="DT16" s="100"/>
      <c r="DU16" s="100"/>
      <c r="DV16" s="100"/>
      <c r="DW16" s="100"/>
      <c r="DX16" s="100"/>
      <c r="DY16" s="100"/>
      <c r="DZ16" s="100"/>
      <c r="EA16" s="100"/>
      <c r="EB16" s="100"/>
      <c r="EC16" s="100"/>
      <c r="ED16" s="100"/>
      <c r="EE16" s="100"/>
      <c r="EF16" s="100"/>
      <c r="EG16" s="100"/>
      <c r="EH16" s="100"/>
      <c r="EI16" s="100"/>
      <c r="EJ16" s="100"/>
      <c r="EK16" s="100"/>
      <c r="EL16" s="100"/>
      <c r="EM16" s="100"/>
      <c r="EN16" s="100"/>
      <c r="EO16" s="100"/>
      <c r="EP16" s="100"/>
      <c r="EQ16" s="100"/>
      <c r="ER16" s="100"/>
      <c r="ES16" s="100"/>
      <c r="ET16" s="100"/>
      <c r="EU16" s="100"/>
      <c r="EV16" s="100"/>
      <c r="EW16" s="100"/>
      <c r="EX16" s="100"/>
      <c r="EY16" s="100"/>
      <c r="EZ16" s="100"/>
      <c r="FA16" s="100"/>
      <c r="FB16" s="100"/>
      <c r="FC16" s="100"/>
      <c r="FD16" s="100"/>
      <c r="FE16" s="100"/>
      <c r="FF16" s="100"/>
      <c r="FG16" s="100"/>
      <c r="FH16" s="100"/>
      <c r="FI16" s="100"/>
      <c r="FJ16" s="100"/>
      <c r="FK16" s="100"/>
      <c r="FL16" s="100"/>
      <c r="FM16" s="100"/>
      <c r="FN16" s="100"/>
      <c r="FO16" s="100"/>
      <c r="FP16" s="100"/>
      <c r="FQ16" s="100"/>
      <c r="FR16" s="100"/>
      <c r="FS16" s="100"/>
      <c r="FT16" s="100"/>
      <c r="FU16" s="100"/>
      <c r="FV16" s="100"/>
      <c r="FW16" s="100"/>
      <c r="FX16" s="100"/>
      <c r="FY16" s="100"/>
      <c r="FZ16" s="100"/>
      <c r="GA16" s="100"/>
      <c r="GB16" s="100"/>
      <c r="GC16" s="100"/>
      <c r="GD16" s="100"/>
      <c r="GE16" s="100"/>
      <c r="GF16" s="100"/>
      <c r="GG16" s="100"/>
      <c r="GH16" s="100"/>
      <c r="GI16" s="100"/>
      <c r="GJ16" s="100"/>
      <c r="GK16" s="100"/>
      <c r="GL16" s="100"/>
      <c r="GM16" s="100"/>
      <c r="GN16" s="100"/>
      <c r="GO16" s="100"/>
      <c r="GP16" s="100"/>
      <c r="GQ16" s="100"/>
      <c r="GR16" s="100"/>
      <c r="GS16" s="100"/>
      <c r="GT16" s="100"/>
      <c r="GU16" s="100"/>
      <c r="GV16" s="100"/>
      <c r="GW16" s="100"/>
      <c r="GX16" s="100"/>
      <c r="GY16" s="100"/>
      <c r="GZ16" s="100"/>
      <c r="HA16" s="100"/>
      <c r="HB16" s="100"/>
      <c r="HC16" s="100"/>
      <c r="HD16" s="100"/>
      <c r="HE16" s="100"/>
      <c r="HF16" s="100"/>
      <c r="HG16" s="100"/>
      <c r="HH16" s="100"/>
      <c r="HI16" s="100"/>
      <c r="HJ16" s="100"/>
      <c r="HK16" s="100"/>
      <c r="HL16" s="100"/>
      <c r="HM16" s="100"/>
      <c r="HN16" s="100"/>
      <c r="HO16" s="100"/>
      <c r="HP16" s="100"/>
      <c r="HQ16" s="100"/>
      <c r="HR16" s="100"/>
      <c r="HS16" s="100"/>
      <c r="HT16" s="100"/>
      <c r="HU16" s="100"/>
      <c r="HV16" s="100"/>
      <c r="HW16" s="100"/>
      <c r="HX16" s="100"/>
      <c r="HY16" s="100"/>
      <c r="HZ16" s="100"/>
      <c r="IA16" s="100"/>
      <c r="IB16" s="100"/>
      <c r="IC16" s="100"/>
      <c r="ID16" s="100"/>
      <c r="IE16" s="100"/>
      <c r="IF16" s="100"/>
      <c r="IG16" s="100"/>
      <c r="IH16" s="100"/>
      <c r="II16" s="100"/>
      <c r="IJ16" s="100"/>
      <c r="IK16" s="100"/>
      <c r="IL16" s="100"/>
      <c r="IM16" s="100"/>
      <c r="IN16" s="100"/>
      <c r="IO16" s="100"/>
      <c r="IP16" s="100"/>
      <c r="IQ16" s="100"/>
      <c r="IR16" s="100"/>
      <c r="IS16" s="100"/>
      <c r="IT16" s="100"/>
      <c r="IU16" s="100"/>
      <c r="IV16" s="100"/>
      <c r="IW16" s="100"/>
      <c r="IX16" s="100"/>
      <c r="IY16" s="100"/>
      <c r="IZ16" s="100"/>
      <c r="JA16" s="100"/>
      <c r="JB16" s="100"/>
      <c r="JC16" s="100"/>
      <c r="JD16" s="100"/>
      <c r="JE16" s="100"/>
      <c r="JF16" s="100"/>
      <c r="JG16" s="100"/>
      <c r="JH16" s="100"/>
      <c r="JI16" s="100"/>
      <c r="JJ16" s="100"/>
      <c r="JK16" s="100"/>
      <c r="JL16" s="100"/>
      <c r="JM16" s="100"/>
      <c r="JN16" s="100"/>
      <c r="JO16" s="100"/>
      <c r="JP16" s="100"/>
      <c r="JQ16" s="100"/>
      <c r="JR16" s="100"/>
      <c r="JS16" s="100"/>
      <c r="JT16" s="100"/>
      <c r="JU16" s="100"/>
      <c r="JV16" s="100"/>
      <c r="JW16" s="100"/>
      <c r="JX16" s="100"/>
      <c r="JY16" s="100"/>
      <c r="JZ16" s="100"/>
      <c r="KA16" s="100"/>
      <c r="KB16" s="100"/>
      <c r="KC16" s="100"/>
      <c r="KD16" s="100"/>
      <c r="KE16" s="100"/>
      <c r="KF16" s="100"/>
      <c r="KG16" s="100"/>
      <c r="KH16" s="100"/>
      <c r="KI16" s="100"/>
      <c r="KJ16" s="100"/>
    </row>
    <row r="17" spans="1:296" s="39" customFormat="1" x14ac:dyDescent="0.3">
      <c r="A17" s="127"/>
      <c r="B17" s="129" t="str">
        <f>+M70</f>
        <v>ENVIOS</v>
      </c>
      <c r="C17" s="67">
        <f>M71</f>
        <v>7.5</v>
      </c>
      <c r="D17" s="127">
        <v>1</v>
      </c>
      <c r="E17" s="5">
        <f t="shared" si="0"/>
        <v>-7.5</v>
      </c>
      <c r="F17" s="22"/>
      <c r="G17" s="5"/>
      <c r="H17"/>
      <c r="I17" s="28"/>
      <c r="K17" s="70"/>
      <c r="L17" s="75"/>
      <c r="M17" s="127"/>
      <c r="N17" s="77"/>
      <c r="O17" s="164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  <c r="DC17" s="100"/>
      <c r="DD17" s="100"/>
      <c r="DE17" s="100"/>
      <c r="DF17" s="100"/>
      <c r="DG17" s="100"/>
      <c r="DH17" s="100"/>
      <c r="DI17" s="100"/>
      <c r="DJ17" s="100"/>
      <c r="DK17" s="100"/>
      <c r="DL17" s="100"/>
      <c r="DM17" s="100"/>
      <c r="DN17" s="100"/>
      <c r="DO17" s="100"/>
      <c r="DP17" s="100"/>
      <c r="DQ17" s="100"/>
      <c r="DR17" s="100"/>
      <c r="DS17" s="100"/>
      <c r="DT17" s="100"/>
      <c r="DU17" s="100"/>
      <c r="DV17" s="100"/>
      <c r="DW17" s="100"/>
      <c r="DX17" s="100"/>
      <c r="DY17" s="100"/>
      <c r="DZ17" s="100"/>
      <c r="EA17" s="100"/>
      <c r="EB17" s="100"/>
      <c r="EC17" s="100"/>
      <c r="ED17" s="100"/>
      <c r="EE17" s="100"/>
      <c r="EF17" s="100"/>
      <c r="EG17" s="100"/>
      <c r="EH17" s="100"/>
      <c r="EI17" s="100"/>
      <c r="EJ17" s="100"/>
      <c r="EK17" s="100"/>
      <c r="EL17" s="100"/>
      <c r="EM17" s="100"/>
      <c r="EN17" s="100"/>
      <c r="EO17" s="100"/>
      <c r="EP17" s="100"/>
      <c r="EQ17" s="100"/>
      <c r="ER17" s="100"/>
      <c r="ES17" s="100"/>
      <c r="ET17" s="100"/>
      <c r="EU17" s="100"/>
      <c r="EV17" s="100"/>
      <c r="EW17" s="100"/>
      <c r="EX17" s="100"/>
      <c r="EY17" s="100"/>
      <c r="EZ17" s="100"/>
      <c r="FA17" s="100"/>
      <c r="FB17" s="100"/>
      <c r="FC17" s="100"/>
      <c r="FD17" s="100"/>
      <c r="FE17" s="100"/>
      <c r="FF17" s="100"/>
      <c r="FG17" s="100"/>
      <c r="FH17" s="100"/>
      <c r="FI17" s="100"/>
      <c r="FJ17" s="100"/>
      <c r="FK17" s="100"/>
      <c r="FL17" s="100"/>
      <c r="FM17" s="100"/>
      <c r="FN17" s="100"/>
      <c r="FO17" s="100"/>
      <c r="FP17" s="100"/>
      <c r="FQ17" s="100"/>
      <c r="FR17" s="100"/>
      <c r="FS17" s="100"/>
      <c r="FT17" s="100"/>
      <c r="FU17" s="100"/>
      <c r="FV17" s="100"/>
      <c r="FW17" s="100"/>
      <c r="FX17" s="100"/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0"/>
      <c r="GV17" s="100"/>
      <c r="GW17" s="100"/>
      <c r="GX17" s="100"/>
      <c r="GY17" s="100"/>
      <c r="GZ17" s="100"/>
      <c r="HA17" s="100"/>
      <c r="HB17" s="100"/>
      <c r="HC17" s="100"/>
      <c r="HD17" s="100"/>
      <c r="HE17" s="100"/>
      <c r="HF17" s="100"/>
      <c r="HG17" s="100"/>
      <c r="HH17" s="100"/>
      <c r="HI17" s="100"/>
      <c r="HJ17" s="100"/>
      <c r="HK17" s="100"/>
      <c r="HL17" s="100"/>
      <c r="HM17" s="100"/>
      <c r="HN17" s="100"/>
      <c r="HO17" s="100"/>
      <c r="HP17" s="100"/>
      <c r="HQ17" s="100"/>
      <c r="HR17" s="100"/>
      <c r="HS17" s="100"/>
      <c r="HT17" s="100"/>
      <c r="HU17" s="100"/>
      <c r="HV17" s="100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0"/>
      <c r="II17" s="100"/>
      <c r="IJ17" s="100"/>
      <c r="IK17" s="100"/>
      <c r="IL17" s="100"/>
      <c r="IM17" s="100"/>
      <c r="IN17" s="100"/>
      <c r="IO17" s="100"/>
      <c r="IP17" s="100"/>
      <c r="IQ17" s="100"/>
      <c r="IR17" s="100"/>
      <c r="IS17" s="100"/>
      <c r="IT17" s="100"/>
      <c r="IU17" s="100"/>
      <c r="IV17" s="100"/>
      <c r="IW17" s="100"/>
      <c r="IX17" s="100"/>
      <c r="IY17" s="100"/>
      <c r="IZ17" s="100"/>
      <c r="JA17" s="100"/>
      <c r="JB17" s="100"/>
      <c r="JC17" s="100"/>
      <c r="JD17" s="100"/>
      <c r="JE17" s="100"/>
      <c r="JF17" s="100"/>
      <c r="JG17" s="100"/>
      <c r="JH17" s="100"/>
      <c r="JI17" s="100"/>
      <c r="JJ17" s="100"/>
      <c r="JK17" s="100"/>
      <c r="JL17" s="100"/>
      <c r="JM17" s="100"/>
      <c r="JN17" s="100"/>
      <c r="JO17" s="100"/>
      <c r="JP17" s="100"/>
      <c r="JQ17" s="100"/>
      <c r="JR17" s="100"/>
      <c r="JS17" s="100"/>
      <c r="JT17" s="100"/>
      <c r="JU17" s="100"/>
      <c r="JV17" s="100"/>
      <c r="JW17" s="100"/>
      <c r="JX17" s="100"/>
      <c r="JY17" s="100"/>
      <c r="JZ17" s="100"/>
      <c r="KA17" s="100"/>
      <c r="KB17" s="100"/>
      <c r="KC17" s="100"/>
      <c r="KD17" s="100"/>
      <c r="KE17" s="100"/>
      <c r="KF17" s="100"/>
      <c r="KG17" s="100"/>
      <c r="KH17" s="100"/>
      <c r="KI17" s="100"/>
      <c r="KJ17" s="100"/>
    </row>
    <row r="18" spans="1:296" s="5" customFormat="1" x14ac:dyDescent="0.3">
      <c r="A18" s="71" t="str">
        <f>IF('[1]PRODUCTO NACIONAL'!A76&lt;&gt;"",'[1]PRODUCTO NACIONAL'!A76,"")</f>
        <v>M73</v>
      </c>
      <c r="B18" s="71" t="str">
        <f>IF('[1]PRODUCTO NACIONAL'!F76&lt;&gt;"",'[1]PRODUCTO NACIONAL'!F76,"")</f>
        <v>CINTA REFLECTIVA DE 3cm de anchox1m</v>
      </c>
      <c r="C18" s="67">
        <f>N71</f>
        <v>0</v>
      </c>
      <c r="D18" s="107">
        <f>VLOOKUP(A18,'[1]PRODUCTO NACIONAL'!$A$4:$R$161,18,FALSE)</f>
        <v>1.3999945</v>
      </c>
      <c r="E18" s="5">
        <f t="shared" si="0"/>
        <v>0</v>
      </c>
      <c r="F18" s="22"/>
      <c r="H18"/>
      <c r="I18" s="28"/>
      <c r="J18" s="39"/>
      <c r="K18" s="70"/>
      <c r="L18" s="75"/>
      <c r="M18" s="127"/>
      <c r="N18" s="77"/>
      <c r="O18" s="165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  <c r="DM18" s="116"/>
      <c r="DN18" s="116"/>
      <c r="DO18" s="116"/>
      <c r="DP18" s="116"/>
      <c r="DQ18" s="116"/>
      <c r="DR18" s="116"/>
      <c r="DS18" s="116"/>
      <c r="DT18" s="116"/>
      <c r="DU18" s="116"/>
      <c r="DV18" s="116"/>
      <c r="DW18" s="116"/>
      <c r="DX18" s="116"/>
      <c r="DY18" s="116"/>
      <c r="DZ18" s="116"/>
      <c r="EA18" s="116"/>
      <c r="EB18" s="116"/>
      <c r="EC18" s="116"/>
      <c r="ED18" s="116"/>
      <c r="EE18" s="116"/>
      <c r="EF18" s="116"/>
      <c r="EG18" s="116"/>
      <c r="EH18" s="116"/>
      <c r="EI18" s="116"/>
      <c r="EJ18" s="116"/>
      <c r="EK18" s="116"/>
      <c r="EL18" s="116"/>
      <c r="EM18" s="116"/>
      <c r="EN18" s="116"/>
      <c r="EO18" s="116"/>
      <c r="EP18" s="116"/>
      <c r="EQ18" s="116"/>
      <c r="ER18" s="116"/>
      <c r="ES18" s="116"/>
      <c r="ET18" s="116"/>
      <c r="EU18" s="116"/>
      <c r="EV18" s="116"/>
      <c r="EW18" s="116"/>
      <c r="EX18" s="116"/>
      <c r="EY18" s="116"/>
      <c r="EZ18" s="116"/>
      <c r="FA18" s="116"/>
      <c r="FB18" s="116"/>
      <c r="FC18" s="116"/>
      <c r="FD18" s="116"/>
      <c r="FE18" s="116"/>
      <c r="FF18" s="116"/>
      <c r="FG18" s="116"/>
      <c r="FH18" s="116"/>
      <c r="FI18" s="116"/>
      <c r="FJ18" s="116"/>
      <c r="FK18" s="116"/>
      <c r="FL18" s="116"/>
      <c r="FM18" s="116"/>
      <c r="FN18" s="116"/>
      <c r="FO18" s="116"/>
      <c r="FP18" s="116"/>
      <c r="FQ18" s="116"/>
      <c r="FR18" s="116"/>
      <c r="FS18" s="116"/>
      <c r="FT18" s="116"/>
      <c r="FU18" s="116"/>
      <c r="FV18" s="116"/>
      <c r="FW18" s="116"/>
      <c r="FX18" s="116"/>
      <c r="FY18" s="116"/>
      <c r="FZ18" s="116"/>
      <c r="GA18" s="116"/>
      <c r="GB18" s="116"/>
      <c r="GC18" s="116"/>
      <c r="GD18" s="116"/>
      <c r="GE18" s="116"/>
      <c r="GF18" s="116"/>
      <c r="GG18" s="116"/>
      <c r="GH18" s="116"/>
      <c r="GI18" s="116"/>
      <c r="GJ18" s="116"/>
      <c r="GK18" s="116"/>
      <c r="GL18" s="116"/>
      <c r="GM18" s="116"/>
      <c r="GN18" s="116"/>
      <c r="GO18" s="116"/>
      <c r="GP18" s="116"/>
      <c r="GQ18" s="116"/>
      <c r="GR18" s="116"/>
      <c r="GS18" s="116"/>
      <c r="GT18" s="116"/>
      <c r="GU18" s="116"/>
      <c r="GV18" s="116"/>
      <c r="GW18" s="116"/>
      <c r="GX18" s="116"/>
      <c r="GY18" s="116"/>
      <c r="GZ18" s="116"/>
      <c r="HA18" s="116"/>
      <c r="HB18" s="116"/>
      <c r="HC18" s="116"/>
      <c r="HD18" s="116"/>
      <c r="HE18" s="116"/>
      <c r="HF18" s="116"/>
      <c r="HG18" s="116"/>
      <c r="HH18" s="116"/>
      <c r="HI18" s="116"/>
      <c r="HJ18" s="116"/>
      <c r="HK18" s="116"/>
      <c r="HL18" s="116"/>
      <c r="HM18" s="116"/>
      <c r="HN18" s="116"/>
      <c r="HO18" s="116"/>
      <c r="HP18" s="116"/>
      <c r="HQ18" s="116"/>
      <c r="HR18" s="116"/>
      <c r="HS18" s="116"/>
      <c r="HT18" s="116"/>
      <c r="HU18" s="116"/>
      <c r="HV18" s="116"/>
      <c r="HW18" s="116"/>
      <c r="HX18" s="116"/>
      <c r="HY18" s="116"/>
      <c r="HZ18" s="116"/>
      <c r="IA18" s="116"/>
      <c r="IB18" s="116"/>
      <c r="IC18" s="116"/>
      <c r="ID18" s="116"/>
      <c r="IE18" s="116"/>
      <c r="IF18" s="116"/>
      <c r="IG18" s="116"/>
      <c r="IH18" s="116"/>
      <c r="II18" s="116"/>
      <c r="IJ18" s="116"/>
      <c r="IK18" s="116"/>
      <c r="IL18" s="116"/>
      <c r="IM18" s="116"/>
      <c r="IN18" s="116"/>
      <c r="IO18" s="116"/>
      <c r="IP18" s="116"/>
      <c r="IQ18" s="116"/>
      <c r="IR18" s="116"/>
      <c r="IS18" s="116"/>
      <c r="IT18" s="116"/>
      <c r="IU18" s="116"/>
      <c r="IV18" s="116"/>
      <c r="IW18" s="116"/>
      <c r="IX18" s="116"/>
      <c r="IY18" s="116"/>
      <c r="IZ18" s="116"/>
      <c r="JA18" s="116"/>
      <c r="JB18" s="116"/>
      <c r="JC18" s="116"/>
      <c r="JD18" s="116"/>
      <c r="JE18" s="116"/>
      <c r="JF18" s="116"/>
      <c r="JG18" s="116"/>
      <c r="JH18" s="116"/>
      <c r="JI18" s="116"/>
      <c r="JJ18" s="116"/>
      <c r="JK18" s="116"/>
      <c r="JL18" s="116"/>
      <c r="JM18" s="116"/>
      <c r="JN18" s="116"/>
      <c r="JO18" s="116"/>
      <c r="JP18" s="116"/>
      <c r="JQ18" s="116"/>
      <c r="JR18" s="116"/>
      <c r="JS18" s="116"/>
      <c r="JT18" s="116"/>
      <c r="JU18" s="116"/>
      <c r="JV18" s="116"/>
      <c r="JW18" s="116"/>
      <c r="JX18" s="116"/>
      <c r="JY18" s="116"/>
      <c r="JZ18" s="116"/>
      <c r="KA18" s="116"/>
      <c r="KB18" s="116"/>
      <c r="KC18" s="116"/>
      <c r="KD18" s="116"/>
      <c r="KE18" s="116"/>
      <c r="KF18" s="116"/>
      <c r="KG18" s="116"/>
      <c r="KH18" s="116"/>
      <c r="KI18" s="116"/>
      <c r="KJ18" s="116"/>
    </row>
    <row r="19" spans="1:296" s="5" customFormat="1" x14ac:dyDescent="0.3">
      <c r="A19" s="71" t="str">
        <f>IF('[1]PRODUCTO NACIONAL'!A28&lt;&gt;"",'[1]PRODUCTO NACIONAL'!A28,"")</f>
        <v>M25</v>
      </c>
      <c r="B19" s="72" t="str">
        <f>VLOOKUP(A19,'[1]PRODUCTO NACIONAL'!$A$4:$R$161,6,FALSE)</f>
        <v>ALGODÓN ARUBA PEI AZUL MARINO| COLORES| BLANCO</v>
      </c>
      <c r="C19" s="73">
        <f>IFERROR(HLOOKUP(A19,[4]dimensiones_pdfs!$C$3:$Z$5,3,FALSE),0)</f>
        <v>0</v>
      </c>
      <c r="D19" s="107">
        <f>VLOOKUP(A19,'[1]PRODUCTO NACIONAL'!$A$4:$R$161,18,FALSE)</f>
        <v>4.8341953441295544</v>
      </c>
      <c r="E19" s="5">
        <f t="shared" si="0"/>
        <v>0</v>
      </c>
      <c r="F19" s="22"/>
      <c r="H19"/>
      <c r="I19" s="28"/>
      <c r="J19" s="39"/>
      <c r="K19" s="70"/>
      <c r="L19" s="75"/>
      <c r="M19" s="127"/>
      <c r="N19" s="77"/>
      <c r="O19" s="165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  <c r="DA19" s="116"/>
      <c r="DB19" s="116"/>
      <c r="DC19" s="116"/>
      <c r="DD19" s="116"/>
      <c r="DE19" s="116"/>
      <c r="DF19" s="116"/>
      <c r="DG19" s="116"/>
      <c r="DH19" s="116"/>
      <c r="DI19" s="116"/>
      <c r="DJ19" s="116"/>
      <c r="DK19" s="116"/>
      <c r="DL19" s="116"/>
      <c r="DM19" s="116"/>
      <c r="DN19" s="116"/>
      <c r="DO19" s="116"/>
      <c r="DP19" s="116"/>
      <c r="DQ19" s="116"/>
      <c r="DR19" s="116"/>
      <c r="DS19" s="116"/>
      <c r="DT19" s="116"/>
      <c r="DU19" s="116"/>
      <c r="DV19" s="116"/>
      <c r="DW19" s="116"/>
      <c r="DX19" s="116"/>
      <c r="DY19" s="116"/>
      <c r="DZ19" s="116"/>
      <c r="EA19" s="116"/>
      <c r="EB19" s="116"/>
      <c r="EC19" s="116"/>
      <c r="ED19" s="116"/>
      <c r="EE19" s="116"/>
      <c r="EF19" s="116"/>
      <c r="EG19" s="116"/>
      <c r="EH19" s="116"/>
      <c r="EI19" s="116"/>
      <c r="EJ19" s="116"/>
      <c r="EK19" s="116"/>
      <c r="EL19" s="116"/>
      <c r="EM19" s="116"/>
      <c r="EN19" s="116"/>
      <c r="EO19" s="116"/>
      <c r="EP19" s="116"/>
      <c r="EQ19" s="116"/>
      <c r="ER19" s="116"/>
      <c r="ES19" s="116"/>
      <c r="ET19" s="116"/>
      <c r="EU19" s="116"/>
      <c r="EV19" s="116"/>
      <c r="EW19" s="116"/>
      <c r="EX19" s="116"/>
      <c r="EY19" s="116"/>
      <c r="EZ19" s="116"/>
      <c r="FA19" s="116"/>
      <c r="FB19" s="116"/>
      <c r="FC19" s="116"/>
      <c r="FD19" s="116"/>
      <c r="FE19" s="116"/>
      <c r="FF19" s="116"/>
      <c r="FG19" s="116"/>
      <c r="FH19" s="116"/>
      <c r="FI19" s="116"/>
      <c r="FJ19" s="116"/>
      <c r="FK19" s="116"/>
      <c r="FL19" s="116"/>
      <c r="FM19" s="116"/>
      <c r="FN19" s="116"/>
      <c r="FO19" s="116"/>
      <c r="FP19" s="116"/>
      <c r="FQ19" s="116"/>
      <c r="FR19" s="116"/>
      <c r="FS19" s="116"/>
      <c r="FT19" s="116"/>
      <c r="FU19" s="116"/>
      <c r="FV19" s="116"/>
      <c r="FW19" s="116"/>
      <c r="FX19" s="116"/>
      <c r="FY19" s="116"/>
      <c r="FZ19" s="116"/>
      <c r="GA19" s="116"/>
      <c r="GB19" s="116"/>
      <c r="GC19" s="116"/>
      <c r="GD19" s="116"/>
      <c r="GE19" s="116"/>
      <c r="GF19" s="116"/>
      <c r="GG19" s="116"/>
      <c r="GH19" s="116"/>
      <c r="GI19" s="116"/>
      <c r="GJ19" s="116"/>
      <c r="GK19" s="116"/>
      <c r="GL19" s="116"/>
      <c r="GM19" s="116"/>
      <c r="GN19" s="116"/>
      <c r="GO19" s="116"/>
      <c r="GP19" s="116"/>
      <c r="GQ19" s="116"/>
      <c r="GR19" s="116"/>
      <c r="GS19" s="116"/>
      <c r="GT19" s="116"/>
      <c r="GU19" s="116"/>
      <c r="GV19" s="116"/>
      <c r="GW19" s="116"/>
      <c r="GX19" s="116"/>
      <c r="GY19" s="116"/>
      <c r="GZ19" s="116"/>
      <c r="HA19" s="116"/>
      <c r="HB19" s="116"/>
      <c r="HC19" s="116"/>
      <c r="HD19" s="116"/>
      <c r="HE19" s="116"/>
      <c r="HF19" s="116"/>
      <c r="HG19" s="116"/>
      <c r="HH19" s="116"/>
      <c r="HI19" s="116"/>
      <c r="HJ19" s="116"/>
      <c r="HK19" s="116"/>
      <c r="HL19" s="116"/>
      <c r="HM19" s="116"/>
      <c r="HN19" s="116"/>
      <c r="HO19" s="116"/>
      <c r="HP19" s="116"/>
      <c r="HQ19" s="116"/>
      <c r="HR19" s="116"/>
      <c r="HS19" s="116"/>
      <c r="HT19" s="116"/>
      <c r="HU19" s="116"/>
      <c r="HV19" s="116"/>
      <c r="HW19" s="116"/>
      <c r="HX19" s="116"/>
      <c r="HY19" s="116"/>
      <c r="HZ19" s="116"/>
      <c r="IA19" s="116"/>
      <c r="IB19" s="116"/>
      <c r="IC19" s="116"/>
      <c r="ID19" s="116"/>
      <c r="IE19" s="116"/>
      <c r="IF19" s="116"/>
      <c r="IG19" s="116"/>
      <c r="IH19" s="116"/>
      <c r="II19" s="116"/>
      <c r="IJ19" s="116"/>
      <c r="IK19" s="116"/>
      <c r="IL19" s="116"/>
      <c r="IM19" s="116"/>
      <c r="IN19" s="116"/>
      <c r="IO19" s="116"/>
      <c r="IP19" s="116"/>
      <c r="IQ19" s="116"/>
      <c r="IR19" s="116"/>
      <c r="IS19" s="116"/>
      <c r="IT19" s="116"/>
      <c r="IU19" s="116"/>
      <c r="IV19" s="116"/>
      <c r="IW19" s="116"/>
      <c r="IX19" s="116"/>
      <c r="IY19" s="116"/>
      <c r="IZ19" s="116"/>
      <c r="JA19" s="116"/>
      <c r="JB19" s="116"/>
      <c r="JC19" s="116"/>
      <c r="JD19" s="116"/>
      <c r="JE19" s="116"/>
      <c r="JF19" s="116"/>
      <c r="JG19" s="116"/>
      <c r="JH19" s="116"/>
      <c r="JI19" s="116"/>
      <c r="JJ19" s="116"/>
      <c r="JK19" s="116"/>
      <c r="JL19" s="116"/>
      <c r="JM19" s="116"/>
      <c r="JN19" s="116"/>
      <c r="JO19" s="116"/>
      <c r="JP19" s="116"/>
      <c r="JQ19" s="116"/>
      <c r="JR19" s="116"/>
      <c r="JS19" s="116"/>
      <c r="JT19" s="116"/>
      <c r="JU19" s="116"/>
      <c r="JV19" s="116"/>
      <c r="JW19" s="116"/>
      <c r="JX19" s="116"/>
      <c r="JY19" s="116"/>
      <c r="JZ19" s="116"/>
      <c r="KA19" s="116"/>
      <c r="KB19" s="116"/>
      <c r="KC19" s="116"/>
      <c r="KD19" s="116"/>
      <c r="KE19" s="116"/>
      <c r="KF19" s="116"/>
      <c r="KG19" s="116"/>
      <c r="KH19" s="116"/>
      <c r="KI19" s="116"/>
      <c r="KJ19" s="116"/>
    </row>
    <row r="20" spans="1:296" s="5" customFormat="1" x14ac:dyDescent="0.3">
      <c r="A20" s="71" t="s">
        <v>104</v>
      </c>
      <c r="B20" s="72" t="str">
        <f>VLOOKUP(A20,'[1]PRODUCTO NACIONAL'!$A$4:$R$161,6,FALSE)</f>
        <v>INTERLOCK 40 SPUN 1.2 BLANCO FROZEN</v>
      </c>
      <c r="C20" s="73">
        <f>IFERROR(HLOOKUP(A20,[4]dimensiones_pdfs!$C$3:$Z$5,3,FALSE),0)</f>
        <v>0</v>
      </c>
      <c r="D20" s="107">
        <f>VLOOKUP(A20,'[1]PRODUCTO NACIONAL'!$A$4:$R$161,18,FALSE)</f>
        <v>4.2071436915887848</v>
      </c>
      <c r="E20" s="5">
        <f t="shared" si="0"/>
        <v>0</v>
      </c>
      <c r="F20" s="22"/>
      <c r="H20"/>
      <c r="I20" s="28"/>
      <c r="J20" s="39"/>
      <c r="K20" s="70"/>
      <c r="L20" s="75"/>
      <c r="M20" s="127"/>
      <c r="N20" s="77"/>
      <c r="O20" s="165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6"/>
      <c r="DU20" s="116"/>
      <c r="DV20" s="116"/>
      <c r="DW20" s="116"/>
      <c r="DX20" s="116"/>
      <c r="DY20" s="116"/>
      <c r="DZ20" s="116"/>
      <c r="EA20" s="116"/>
      <c r="EB20" s="116"/>
      <c r="EC20" s="116"/>
      <c r="ED20" s="116"/>
      <c r="EE20" s="116"/>
      <c r="EF20" s="116"/>
      <c r="EG20" s="116"/>
      <c r="EH20" s="116"/>
      <c r="EI20" s="116"/>
      <c r="EJ20" s="116"/>
      <c r="EK20" s="116"/>
      <c r="EL20" s="116"/>
      <c r="EM20" s="116"/>
      <c r="EN20" s="116"/>
      <c r="EO20" s="116"/>
      <c r="EP20" s="116"/>
      <c r="EQ20" s="116"/>
      <c r="ER20" s="116"/>
      <c r="ES20" s="116"/>
      <c r="ET20" s="116"/>
      <c r="EU20" s="116"/>
      <c r="EV20" s="116"/>
      <c r="EW20" s="116"/>
      <c r="EX20" s="116"/>
      <c r="EY20" s="116"/>
      <c r="EZ20" s="116"/>
      <c r="FA20" s="116"/>
      <c r="FB20" s="116"/>
      <c r="FC20" s="116"/>
      <c r="FD20" s="116"/>
      <c r="FE20" s="116"/>
      <c r="FF20" s="116"/>
      <c r="FG20" s="116"/>
      <c r="FH20" s="116"/>
      <c r="FI20" s="116"/>
      <c r="FJ20" s="116"/>
      <c r="FK20" s="116"/>
      <c r="FL20" s="116"/>
      <c r="FM20" s="116"/>
      <c r="FN20" s="116"/>
      <c r="FO20" s="116"/>
      <c r="FP20" s="116"/>
      <c r="FQ20" s="116"/>
      <c r="FR20" s="116"/>
      <c r="FS20" s="116"/>
      <c r="FT20" s="116"/>
      <c r="FU20" s="116"/>
      <c r="FV20" s="116"/>
      <c r="FW20" s="116"/>
      <c r="FX20" s="116"/>
      <c r="FY20" s="116"/>
      <c r="FZ20" s="116"/>
      <c r="GA20" s="116"/>
      <c r="GB20" s="116"/>
      <c r="GC20" s="116"/>
      <c r="GD20" s="116"/>
      <c r="GE20" s="116"/>
      <c r="GF20" s="116"/>
      <c r="GG20" s="116"/>
      <c r="GH20" s="116"/>
      <c r="GI20" s="116"/>
      <c r="GJ20" s="116"/>
      <c r="GK20" s="116"/>
      <c r="GL20" s="116"/>
      <c r="GM20" s="116"/>
      <c r="GN20" s="116"/>
      <c r="GO20" s="116"/>
      <c r="GP20" s="116"/>
      <c r="GQ20" s="116"/>
      <c r="GR20" s="116"/>
      <c r="GS20" s="116"/>
      <c r="GT20" s="116"/>
      <c r="GU20" s="116"/>
      <c r="GV20" s="116"/>
      <c r="GW20" s="116"/>
      <c r="GX20" s="116"/>
      <c r="GY20" s="116"/>
      <c r="GZ20" s="116"/>
      <c r="HA20" s="116"/>
      <c r="HB20" s="116"/>
      <c r="HC20" s="116"/>
      <c r="HD20" s="116"/>
      <c r="HE20" s="116"/>
      <c r="HF20" s="116"/>
      <c r="HG20" s="116"/>
      <c r="HH20" s="116"/>
      <c r="HI20" s="116"/>
      <c r="HJ20" s="116"/>
      <c r="HK20" s="116"/>
      <c r="HL20" s="116"/>
      <c r="HM20" s="116"/>
      <c r="HN20" s="116"/>
      <c r="HO20" s="116"/>
      <c r="HP20" s="116"/>
      <c r="HQ20" s="116"/>
      <c r="HR20" s="116"/>
      <c r="HS20" s="116"/>
      <c r="HT20" s="116"/>
      <c r="HU20" s="116"/>
      <c r="HV20" s="116"/>
      <c r="HW20" s="116"/>
      <c r="HX20" s="116"/>
      <c r="HY20" s="116"/>
      <c r="HZ20" s="116"/>
      <c r="IA20" s="116"/>
      <c r="IB20" s="116"/>
      <c r="IC20" s="116"/>
      <c r="ID20" s="116"/>
      <c r="IE20" s="116"/>
      <c r="IF20" s="116"/>
      <c r="IG20" s="116"/>
      <c r="IH20" s="116"/>
      <c r="II20" s="116"/>
      <c r="IJ20" s="116"/>
      <c r="IK20" s="116"/>
      <c r="IL20" s="116"/>
      <c r="IM20" s="116"/>
      <c r="IN20" s="116"/>
      <c r="IO20" s="116"/>
      <c r="IP20" s="116"/>
      <c r="IQ20" s="116"/>
      <c r="IR20" s="116"/>
      <c r="IS20" s="116"/>
      <c r="IT20" s="116"/>
      <c r="IU20" s="116"/>
      <c r="IV20" s="116"/>
      <c r="IW20" s="116"/>
      <c r="IX20" s="116"/>
      <c r="IY20" s="116"/>
      <c r="IZ20" s="116"/>
      <c r="JA20" s="116"/>
      <c r="JB20" s="116"/>
      <c r="JC20" s="116"/>
      <c r="JD20" s="116"/>
      <c r="JE20" s="116"/>
      <c r="JF20" s="116"/>
      <c r="JG20" s="116"/>
      <c r="JH20" s="116"/>
      <c r="JI20" s="116"/>
      <c r="JJ20" s="116"/>
      <c r="JK20" s="116"/>
      <c r="JL20" s="116"/>
      <c r="JM20" s="116"/>
      <c r="JN20" s="116"/>
      <c r="JO20" s="116"/>
      <c r="JP20" s="116"/>
      <c r="JQ20" s="116"/>
      <c r="JR20" s="116"/>
      <c r="JS20" s="116"/>
      <c r="JT20" s="116"/>
      <c r="JU20" s="116"/>
      <c r="JV20" s="116"/>
      <c r="JW20" s="116"/>
      <c r="JX20" s="116"/>
      <c r="JY20" s="116"/>
      <c r="JZ20" s="116"/>
      <c r="KA20" s="116"/>
      <c r="KB20" s="116"/>
      <c r="KC20" s="116"/>
      <c r="KD20" s="116"/>
      <c r="KE20" s="116"/>
      <c r="KF20" s="116"/>
      <c r="KG20" s="116"/>
      <c r="KH20" s="116"/>
      <c r="KI20" s="116"/>
      <c r="KJ20" s="116"/>
    </row>
    <row r="21" spans="1:296" s="5" customFormat="1" x14ac:dyDescent="0.3">
      <c r="A21" s="71" t="str">
        <f>IF('[1]PRODUCTO NACIONAL'!A61&lt;&gt;"",'[1]PRODUCTO NACIONAL'!A61,"")</f>
        <v>M58</v>
      </c>
      <c r="B21" s="72" t="str">
        <f>VLOOKUP(A21,'[1]PRODUCTO NACIONAL'!$A$4:$R$161,6,FALSE)</f>
        <v>PIKE LACOAST 20 PEI CELESTE| CLARO</v>
      </c>
      <c r="C21" s="73">
        <f>IFERROR(HLOOKUP(A21,[4]dimensiones_pdfs!$C$3:$Z$5,3,FALSE),0)</f>
        <v>0</v>
      </c>
      <c r="D21" s="107">
        <f>VLOOKUP(A21,'[1]PRODUCTO NACIONAL'!$A$4:$R$161,18,FALSE)</f>
        <v>4.9711999999999987</v>
      </c>
      <c r="E21" s="5">
        <f t="shared" si="0"/>
        <v>0</v>
      </c>
      <c r="F21" s="22"/>
      <c r="H21"/>
      <c r="I21" s="28"/>
      <c r="J21" s="39"/>
      <c r="K21" s="70"/>
      <c r="L21" s="75"/>
      <c r="M21" s="127"/>
      <c r="N21" s="77"/>
      <c r="O21" s="165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  <c r="DM21" s="116"/>
      <c r="DN21" s="116"/>
      <c r="DO21" s="116"/>
      <c r="DP21" s="116"/>
      <c r="DQ21" s="116"/>
      <c r="DR21" s="116"/>
      <c r="DS21" s="116"/>
      <c r="DT21" s="116"/>
      <c r="DU21" s="116"/>
      <c r="DV21" s="116"/>
      <c r="DW21" s="116"/>
      <c r="DX21" s="116"/>
      <c r="DY21" s="116"/>
      <c r="DZ21" s="116"/>
      <c r="EA21" s="116"/>
      <c r="EB21" s="116"/>
      <c r="EC21" s="116"/>
      <c r="ED21" s="116"/>
      <c r="EE21" s="116"/>
      <c r="EF21" s="116"/>
      <c r="EG21" s="116"/>
      <c r="EH21" s="116"/>
      <c r="EI21" s="116"/>
      <c r="EJ21" s="116"/>
      <c r="EK21" s="116"/>
      <c r="EL21" s="116"/>
      <c r="EM21" s="116"/>
      <c r="EN21" s="116"/>
      <c r="EO21" s="116"/>
      <c r="EP21" s="116"/>
      <c r="EQ21" s="116"/>
      <c r="ER21" s="116"/>
      <c r="ES21" s="116"/>
      <c r="ET21" s="116"/>
      <c r="EU21" s="116"/>
      <c r="EV21" s="116"/>
      <c r="EW21" s="116"/>
      <c r="EX21" s="116"/>
      <c r="EY21" s="116"/>
      <c r="EZ21" s="116"/>
      <c r="FA21" s="116"/>
      <c r="FB21" s="116"/>
      <c r="FC21" s="116"/>
      <c r="FD21" s="116"/>
      <c r="FE21" s="116"/>
      <c r="FF21" s="116"/>
      <c r="FG21" s="116"/>
      <c r="FH21" s="116"/>
      <c r="FI21" s="116"/>
      <c r="FJ21" s="116"/>
      <c r="FK21" s="116"/>
      <c r="FL21" s="116"/>
      <c r="FM21" s="116"/>
      <c r="FN21" s="116"/>
      <c r="FO21" s="116"/>
      <c r="FP21" s="116"/>
      <c r="FQ21" s="116"/>
      <c r="FR21" s="116"/>
      <c r="FS21" s="116"/>
      <c r="FT21" s="116"/>
      <c r="FU21" s="116"/>
      <c r="FV21" s="116"/>
      <c r="FW21" s="116"/>
      <c r="FX21" s="116"/>
      <c r="FY21" s="116"/>
      <c r="FZ21" s="116"/>
      <c r="GA21" s="116"/>
      <c r="GB21" s="116"/>
      <c r="GC21" s="116"/>
      <c r="GD21" s="116"/>
      <c r="GE21" s="116"/>
      <c r="GF21" s="116"/>
      <c r="GG21" s="116"/>
      <c r="GH21" s="116"/>
      <c r="GI21" s="116"/>
      <c r="GJ21" s="116"/>
      <c r="GK21" s="116"/>
      <c r="GL21" s="116"/>
      <c r="GM21" s="116"/>
      <c r="GN21" s="116"/>
      <c r="GO21" s="116"/>
      <c r="GP21" s="116"/>
      <c r="GQ21" s="116"/>
      <c r="GR21" s="116"/>
      <c r="GS21" s="116"/>
      <c r="GT21" s="116"/>
      <c r="GU21" s="116"/>
      <c r="GV21" s="116"/>
      <c r="GW21" s="116"/>
      <c r="GX21" s="116"/>
      <c r="GY21" s="116"/>
      <c r="GZ21" s="116"/>
      <c r="HA21" s="116"/>
      <c r="HB21" s="116"/>
      <c r="HC21" s="116"/>
      <c r="HD21" s="116"/>
      <c r="HE21" s="116"/>
      <c r="HF21" s="116"/>
      <c r="HG21" s="116"/>
      <c r="HH21" s="116"/>
      <c r="HI21" s="116"/>
      <c r="HJ21" s="116"/>
      <c r="HK21" s="116"/>
      <c r="HL21" s="116"/>
      <c r="HM21" s="116"/>
      <c r="HN21" s="116"/>
      <c r="HO21" s="116"/>
      <c r="HP21" s="116"/>
      <c r="HQ21" s="116"/>
      <c r="HR21" s="116"/>
      <c r="HS21" s="116"/>
      <c r="HT21" s="116"/>
      <c r="HU21" s="116"/>
      <c r="HV21" s="116"/>
      <c r="HW21" s="116"/>
      <c r="HX21" s="116"/>
      <c r="HY21" s="116"/>
      <c r="HZ21" s="116"/>
      <c r="IA21" s="116"/>
      <c r="IB21" s="116"/>
      <c r="IC21" s="116"/>
      <c r="ID21" s="116"/>
      <c r="IE21" s="116"/>
      <c r="IF21" s="116"/>
      <c r="IG21" s="116"/>
      <c r="IH21" s="116"/>
      <c r="II21" s="116"/>
      <c r="IJ21" s="116"/>
      <c r="IK21" s="116"/>
      <c r="IL21" s="116"/>
      <c r="IM21" s="116"/>
      <c r="IN21" s="116"/>
      <c r="IO21" s="116"/>
      <c r="IP21" s="116"/>
      <c r="IQ21" s="116"/>
      <c r="IR21" s="116"/>
      <c r="IS21" s="116"/>
      <c r="IT21" s="116"/>
      <c r="IU21" s="116"/>
      <c r="IV21" s="116"/>
      <c r="IW21" s="116"/>
      <c r="IX21" s="116"/>
      <c r="IY21" s="116"/>
      <c r="IZ21" s="116"/>
      <c r="JA21" s="116"/>
      <c r="JB21" s="116"/>
      <c r="JC21" s="116"/>
      <c r="JD21" s="116"/>
      <c r="JE21" s="116"/>
      <c r="JF21" s="116"/>
      <c r="JG21" s="116"/>
      <c r="JH21" s="116"/>
      <c r="JI21" s="116"/>
      <c r="JJ21" s="116"/>
      <c r="JK21" s="116"/>
      <c r="JL21" s="116"/>
      <c r="JM21" s="116"/>
      <c r="JN21" s="116"/>
      <c r="JO21" s="116"/>
      <c r="JP21" s="116"/>
      <c r="JQ21" s="116"/>
      <c r="JR21" s="116"/>
      <c r="JS21" s="116"/>
      <c r="JT21" s="116"/>
      <c r="JU21" s="116"/>
      <c r="JV21" s="116"/>
      <c r="JW21" s="116"/>
      <c r="JX21" s="116"/>
      <c r="JY21" s="116"/>
      <c r="JZ21" s="116"/>
      <c r="KA21" s="116"/>
      <c r="KB21" s="116"/>
      <c r="KC21" s="116"/>
      <c r="KD21" s="116"/>
      <c r="KE21" s="116"/>
      <c r="KF21" s="116"/>
      <c r="KG21" s="116"/>
      <c r="KH21" s="116"/>
      <c r="KI21" s="116"/>
      <c r="KJ21" s="116"/>
    </row>
    <row r="22" spans="1:296" s="5" customFormat="1" x14ac:dyDescent="0.3">
      <c r="A22" s="71" t="str">
        <f>IF('[1]PRODUCTO NACIONAL'!A62&lt;&gt;"",'[1]PRODUCTO NACIONAL'!A62,"")</f>
        <v>M59</v>
      </c>
      <c r="B22" s="72" t="str">
        <f>VLOOKUP(A22,'[1]PRODUCTO NACIONAL'!$A$4:$R$161,6,FALSE)</f>
        <v>PIKE LACOAST 20 PEI AZUL MARINO| OSCURO</v>
      </c>
      <c r="C22" s="73">
        <f>IFERROR(HLOOKUP(A22,[4]dimensiones_pdfs!$C$3:$Z$5,3,FALSE),0)</f>
        <v>0</v>
      </c>
      <c r="D22" s="107">
        <f>VLOOKUP(A22,'[1]PRODUCTO NACIONAL'!$A$4:$R$161,18,FALSE)</f>
        <v>5.5618400000000001</v>
      </c>
      <c r="E22" s="5">
        <f t="shared" si="0"/>
        <v>0</v>
      </c>
      <c r="F22" s="7"/>
      <c r="H22"/>
      <c r="I22" s="28"/>
      <c r="J22" s="39"/>
      <c r="K22" s="70"/>
      <c r="L22" s="75"/>
      <c r="M22" s="127"/>
      <c r="N22" s="77"/>
      <c r="O22" s="165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  <c r="DT22" s="116"/>
      <c r="DU22" s="116"/>
      <c r="DV22" s="116"/>
      <c r="DW22" s="116"/>
      <c r="DX22" s="116"/>
      <c r="DY22" s="116"/>
      <c r="DZ22" s="116"/>
      <c r="EA22" s="116"/>
      <c r="EB22" s="116"/>
      <c r="EC22" s="116"/>
      <c r="ED22" s="116"/>
      <c r="EE22" s="116"/>
      <c r="EF22" s="116"/>
      <c r="EG22" s="116"/>
      <c r="EH22" s="116"/>
      <c r="EI22" s="116"/>
      <c r="EJ22" s="116"/>
      <c r="EK22" s="116"/>
      <c r="EL22" s="116"/>
      <c r="EM22" s="116"/>
      <c r="EN22" s="116"/>
      <c r="EO22" s="116"/>
      <c r="EP22" s="116"/>
      <c r="EQ22" s="116"/>
      <c r="ER22" s="116"/>
      <c r="ES22" s="116"/>
      <c r="ET22" s="116"/>
      <c r="EU22" s="116"/>
      <c r="EV22" s="116"/>
      <c r="EW22" s="116"/>
      <c r="EX22" s="116"/>
      <c r="EY22" s="116"/>
      <c r="EZ22" s="116"/>
      <c r="FA22" s="116"/>
      <c r="FB22" s="116"/>
      <c r="FC22" s="116"/>
      <c r="FD22" s="116"/>
      <c r="FE22" s="116"/>
      <c r="FF22" s="116"/>
      <c r="FG22" s="116"/>
      <c r="FH22" s="116"/>
      <c r="FI22" s="116"/>
      <c r="FJ22" s="116"/>
      <c r="FK22" s="116"/>
      <c r="FL22" s="116"/>
      <c r="FM22" s="116"/>
      <c r="FN22" s="116"/>
      <c r="FO22" s="116"/>
      <c r="FP22" s="116"/>
      <c r="FQ22" s="116"/>
      <c r="FR22" s="116"/>
      <c r="FS22" s="116"/>
      <c r="FT22" s="116"/>
      <c r="FU22" s="116"/>
      <c r="FV22" s="116"/>
      <c r="FW22" s="116"/>
      <c r="FX22" s="116"/>
      <c r="FY22" s="116"/>
      <c r="FZ22" s="116"/>
      <c r="GA22" s="116"/>
      <c r="GB22" s="116"/>
      <c r="GC22" s="116"/>
      <c r="GD22" s="116"/>
      <c r="GE22" s="116"/>
      <c r="GF22" s="116"/>
      <c r="GG22" s="116"/>
      <c r="GH22" s="116"/>
      <c r="GI22" s="116"/>
      <c r="GJ22" s="116"/>
      <c r="GK22" s="116"/>
      <c r="GL22" s="116"/>
      <c r="GM22" s="116"/>
      <c r="GN22" s="116"/>
      <c r="GO22" s="116"/>
      <c r="GP22" s="116"/>
      <c r="GQ22" s="116"/>
      <c r="GR22" s="116"/>
      <c r="GS22" s="116"/>
      <c r="GT22" s="116"/>
      <c r="GU22" s="116"/>
      <c r="GV22" s="116"/>
      <c r="GW22" s="116"/>
      <c r="GX22" s="116"/>
      <c r="GY22" s="116"/>
      <c r="GZ22" s="116"/>
      <c r="HA22" s="116"/>
      <c r="HB22" s="116"/>
      <c r="HC22" s="116"/>
      <c r="HD22" s="116"/>
      <c r="HE22" s="116"/>
      <c r="HF22" s="116"/>
      <c r="HG22" s="116"/>
      <c r="HH22" s="116"/>
      <c r="HI22" s="116"/>
      <c r="HJ22" s="116"/>
      <c r="HK22" s="116"/>
      <c r="HL22" s="116"/>
      <c r="HM22" s="116"/>
      <c r="HN22" s="116"/>
      <c r="HO22" s="116"/>
      <c r="HP22" s="116"/>
      <c r="HQ22" s="116"/>
      <c r="HR22" s="116"/>
      <c r="HS22" s="116"/>
      <c r="HT22" s="116"/>
      <c r="HU22" s="116"/>
      <c r="HV22" s="116"/>
      <c r="HW22" s="116"/>
      <c r="HX22" s="116"/>
      <c r="HY22" s="116"/>
      <c r="HZ22" s="116"/>
      <c r="IA22" s="116"/>
      <c r="IB22" s="116"/>
      <c r="IC22" s="116"/>
      <c r="ID22" s="116"/>
      <c r="IE22" s="116"/>
      <c r="IF22" s="116"/>
      <c r="IG22" s="116"/>
      <c r="IH22" s="116"/>
      <c r="II22" s="116"/>
      <c r="IJ22" s="116"/>
      <c r="IK22" s="116"/>
      <c r="IL22" s="116"/>
      <c r="IM22" s="116"/>
      <c r="IN22" s="116"/>
      <c r="IO22" s="116"/>
      <c r="IP22" s="116"/>
      <c r="IQ22" s="116"/>
      <c r="IR22" s="116"/>
      <c r="IS22" s="116"/>
      <c r="IT22" s="116"/>
      <c r="IU22" s="116"/>
      <c r="IV22" s="116"/>
      <c r="IW22" s="116"/>
      <c r="IX22" s="116"/>
      <c r="IY22" s="116"/>
      <c r="IZ22" s="116"/>
      <c r="JA22" s="116"/>
      <c r="JB22" s="116"/>
      <c r="JC22" s="116"/>
      <c r="JD22" s="116"/>
      <c r="JE22" s="116"/>
      <c r="JF22" s="116"/>
      <c r="JG22" s="116"/>
      <c r="JH22" s="116"/>
      <c r="JI22" s="116"/>
      <c r="JJ22" s="116"/>
      <c r="JK22" s="116"/>
      <c r="JL22" s="116"/>
      <c r="JM22" s="116"/>
      <c r="JN22" s="116"/>
      <c r="JO22" s="116"/>
      <c r="JP22" s="116"/>
      <c r="JQ22" s="116"/>
      <c r="JR22" s="116"/>
      <c r="JS22" s="116"/>
      <c r="JT22" s="116"/>
      <c r="JU22" s="116"/>
      <c r="JV22" s="116"/>
      <c r="JW22" s="116"/>
      <c r="JX22" s="116"/>
      <c r="JY22" s="116"/>
      <c r="JZ22" s="116"/>
      <c r="KA22" s="116"/>
      <c r="KB22" s="116"/>
      <c r="KC22" s="116"/>
      <c r="KD22" s="116"/>
      <c r="KE22" s="116"/>
      <c r="KF22" s="116"/>
      <c r="KG22" s="116"/>
      <c r="KH22" s="116"/>
      <c r="KI22" s="116"/>
      <c r="KJ22" s="116"/>
    </row>
    <row r="23" spans="1:296" s="5" customFormat="1" x14ac:dyDescent="0.3">
      <c r="A23" s="71" t="str">
        <f>IF('[1]PRODUCTO NACIONAL'!A21&lt;&gt;"",'[1]PRODUCTO NACIONAL'!A21,"")</f>
        <v>M18</v>
      </c>
      <c r="B23" s="72" t="str">
        <f>VLOOKUP(A23,'[1]PRODUCTO NACIONAL'!$A$4:$R$161,6,FALSE)</f>
        <v>RIBB 150TEX COLORES| POLIESTER</v>
      </c>
      <c r="C23" s="73">
        <f>IFERROR(HLOOKUP(A23,[4]dimensiones_pdfs!$C$3:$Z$5,3,FALSE),0)</f>
        <v>0.11478549164273061</v>
      </c>
      <c r="D23" s="107">
        <f>VLOOKUP(A23,'[1]PRODUCTO NACIONAL'!$A$4:$R$161,18,FALSE)</f>
        <v>2.1063822222222219</v>
      </c>
      <c r="E23" s="5">
        <f t="shared" si="0"/>
        <v>-0.24178211896528518</v>
      </c>
      <c r="F23" s="22"/>
      <c r="G23" s="15"/>
      <c r="H23"/>
      <c r="I23" s="28"/>
      <c r="J23" s="39"/>
      <c r="K23" s="70"/>
      <c r="L23" s="75"/>
      <c r="M23" s="127"/>
      <c r="N23" s="77"/>
      <c r="O23" s="165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  <c r="CF23" s="116"/>
      <c r="CG23" s="116"/>
      <c r="CH23" s="116"/>
      <c r="CI23" s="116"/>
      <c r="CJ23" s="116"/>
      <c r="CK23" s="116"/>
      <c r="CL23" s="116"/>
      <c r="CM23" s="116"/>
      <c r="CN23" s="116"/>
      <c r="CO23" s="116"/>
      <c r="CP23" s="116"/>
      <c r="CQ23" s="116"/>
      <c r="CR23" s="116"/>
      <c r="CS23" s="116"/>
      <c r="CT23" s="116"/>
      <c r="CU23" s="116"/>
      <c r="CV23" s="116"/>
      <c r="CW23" s="116"/>
      <c r="CX23" s="116"/>
      <c r="CY23" s="116"/>
      <c r="CZ23" s="116"/>
      <c r="DA23" s="116"/>
      <c r="DB23" s="116"/>
      <c r="DC23" s="116"/>
      <c r="DD23" s="116"/>
      <c r="DE23" s="116"/>
      <c r="DF23" s="116"/>
      <c r="DG23" s="116"/>
      <c r="DH23" s="116"/>
      <c r="DI23" s="116"/>
      <c r="DJ23" s="116"/>
      <c r="DK23" s="116"/>
      <c r="DL23" s="116"/>
      <c r="DM23" s="116"/>
      <c r="DN23" s="116"/>
      <c r="DO23" s="116"/>
      <c r="DP23" s="116"/>
      <c r="DQ23" s="116"/>
      <c r="DR23" s="116"/>
      <c r="DS23" s="116"/>
      <c r="DT23" s="116"/>
      <c r="DU23" s="116"/>
      <c r="DV23" s="116"/>
      <c r="DW23" s="116"/>
      <c r="DX23" s="116"/>
      <c r="DY23" s="116"/>
      <c r="DZ23" s="116"/>
      <c r="EA23" s="116"/>
      <c r="EB23" s="116"/>
      <c r="EC23" s="116"/>
      <c r="ED23" s="116"/>
      <c r="EE23" s="116"/>
      <c r="EF23" s="116"/>
      <c r="EG23" s="116"/>
      <c r="EH23" s="116"/>
      <c r="EI23" s="116"/>
      <c r="EJ23" s="116"/>
      <c r="EK23" s="116"/>
      <c r="EL23" s="116"/>
      <c r="EM23" s="116"/>
      <c r="EN23" s="116"/>
      <c r="EO23" s="116"/>
      <c r="EP23" s="116"/>
      <c r="EQ23" s="116"/>
      <c r="ER23" s="116"/>
      <c r="ES23" s="116"/>
      <c r="ET23" s="116"/>
      <c r="EU23" s="116"/>
      <c r="EV23" s="116"/>
      <c r="EW23" s="116"/>
      <c r="EX23" s="116"/>
      <c r="EY23" s="116"/>
      <c r="EZ23" s="116"/>
      <c r="FA23" s="116"/>
      <c r="FB23" s="116"/>
      <c r="FC23" s="116"/>
      <c r="FD23" s="116"/>
      <c r="FE23" s="116"/>
      <c r="FF23" s="116"/>
      <c r="FG23" s="116"/>
      <c r="FH23" s="116"/>
      <c r="FI23" s="116"/>
      <c r="FJ23" s="116"/>
      <c r="FK23" s="116"/>
      <c r="FL23" s="116"/>
      <c r="FM23" s="116"/>
      <c r="FN23" s="116"/>
      <c r="FO23" s="116"/>
      <c r="FP23" s="116"/>
      <c r="FQ23" s="116"/>
      <c r="FR23" s="116"/>
      <c r="FS23" s="116"/>
      <c r="FT23" s="116"/>
      <c r="FU23" s="116"/>
      <c r="FV23" s="116"/>
      <c r="FW23" s="116"/>
      <c r="FX23" s="116"/>
      <c r="FY23" s="116"/>
      <c r="FZ23" s="116"/>
      <c r="GA23" s="116"/>
      <c r="GB23" s="116"/>
      <c r="GC23" s="116"/>
      <c r="GD23" s="116"/>
      <c r="GE23" s="116"/>
      <c r="GF23" s="116"/>
      <c r="GG23" s="116"/>
      <c r="GH23" s="116"/>
      <c r="GI23" s="116"/>
      <c r="GJ23" s="116"/>
      <c r="GK23" s="116"/>
      <c r="GL23" s="116"/>
      <c r="GM23" s="116"/>
      <c r="GN23" s="116"/>
      <c r="GO23" s="116"/>
      <c r="GP23" s="116"/>
      <c r="GQ23" s="116"/>
      <c r="GR23" s="116"/>
      <c r="GS23" s="116"/>
      <c r="GT23" s="116"/>
      <c r="GU23" s="116"/>
      <c r="GV23" s="116"/>
      <c r="GW23" s="116"/>
      <c r="GX23" s="116"/>
      <c r="GY23" s="116"/>
      <c r="GZ23" s="116"/>
      <c r="HA23" s="116"/>
      <c r="HB23" s="116"/>
      <c r="HC23" s="116"/>
      <c r="HD23" s="116"/>
      <c r="HE23" s="116"/>
      <c r="HF23" s="116"/>
      <c r="HG23" s="116"/>
      <c r="HH23" s="116"/>
      <c r="HI23" s="116"/>
      <c r="HJ23" s="116"/>
      <c r="HK23" s="116"/>
      <c r="HL23" s="116"/>
      <c r="HM23" s="116"/>
      <c r="HN23" s="116"/>
      <c r="HO23" s="116"/>
      <c r="HP23" s="116"/>
      <c r="HQ23" s="116"/>
      <c r="HR23" s="116"/>
      <c r="HS23" s="116"/>
      <c r="HT23" s="116"/>
      <c r="HU23" s="116"/>
      <c r="HV23" s="116"/>
      <c r="HW23" s="116"/>
      <c r="HX23" s="116"/>
      <c r="HY23" s="116"/>
      <c r="HZ23" s="116"/>
      <c r="IA23" s="116"/>
      <c r="IB23" s="116"/>
      <c r="IC23" s="116"/>
      <c r="ID23" s="116"/>
      <c r="IE23" s="116"/>
      <c r="IF23" s="116"/>
      <c r="IG23" s="116"/>
      <c r="IH23" s="116"/>
      <c r="II23" s="116"/>
      <c r="IJ23" s="116"/>
      <c r="IK23" s="116"/>
      <c r="IL23" s="116"/>
      <c r="IM23" s="116"/>
      <c r="IN23" s="116"/>
      <c r="IO23" s="116"/>
      <c r="IP23" s="116"/>
      <c r="IQ23" s="116"/>
      <c r="IR23" s="116"/>
      <c r="IS23" s="116"/>
      <c r="IT23" s="116"/>
      <c r="IU23" s="116"/>
      <c r="IV23" s="116"/>
      <c r="IW23" s="116"/>
      <c r="IX23" s="116"/>
      <c r="IY23" s="116"/>
      <c r="IZ23" s="116"/>
      <c r="JA23" s="116"/>
      <c r="JB23" s="116"/>
      <c r="JC23" s="116"/>
      <c r="JD23" s="116"/>
      <c r="JE23" s="116"/>
      <c r="JF23" s="116"/>
      <c r="JG23" s="116"/>
      <c r="JH23" s="116"/>
      <c r="JI23" s="116"/>
      <c r="JJ23" s="116"/>
      <c r="JK23" s="116"/>
      <c r="JL23" s="116"/>
      <c r="JM23" s="116"/>
      <c r="JN23" s="116"/>
      <c r="JO23" s="116"/>
      <c r="JP23" s="116"/>
      <c r="JQ23" s="116"/>
      <c r="JR23" s="116"/>
      <c r="JS23" s="116"/>
      <c r="JT23" s="116"/>
      <c r="JU23" s="116"/>
      <c r="JV23" s="116"/>
      <c r="JW23" s="116"/>
      <c r="JX23" s="116"/>
      <c r="JY23" s="116"/>
      <c r="JZ23" s="116"/>
      <c r="KA23" s="116"/>
      <c r="KB23" s="116"/>
      <c r="KC23" s="116"/>
      <c r="KD23" s="116"/>
      <c r="KE23" s="116"/>
      <c r="KF23" s="116"/>
      <c r="KG23" s="116"/>
      <c r="KH23" s="116"/>
      <c r="KI23" s="116"/>
      <c r="KJ23" s="116"/>
    </row>
    <row r="24" spans="1:296" s="5" customFormat="1" x14ac:dyDescent="0.3">
      <c r="A24" s="71" t="str">
        <f>IF('[1]PRODUCTO NACIONAL'!A78&lt;&gt;"",'[1]PRODUCTO NACIONAL'!A78,"")</f>
        <v>M75</v>
      </c>
      <c r="B24" s="72" t="str">
        <f>VLOOKUP(A24,'[1]PRODUCTO NACIONAL'!$A$4:$R$161,6,FALSE)</f>
        <v>Ribb Lugano 100% POLIESTER</v>
      </c>
      <c r="C24" s="73">
        <f>IFERROR(HLOOKUP(A24,[4]dimensiones_pdfs!$C$3:$Z$5,3,FALSE),0)</f>
        <v>0</v>
      </c>
      <c r="D24" s="107">
        <f>VLOOKUP(A24,'[1]PRODUCTO NACIONAL'!$A$4:$R$161,18,FALSE)</f>
        <v>4.5377999999999989</v>
      </c>
      <c r="E24" s="5">
        <f t="shared" si="0"/>
        <v>0</v>
      </c>
      <c r="F24" s="22"/>
      <c r="H24"/>
      <c r="I24" s="28"/>
      <c r="J24" s="39"/>
      <c r="K24" s="70"/>
      <c r="L24" s="75"/>
      <c r="M24" s="127"/>
      <c r="N24" s="77"/>
      <c r="O24" s="165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  <c r="CF24" s="116"/>
      <c r="CG24" s="116"/>
      <c r="CH24" s="116"/>
      <c r="CI24" s="116"/>
      <c r="CJ24" s="116"/>
      <c r="CK24" s="116"/>
      <c r="CL24" s="11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  <c r="CY24" s="116"/>
      <c r="CZ24" s="116"/>
      <c r="DA24" s="116"/>
      <c r="DB24" s="116"/>
      <c r="DC24" s="116"/>
      <c r="DD24" s="116"/>
      <c r="DE24" s="116"/>
      <c r="DF24" s="116"/>
      <c r="DG24" s="116"/>
      <c r="DH24" s="116"/>
      <c r="DI24" s="116"/>
      <c r="DJ24" s="116"/>
      <c r="DK24" s="116"/>
      <c r="DL24" s="116"/>
      <c r="DM24" s="116"/>
      <c r="DN24" s="116"/>
      <c r="DO24" s="116"/>
      <c r="DP24" s="116"/>
      <c r="DQ24" s="116"/>
      <c r="DR24" s="116"/>
      <c r="DS24" s="116"/>
      <c r="DT24" s="116"/>
      <c r="DU24" s="116"/>
      <c r="DV24" s="116"/>
      <c r="DW24" s="116"/>
      <c r="DX24" s="116"/>
      <c r="DY24" s="116"/>
      <c r="DZ24" s="116"/>
      <c r="EA24" s="116"/>
      <c r="EB24" s="116"/>
      <c r="EC24" s="116"/>
      <c r="ED24" s="116"/>
      <c r="EE24" s="116"/>
      <c r="EF24" s="116"/>
      <c r="EG24" s="116"/>
      <c r="EH24" s="116"/>
      <c r="EI24" s="116"/>
      <c r="EJ24" s="116"/>
      <c r="EK24" s="116"/>
      <c r="EL24" s="116"/>
      <c r="EM24" s="116"/>
      <c r="EN24" s="116"/>
      <c r="EO24" s="116"/>
      <c r="EP24" s="116"/>
      <c r="EQ24" s="116"/>
      <c r="ER24" s="116"/>
      <c r="ES24" s="116"/>
      <c r="ET24" s="116"/>
      <c r="EU24" s="116"/>
      <c r="EV24" s="116"/>
      <c r="EW24" s="116"/>
      <c r="EX24" s="116"/>
      <c r="EY24" s="116"/>
      <c r="EZ24" s="116"/>
      <c r="FA24" s="116"/>
      <c r="FB24" s="116"/>
      <c r="FC24" s="116"/>
      <c r="FD24" s="116"/>
      <c r="FE24" s="116"/>
      <c r="FF24" s="116"/>
      <c r="FG24" s="116"/>
      <c r="FH24" s="116"/>
      <c r="FI24" s="116"/>
      <c r="FJ24" s="116"/>
      <c r="FK24" s="116"/>
      <c r="FL24" s="116"/>
      <c r="FM24" s="116"/>
      <c r="FN24" s="116"/>
      <c r="FO24" s="116"/>
      <c r="FP24" s="116"/>
      <c r="FQ24" s="116"/>
      <c r="FR24" s="116"/>
      <c r="FS24" s="116"/>
      <c r="FT24" s="116"/>
      <c r="FU24" s="116"/>
      <c r="FV24" s="116"/>
      <c r="FW24" s="116"/>
      <c r="FX24" s="116"/>
      <c r="FY24" s="116"/>
      <c r="FZ24" s="116"/>
      <c r="GA24" s="116"/>
      <c r="GB24" s="116"/>
      <c r="GC24" s="116"/>
      <c r="GD24" s="116"/>
      <c r="GE24" s="116"/>
      <c r="GF24" s="116"/>
      <c r="GG24" s="116"/>
      <c r="GH24" s="116"/>
      <c r="GI24" s="116"/>
      <c r="GJ24" s="116"/>
      <c r="GK24" s="116"/>
      <c r="GL24" s="116"/>
      <c r="GM24" s="116"/>
      <c r="GN24" s="116"/>
      <c r="GO24" s="116"/>
      <c r="GP24" s="116"/>
      <c r="GQ24" s="116"/>
      <c r="GR24" s="116"/>
      <c r="GS24" s="116"/>
      <c r="GT24" s="116"/>
      <c r="GU24" s="116"/>
      <c r="GV24" s="116"/>
      <c r="GW24" s="116"/>
      <c r="GX24" s="116"/>
      <c r="GY24" s="116"/>
      <c r="GZ24" s="116"/>
      <c r="HA24" s="116"/>
      <c r="HB24" s="116"/>
      <c r="HC24" s="116"/>
      <c r="HD24" s="116"/>
      <c r="HE24" s="116"/>
      <c r="HF24" s="116"/>
      <c r="HG24" s="116"/>
      <c r="HH24" s="116"/>
      <c r="HI24" s="116"/>
      <c r="HJ24" s="116"/>
      <c r="HK24" s="116"/>
      <c r="HL24" s="116"/>
      <c r="HM24" s="116"/>
      <c r="HN24" s="116"/>
      <c r="HO24" s="116"/>
      <c r="HP24" s="116"/>
      <c r="HQ24" s="116"/>
      <c r="HR24" s="116"/>
      <c r="HS24" s="116"/>
      <c r="HT24" s="116"/>
      <c r="HU24" s="116"/>
      <c r="HV24" s="116"/>
      <c r="HW24" s="116"/>
      <c r="HX24" s="116"/>
      <c r="HY24" s="116"/>
      <c r="HZ24" s="116"/>
      <c r="IA24" s="116"/>
      <c r="IB24" s="116"/>
      <c r="IC24" s="116"/>
      <c r="ID24" s="116"/>
      <c r="IE24" s="116"/>
      <c r="IF24" s="116"/>
      <c r="IG24" s="116"/>
      <c r="IH24" s="116"/>
      <c r="II24" s="116"/>
      <c r="IJ24" s="116"/>
      <c r="IK24" s="116"/>
      <c r="IL24" s="116"/>
      <c r="IM24" s="116"/>
      <c r="IN24" s="116"/>
      <c r="IO24" s="116"/>
      <c r="IP24" s="116"/>
      <c r="IQ24" s="116"/>
      <c r="IR24" s="116"/>
      <c r="IS24" s="116"/>
      <c r="IT24" s="116"/>
      <c r="IU24" s="116"/>
      <c r="IV24" s="116"/>
      <c r="IW24" s="116"/>
      <c r="IX24" s="116"/>
      <c r="IY24" s="116"/>
      <c r="IZ24" s="116"/>
      <c r="JA24" s="116"/>
      <c r="JB24" s="116"/>
      <c r="JC24" s="116"/>
      <c r="JD24" s="116"/>
      <c r="JE24" s="116"/>
      <c r="JF24" s="116"/>
      <c r="JG24" s="116"/>
      <c r="JH24" s="116"/>
      <c r="JI24" s="116"/>
      <c r="JJ24" s="116"/>
      <c r="JK24" s="116"/>
      <c r="JL24" s="116"/>
      <c r="JM24" s="116"/>
      <c r="JN24" s="116"/>
      <c r="JO24" s="116"/>
      <c r="JP24" s="116"/>
      <c r="JQ24" s="116"/>
      <c r="JR24" s="116"/>
      <c r="JS24" s="116"/>
      <c r="JT24" s="116"/>
      <c r="JU24" s="116"/>
      <c r="JV24" s="116"/>
      <c r="JW24" s="116"/>
      <c r="JX24" s="116"/>
      <c r="JY24" s="116"/>
      <c r="JZ24" s="116"/>
      <c r="KA24" s="116"/>
      <c r="KB24" s="116"/>
      <c r="KC24" s="116"/>
      <c r="KD24" s="116"/>
      <c r="KE24" s="116"/>
      <c r="KF24" s="116"/>
      <c r="KG24" s="116"/>
      <c r="KH24" s="116"/>
      <c r="KI24" s="116"/>
      <c r="KJ24" s="116"/>
    </row>
    <row r="25" spans="1:296" s="5" customFormat="1" x14ac:dyDescent="0.3">
      <c r="A25" s="71" t="str">
        <f>IF('[1]PRODUCTO NACIONAL'!A30&lt;&gt;"",'[1]PRODUCTO NACIONAL'!A30,"")</f>
        <v>M27</v>
      </c>
      <c r="B25" s="72" t="str">
        <f>VLOOKUP(A25,'[1]PRODUCTO NACIONAL'!$A$4:$R$161,6,FALSE)</f>
        <v>VIOTO PESADA BLANCA|NEGRO|NARANJA FOSFORESCENTE</v>
      </c>
      <c r="C25" s="73">
        <f>IFERROR(HLOOKUP(A25,[4]dimensiones_pdfs!$C$3:$Z$5,3,FALSE),0)</f>
        <v>0</v>
      </c>
      <c r="D25" s="107">
        <f>VLOOKUP(A25,'[1]PRODUCTO NACIONAL'!$A$4:$R$161,18,FALSE)</f>
        <v>1.9499894999999998</v>
      </c>
      <c r="E25" s="5">
        <f t="shared" si="0"/>
        <v>0</v>
      </c>
      <c r="F25" s="22"/>
      <c r="H25" t="s">
        <v>40</v>
      </c>
      <c r="I25" s="28"/>
      <c r="J25" s="39"/>
      <c r="K25" s="70"/>
      <c r="L25" s="75"/>
      <c r="M25" s="127"/>
      <c r="N25" s="77"/>
      <c r="O25" s="165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  <c r="CF25" s="116"/>
      <c r="CG25" s="116"/>
      <c r="CH25" s="116"/>
      <c r="CI25" s="116"/>
      <c r="CJ25" s="116"/>
      <c r="CK25" s="116"/>
      <c r="CL25" s="116"/>
      <c r="CM25" s="116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6"/>
      <c r="DA25" s="116"/>
      <c r="DB25" s="116"/>
      <c r="DC25" s="116"/>
      <c r="DD25" s="116"/>
      <c r="DE25" s="116"/>
      <c r="DF25" s="116"/>
      <c r="DG25" s="116"/>
      <c r="DH25" s="116"/>
      <c r="DI25" s="116"/>
      <c r="DJ25" s="116"/>
      <c r="DK25" s="116"/>
      <c r="DL25" s="116"/>
      <c r="DM25" s="116"/>
      <c r="DN25" s="116"/>
      <c r="DO25" s="116"/>
      <c r="DP25" s="116"/>
      <c r="DQ25" s="116"/>
      <c r="DR25" s="116"/>
      <c r="DS25" s="116"/>
      <c r="DT25" s="116"/>
      <c r="DU25" s="116"/>
      <c r="DV25" s="116"/>
      <c r="DW25" s="116"/>
      <c r="DX25" s="116"/>
      <c r="DY25" s="116"/>
      <c r="DZ25" s="116"/>
      <c r="EA25" s="116"/>
      <c r="EB25" s="116"/>
      <c r="EC25" s="116"/>
      <c r="ED25" s="116"/>
      <c r="EE25" s="116"/>
      <c r="EF25" s="116"/>
      <c r="EG25" s="116"/>
      <c r="EH25" s="116"/>
      <c r="EI25" s="116"/>
      <c r="EJ25" s="116"/>
      <c r="EK25" s="116"/>
      <c r="EL25" s="116"/>
      <c r="EM25" s="116"/>
      <c r="EN25" s="116"/>
      <c r="EO25" s="116"/>
      <c r="EP25" s="116"/>
      <c r="EQ25" s="116"/>
      <c r="ER25" s="116"/>
      <c r="ES25" s="116"/>
      <c r="ET25" s="116"/>
      <c r="EU25" s="116"/>
      <c r="EV25" s="116"/>
      <c r="EW25" s="116"/>
      <c r="EX25" s="116"/>
      <c r="EY25" s="116"/>
      <c r="EZ25" s="116"/>
      <c r="FA25" s="116"/>
      <c r="FB25" s="116"/>
      <c r="FC25" s="116"/>
      <c r="FD25" s="116"/>
      <c r="FE25" s="116"/>
      <c r="FF25" s="116"/>
      <c r="FG25" s="116"/>
      <c r="FH25" s="116"/>
      <c r="FI25" s="116"/>
      <c r="FJ25" s="116"/>
      <c r="FK25" s="116"/>
      <c r="FL25" s="116"/>
      <c r="FM25" s="116"/>
      <c r="FN25" s="116"/>
      <c r="FO25" s="116"/>
      <c r="FP25" s="116"/>
      <c r="FQ25" s="116"/>
      <c r="FR25" s="116"/>
      <c r="FS25" s="116"/>
      <c r="FT25" s="116"/>
      <c r="FU25" s="116"/>
      <c r="FV25" s="116"/>
      <c r="FW25" s="116"/>
      <c r="FX25" s="116"/>
      <c r="FY25" s="116"/>
      <c r="FZ25" s="116"/>
      <c r="GA25" s="116"/>
      <c r="GB25" s="116"/>
      <c r="GC25" s="116"/>
      <c r="GD25" s="116"/>
      <c r="GE25" s="116"/>
      <c r="GF25" s="116"/>
      <c r="GG25" s="116"/>
      <c r="GH25" s="116"/>
      <c r="GI25" s="116"/>
      <c r="GJ25" s="116"/>
      <c r="GK25" s="116"/>
      <c r="GL25" s="116"/>
      <c r="GM25" s="116"/>
      <c r="GN25" s="116"/>
      <c r="GO25" s="116"/>
      <c r="GP25" s="116"/>
      <c r="GQ25" s="116"/>
      <c r="GR25" s="116"/>
      <c r="GS25" s="116"/>
      <c r="GT25" s="116"/>
      <c r="GU25" s="116"/>
      <c r="GV25" s="116"/>
      <c r="GW25" s="116"/>
      <c r="GX25" s="116"/>
      <c r="GY25" s="116"/>
      <c r="GZ25" s="116"/>
      <c r="HA25" s="116"/>
      <c r="HB25" s="116"/>
      <c r="HC25" s="116"/>
      <c r="HD25" s="116"/>
      <c r="HE25" s="116"/>
      <c r="HF25" s="116"/>
      <c r="HG25" s="116"/>
      <c r="HH25" s="116"/>
      <c r="HI25" s="116"/>
      <c r="HJ25" s="116"/>
      <c r="HK25" s="116"/>
      <c r="HL25" s="116"/>
      <c r="HM25" s="116"/>
      <c r="HN25" s="116"/>
      <c r="HO25" s="116"/>
      <c r="HP25" s="116"/>
      <c r="HQ25" s="116"/>
      <c r="HR25" s="116"/>
      <c r="HS25" s="116"/>
      <c r="HT25" s="116"/>
      <c r="HU25" s="116"/>
      <c r="HV25" s="116"/>
      <c r="HW25" s="116"/>
      <c r="HX25" s="116"/>
      <c r="HY25" s="116"/>
      <c r="HZ25" s="116"/>
      <c r="IA25" s="116"/>
      <c r="IB25" s="116"/>
      <c r="IC25" s="116"/>
      <c r="ID25" s="116"/>
      <c r="IE25" s="116"/>
      <c r="IF25" s="116"/>
      <c r="IG25" s="116"/>
      <c r="IH25" s="116"/>
      <c r="II25" s="116"/>
      <c r="IJ25" s="116"/>
      <c r="IK25" s="116"/>
      <c r="IL25" s="116"/>
      <c r="IM25" s="116"/>
      <c r="IN25" s="116"/>
      <c r="IO25" s="116"/>
      <c r="IP25" s="116"/>
      <c r="IQ25" s="116"/>
      <c r="IR25" s="116"/>
      <c r="IS25" s="116"/>
      <c r="IT25" s="116"/>
      <c r="IU25" s="116"/>
      <c r="IV25" s="116"/>
      <c r="IW25" s="116"/>
      <c r="IX25" s="116"/>
      <c r="IY25" s="116"/>
      <c r="IZ25" s="116"/>
      <c r="JA25" s="116"/>
      <c r="JB25" s="116"/>
      <c r="JC25" s="116"/>
      <c r="JD25" s="116"/>
      <c r="JE25" s="116"/>
      <c r="JF25" s="116"/>
      <c r="JG25" s="116"/>
      <c r="JH25" s="116"/>
      <c r="JI25" s="116"/>
      <c r="JJ25" s="116"/>
      <c r="JK25" s="116"/>
      <c r="JL25" s="116"/>
      <c r="JM25" s="116"/>
      <c r="JN25" s="116"/>
      <c r="JO25" s="116"/>
      <c r="JP25" s="116"/>
      <c r="JQ25" s="116"/>
      <c r="JR25" s="116"/>
      <c r="JS25" s="116"/>
      <c r="JT25" s="116"/>
      <c r="JU25" s="116"/>
      <c r="JV25" s="116"/>
      <c r="JW25" s="116"/>
      <c r="JX25" s="116"/>
      <c r="JY25" s="116"/>
      <c r="JZ25" s="116"/>
      <c r="KA25" s="116"/>
      <c r="KB25" s="116"/>
      <c r="KC25" s="116"/>
      <c r="KD25" s="116"/>
      <c r="KE25" s="116"/>
      <c r="KF25" s="116"/>
      <c r="KG25" s="116"/>
      <c r="KH25" s="116"/>
      <c r="KI25" s="116"/>
      <c r="KJ25" s="116"/>
    </row>
    <row r="26" spans="1:296" s="5" customFormat="1" x14ac:dyDescent="0.3">
      <c r="A26" s="71" t="str">
        <f>IF('[1]PRODUCTO NACIONAL'!A22&lt;&gt;"",'[1]PRODUCTO NACIONAL'!A22,"")</f>
        <v>M19</v>
      </c>
      <c r="B26" s="72" t="str">
        <f>VLOOKUP(A26,'[1]PRODUCTO NACIONAL'!$A$4:$R$161,6,FALSE)</f>
        <v>RIVER TEX NEGRO|COLORES</v>
      </c>
      <c r="C26" s="73">
        <f>IFERROR(HLOOKUP(A26,[4]dimensiones_pdfs!$C$3:$Z$5,3,FALSE),0)</f>
        <v>0</v>
      </c>
      <c r="D26" s="107">
        <f>VLOOKUP(A26,'[1]PRODUCTO NACIONAL'!$A$4:$R$161,18,FALSE)</f>
        <v>2.4101473684210521</v>
      </c>
      <c r="E26" s="5">
        <f t="shared" si="0"/>
        <v>0</v>
      </c>
      <c r="F26" s="22"/>
      <c r="H26"/>
      <c r="I26" s="28"/>
      <c r="J26" s="39"/>
      <c r="K26" s="70"/>
      <c r="L26" s="75"/>
      <c r="M26" s="127"/>
      <c r="N26" s="77"/>
      <c r="O26" s="165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  <c r="CF26" s="116"/>
      <c r="CG26" s="116"/>
      <c r="CH26" s="116"/>
      <c r="CI26" s="116"/>
      <c r="CJ26" s="116"/>
      <c r="CK26" s="116"/>
      <c r="CL26" s="116"/>
      <c r="CM26" s="116"/>
      <c r="CN26" s="116"/>
      <c r="CO26" s="116"/>
      <c r="CP26" s="116"/>
      <c r="CQ26" s="116"/>
      <c r="CR26" s="116"/>
      <c r="CS26" s="116"/>
      <c r="CT26" s="116"/>
      <c r="CU26" s="116"/>
      <c r="CV26" s="116"/>
      <c r="CW26" s="116"/>
      <c r="CX26" s="116"/>
      <c r="CY26" s="116"/>
      <c r="CZ26" s="116"/>
      <c r="DA26" s="116"/>
      <c r="DB26" s="116"/>
      <c r="DC26" s="116"/>
      <c r="DD26" s="116"/>
      <c r="DE26" s="116"/>
      <c r="DF26" s="116"/>
      <c r="DG26" s="116"/>
      <c r="DH26" s="116"/>
      <c r="DI26" s="116"/>
      <c r="DJ26" s="116"/>
      <c r="DK26" s="116"/>
      <c r="DL26" s="116"/>
      <c r="DM26" s="116"/>
      <c r="DN26" s="116"/>
      <c r="DO26" s="116"/>
      <c r="DP26" s="116"/>
      <c r="DQ26" s="116"/>
      <c r="DR26" s="116"/>
      <c r="DS26" s="116"/>
      <c r="DT26" s="116"/>
      <c r="DU26" s="116"/>
      <c r="DV26" s="116"/>
      <c r="DW26" s="116"/>
      <c r="DX26" s="116"/>
      <c r="DY26" s="116"/>
      <c r="DZ26" s="116"/>
      <c r="EA26" s="116"/>
      <c r="EB26" s="116"/>
      <c r="EC26" s="116"/>
      <c r="ED26" s="116"/>
      <c r="EE26" s="116"/>
      <c r="EF26" s="116"/>
      <c r="EG26" s="116"/>
      <c r="EH26" s="116"/>
      <c r="EI26" s="116"/>
      <c r="EJ26" s="116"/>
      <c r="EK26" s="116"/>
      <c r="EL26" s="116"/>
      <c r="EM26" s="116"/>
      <c r="EN26" s="116"/>
      <c r="EO26" s="116"/>
      <c r="EP26" s="116"/>
      <c r="EQ26" s="116"/>
      <c r="ER26" s="116"/>
      <c r="ES26" s="116"/>
      <c r="ET26" s="116"/>
      <c r="EU26" s="116"/>
      <c r="EV26" s="116"/>
      <c r="EW26" s="116"/>
      <c r="EX26" s="116"/>
      <c r="EY26" s="116"/>
      <c r="EZ26" s="116"/>
      <c r="FA26" s="116"/>
      <c r="FB26" s="116"/>
      <c r="FC26" s="116"/>
      <c r="FD26" s="116"/>
      <c r="FE26" s="116"/>
      <c r="FF26" s="116"/>
      <c r="FG26" s="116"/>
      <c r="FH26" s="116"/>
      <c r="FI26" s="116"/>
      <c r="FJ26" s="116"/>
      <c r="FK26" s="116"/>
      <c r="FL26" s="116"/>
      <c r="FM26" s="116"/>
      <c r="FN26" s="116"/>
      <c r="FO26" s="116"/>
      <c r="FP26" s="116"/>
      <c r="FQ26" s="116"/>
      <c r="FR26" s="116"/>
      <c r="FS26" s="116"/>
      <c r="FT26" s="116"/>
      <c r="FU26" s="116"/>
      <c r="FV26" s="116"/>
      <c r="FW26" s="116"/>
      <c r="FX26" s="116"/>
      <c r="FY26" s="116"/>
      <c r="FZ26" s="116"/>
      <c r="GA26" s="116"/>
      <c r="GB26" s="116"/>
      <c r="GC26" s="116"/>
      <c r="GD26" s="116"/>
      <c r="GE26" s="116"/>
      <c r="GF26" s="116"/>
      <c r="GG26" s="116"/>
      <c r="GH26" s="116"/>
      <c r="GI26" s="116"/>
      <c r="GJ26" s="116"/>
      <c r="GK26" s="116"/>
      <c r="GL26" s="116"/>
      <c r="GM26" s="116"/>
      <c r="GN26" s="116"/>
      <c r="GO26" s="116"/>
      <c r="GP26" s="116"/>
      <c r="GQ26" s="116"/>
      <c r="GR26" s="116"/>
      <c r="GS26" s="116"/>
      <c r="GT26" s="116"/>
      <c r="GU26" s="116"/>
      <c r="GV26" s="116"/>
      <c r="GW26" s="116"/>
      <c r="GX26" s="116"/>
      <c r="GY26" s="116"/>
      <c r="GZ26" s="116"/>
      <c r="HA26" s="116"/>
      <c r="HB26" s="116"/>
      <c r="HC26" s="116"/>
      <c r="HD26" s="116"/>
      <c r="HE26" s="116"/>
      <c r="HF26" s="116"/>
      <c r="HG26" s="116"/>
      <c r="HH26" s="116"/>
      <c r="HI26" s="116"/>
      <c r="HJ26" s="116"/>
      <c r="HK26" s="116"/>
      <c r="HL26" s="116"/>
      <c r="HM26" s="116"/>
      <c r="HN26" s="116"/>
      <c r="HO26" s="116"/>
      <c r="HP26" s="116"/>
      <c r="HQ26" s="116"/>
      <c r="HR26" s="116"/>
      <c r="HS26" s="116"/>
      <c r="HT26" s="116"/>
      <c r="HU26" s="116"/>
      <c r="HV26" s="116"/>
      <c r="HW26" s="116"/>
      <c r="HX26" s="116"/>
      <c r="HY26" s="116"/>
      <c r="HZ26" s="116"/>
      <c r="IA26" s="116"/>
      <c r="IB26" s="116"/>
      <c r="IC26" s="116"/>
      <c r="ID26" s="116"/>
      <c r="IE26" s="116"/>
      <c r="IF26" s="116"/>
      <c r="IG26" s="116"/>
      <c r="IH26" s="116"/>
      <c r="II26" s="116"/>
      <c r="IJ26" s="116"/>
      <c r="IK26" s="116"/>
      <c r="IL26" s="116"/>
      <c r="IM26" s="116"/>
      <c r="IN26" s="116"/>
      <c r="IO26" s="116"/>
      <c r="IP26" s="116"/>
      <c r="IQ26" s="116"/>
      <c r="IR26" s="116"/>
      <c r="IS26" s="116"/>
      <c r="IT26" s="116"/>
      <c r="IU26" s="116"/>
      <c r="IV26" s="116"/>
      <c r="IW26" s="116"/>
      <c r="IX26" s="116"/>
      <c r="IY26" s="116"/>
      <c r="IZ26" s="116"/>
      <c r="JA26" s="116"/>
      <c r="JB26" s="116"/>
      <c r="JC26" s="116"/>
      <c r="JD26" s="116"/>
      <c r="JE26" s="116"/>
      <c r="JF26" s="116"/>
      <c r="JG26" s="116"/>
      <c r="JH26" s="116"/>
      <c r="JI26" s="116"/>
      <c r="JJ26" s="116"/>
      <c r="JK26" s="116"/>
      <c r="JL26" s="116"/>
      <c r="JM26" s="116"/>
      <c r="JN26" s="116"/>
      <c r="JO26" s="116"/>
      <c r="JP26" s="116"/>
      <c r="JQ26" s="116"/>
      <c r="JR26" s="116"/>
      <c r="JS26" s="116"/>
      <c r="JT26" s="116"/>
      <c r="JU26" s="116"/>
      <c r="JV26" s="116"/>
      <c r="JW26" s="116"/>
      <c r="JX26" s="116"/>
      <c r="JY26" s="116"/>
      <c r="JZ26" s="116"/>
      <c r="KA26" s="116"/>
      <c r="KB26" s="116"/>
      <c r="KC26" s="116"/>
      <c r="KD26" s="116"/>
      <c r="KE26" s="116"/>
      <c r="KF26" s="116"/>
      <c r="KG26" s="116"/>
      <c r="KH26" s="116"/>
      <c r="KI26" s="116"/>
      <c r="KJ26" s="116"/>
    </row>
    <row r="27" spans="1:296" s="5" customFormat="1" x14ac:dyDescent="0.3">
      <c r="A27" s="71" t="str">
        <f>IF('[1]PRODUCTO NACIONAL'!A15&lt;&gt;"",'[1]PRODUCTO NACIONAL'!A15,"")</f>
        <v>M12</v>
      </c>
      <c r="B27" s="72" t="str">
        <f>VLOOKUP(A27,'[1]PRODUCTO NACIONAL'!$A$4:$R$161,6,FALSE)</f>
        <v>LINO JARUBA</v>
      </c>
      <c r="C27" s="73">
        <f>IFERROR(HLOOKUP(A27,[4]dimensiones_pdfs!$C$3:$Z$5,3,FALSE),0)</f>
        <v>0</v>
      </c>
      <c r="D27" s="107">
        <f>VLOOKUP(A27,'[1]PRODUCTO NACIONAL'!$A$4:$R$161,18,FALSE)</f>
        <v>1.8904999999999998</v>
      </c>
      <c r="E27" s="5">
        <f t="shared" si="0"/>
        <v>0</v>
      </c>
      <c r="F27" s="22"/>
      <c r="H27"/>
      <c r="I27" s="28"/>
      <c r="J27" s="39"/>
      <c r="K27" s="70"/>
      <c r="L27" s="75"/>
      <c r="M27" s="127"/>
      <c r="N27" s="77"/>
      <c r="O27" s="165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  <c r="CF27" s="116"/>
      <c r="CG27" s="116"/>
      <c r="CH27" s="116"/>
      <c r="CI27" s="116"/>
      <c r="CJ27" s="116"/>
      <c r="CK27" s="116"/>
      <c r="CL27" s="116"/>
      <c r="CM27" s="116"/>
      <c r="CN27" s="116"/>
      <c r="CO27" s="116"/>
      <c r="CP27" s="116"/>
      <c r="CQ27" s="116"/>
      <c r="CR27" s="116"/>
      <c r="CS27" s="116"/>
      <c r="CT27" s="116"/>
      <c r="CU27" s="116"/>
      <c r="CV27" s="116"/>
      <c r="CW27" s="116"/>
      <c r="CX27" s="116"/>
      <c r="CY27" s="116"/>
      <c r="CZ27" s="116"/>
      <c r="DA27" s="116"/>
      <c r="DB27" s="116"/>
      <c r="DC27" s="116"/>
      <c r="DD27" s="116"/>
      <c r="DE27" s="116"/>
      <c r="DF27" s="116"/>
      <c r="DG27" s="116"/>
      <c r="DH27" s="116"/>
      <c r="DI27" s="116"/>
      <c r="DJ27" s="116"/>
      <c r="DK27" s="116"/>
      <c r="DL27" s="116"/>
      <c r="DM27" s="116"/>
      <c r="DN27" s="116"/>
      <c r="DO27" s="116"/>
      <c r="DP27" s="116"/>
      <c r="DQ27" s="116"/>
      <c r="DR27" s="116"/>
      <c r="DS27" s="116"/>
      <c r="DT27" s="116"/>
      <c r="DU27" s="116"/>
      <c r="DV27" s="116"/>
      <c r="DW27" s="116"/>
      <c r="DX27" s="116"/>
      <c r="DY27" s="116"/>
      <c r="DZ27" s="116"/>
      <c r="EA27" s="116"/>
      <c r="EB27" s="116"/>
      <c r="EC27" s="116"/>
      <c r="ED27" s="116"/>
      <c r="EE27" s="116"/>
      <c r="EF27" s="116"/>
      <c r="EG27" s="116"/>
      <c r="EH27" s="116"/>
      <c r="EI27" s="116"/>
      <c r="EJ27" s="116"/>
      <c r="EK27" s="116"/>
      <c r="EL27" s="116"/>
      <c r="EM27" s="116"/>
      <c r="EN27" s="116"/>
      <c r="EO27" s="116"/>
      <c r="EP27" s="116"/>
      <c r="EQ27" s="116"/>
      <c r="ER27" s="116"/>
      <c r="ES27" s="116"/>
      <c r="ET27" s="116"/>
      <c r="EU27" s="116"/>
      <c r="EV27" s="116"/>
      <c r="EW27" s="116"/>
      <c r="EX27" s="116"/>
      <c r="EY27" s="116"/>
      <c r="EZ27" s="116"/>
      <c r="FA27" s="116"/>
      <c r="FB27" s="116"/>
      <c r="FC27" s="116"/>
      <c r="FD27" s="116"/>
      <c r="FE27" s="116"/>
      <c r="FF27" s="116"/>
      <c r="FG27" s="116"/>
      <c r="FH27" s="116"/>
      <c r="FI27" s="116"/>
      <c r="FJ27" s="116"/>
      <c r="FK27" s="116"/>
      <c r="FL27" s="116"/>
      <c r="FM27" s="116"/>
      <c r="FN27" s="116"/>
      <c r="FO27" s="116"/>
      <c r="FP27" s="116"/>
      <c r="FQ27" s="116"/>
      <c r="FR27" s="116"/>
      <c r="FS27" s="116"/>
      <c r="FT27" s="116"/>
      <c r="FU27" s="116"/>
      <c r="FV27" s="116"/>
      <c r="FW27" s="116"/>
      <c r="FX27" s="116"/>
      <c r="FY27" s="116"/>
      <c r="FZ27" s="116"/>
      <c r="GA27" s="116"/>
      <c r="GB27" s="116"/>
      <c r="GC27" s="116"/>
      <c r="GD27" s="116"/>
      <c r="GE27" s="116"/>
      <c r="GF27" s="116"/>
      <c r="GG27" s="116"/>
      <c r="GH27" s="116"/>
      <c r="GI27" s="116"/>
      <c r="GJ27" s="116"/>
      <c r="GK27" s="116"/>
      <c r="GL27" s="116"/>
      <c r="GM27" s="116"/>
      <c r="GN27" s="116"/>
      <c r="GO27" s="116"/>
      <c r="GP27" s="116"/>
      <c r="GQ27" s="116"/>
      <c r="GR27" s="116"/>
      <c r="GS27" s="116"/>
      <c r="GT27" s="116"/>
      <c r="GU27" s="116"/>
      <c r="GV27" s="116"/>
      <c r="GW27" s="116"/>
      <c r="GX27" s="116"/>
      <c r="GY27" s="116"/>
      <c r="GZ27" s="116"/>
      <c r="HA27" s="116"/>
      <c r="HB27" s="116"/>
      <c r="HC27" s="116"/>
      <c r="HD27" s="116"/>
      <c r="HE27" s="116"/>
      <c r="HF27" s="116"/>
      <c r="HG27" s="116"/>
      <c r="HH27" s="116"/>
      <c r="HI27" s="116"/>
      <c r="HJ27" s="116"/>
      <c r="HK27" s="116"/>
      <c r="HL27" s="116"/>
      <c r="HM27" s="116"/>
      <c r="HN27" s="116"/>
      <c r="HO27" s="116"/>
      <c r="HP27" s="116"/>
      <c r="HQ27" s="116"/>
      <c r="HR27" s="116"/>
      <c r="HS27" s="116"/>
      <c r="HT27" s="116"/>
      <c r="HU27" s="116"/>
      <c r="HV27" s="116"/>
      <c r="HW27" s="116"/>
      <c r="HX27" s="116"/>
      <c r="HY27" s="116"/>
      <c r="HZ27" s="116"/>
      <c r="IA27" s="116"/>
      <c r="IB27" s="116"/>
      <c r="IC27" s="116"/>
      <c r="ID27" s="116"/>
      <c r="IE27" s="116"/>
      <c r="IF27" s="116"/>
      <c r="IG27" s="116"/>
      <c r="IH27" s="116"/>
      <c r="II27" s="116"/>
      <c r="IJ27" s="116"/>
      <c r="IK27" s="116"/>
      <c r="IL27" s="116"/>
      <c r="IM27" s="116"/>
      <c r="IN27" s="116"/>
      <c r="IO27" s="116"/>
      <c r="IP27" s="116"/>
      <c r="IQ27" s="116"/>
      <c r="IR27" s="116"/>
      <c r="IS27" s="116"/>
      <c r="IT27" s="116"/>
      <c r="IU27" s="116"/>
      <c r="IV27" s="116"/>
      <c r="IW27" s="116"/>
      <c r="IX27" s="116"/>
      <c r="IY27" s="116"/>
      <c r="IZ27" s="116"/>
      <c r="JA27" s="116"/>
      <c r="JB27" s="116"/>
      <c r="JC27" s="116"/>
      <c r="JD27" s="116"/>
      <c r="JE27" s="116"/>
      <c r="JF27" s="116"/>
      <c r="JG27" s="116"/>
      <c r="JH27" s="116"/>
      <c r="JI27" s="116"/>
      <c r="JJ27" s="116"/>
      <c r="JK27" s="116"/>
      <c r="JL27" s="116"/>
      <c r="JM27" s="116"/>
      <c r="JN27" s="116"/>
      <c r="JO27" s="116"/>
      <c r="JP27" s="116"/>
      <c r="JQ27" s="116"/>
      <c r="JR27" s="116"/>
      <c r="JS27" s="116"/>
      <c r="JT27" s="116"/>
      <c r="JU27" s="116"/>
      <c r="JV27" s="116"/>
      <c r="JW27" s="116"/>
      <c r="JX27" s="116"/>
      <c r="JY27" s="116"/>
      <c r="JZ27" s="116"/>
      <c r="KA27" s="116"/>
      <c r="KB27" s="116"/>
      <c r="KC27" s="116"/>
      <c r="KD27" s="116"/>
      <c r="KE27" s="116"/>
      <c r="KF27" s="116"/>
      <c r="KG27" s="116"/>
      <c r="KH27" s="116"/>
      <c r="KI27" s="116"/>
      <c r="KJ27" s="116"/>
    </row>
    <row r="28" spans="1:296" s="5" customFormat="1" x14ac:dyDescent="0.3">
      <c r="A28" s="71" t="str">
        <f>+'[1]PRODUCTO NACIONAL'!$A$4</f>
        <v>M1</v>
      </c>
      <c r="B28" s="72" t="str">
        <f>VLOOKUP(A28,'[1]PRODUCTO NACIONAL'!$A$4:$R$161,6,FALSE)</f>
        <v>NYLON</v>
      </c>
      <c r="C28" s="73">
        <f>IFERROR(HLOOKUP(A28,[4]dimensiones_pdfs!$C$3:$Z$5,3,FALSE),0)</f>
        <v>0</v>
      </c>
      <c r="D28" s="107">
        <f>VLOOKUP(A28,'[1]PRODUCTO NACIONAL'!$A$4:$R$161,18,FALSE)</f>
        <v>1.7899899999999995</v>
      </c>
      <c r="E28" s="5">
        <f t="shared" si="0"/>
        <v>0</v>
      </c>
      <c r="F28" s="22"/>
      <c r="H28"/>
      <c r="I28" s="28"/>
      <c r="J28" s="39"/>
      <c r="K28" s="70"/>
      <c r="L28" s="75"/>
      <c r="M28" s="127"/>
      <c r="N28" s="77"/>
      <c r="O28" s="165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6"/>
      <c r="CI28" s="116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/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  <c r="DM28" s="116"/>
      <c r="DN28" s="116"/>
      <c r="DO28" s="116"/>
      <c r="DP28" s="116"/>
      <c r="DQ28" s="116"/>
      <c r="DR28" s="116"/>
      <c r="DS28" s="116"/>
      <c r="DT28" s="116"/>
      <c r="DU28" s="116"/>
      <c r="DV28" s="116"/>
      <c r="DW28" s="116"/>
      <c r="DX28" s="116"/>
      <c r="DY28" s="116"/>
      <c r="DZ28" s="116"/>
      <c r="EA28" s="116"/>
      <c r="EB28" s="116"/>
      <c r="EC28" s="116"/>
      <c r="ED28" s="116"/>
      <c r="EE28" s="116"/>
      <c r="EF28" s="116"/>
      <c r="EG28" s="116"/>
      <c r="EH28" s="116"/>
      <c r="EI28" s="116"/>
      <c r="EJ28" s="116"/>
      <c r="EK28" s="116"/>
      <c r="EL28" s="116"/>
      <c r="EM28" s="116"/>
      <c r="EN28" s="116"/>
      <c r="EO28" s="116"/>
      <c r="EP28" s="116"/>
      <c r="EQ28" s="116"/>
      <c r="ER28" s="116"/>
      <c r="ES28" s="116"/>
      <c r="ET28" s="116"/>
      <c r="EU28" s="116"/>
      <c r="EV28" s="116"/>
      <c r="EW28" s="116"/>
      <c r="EX28" s="116"/>
      <c r="EY28" s="116"/>
      <c r="EZ28" s="116"/>
      <c r="FA28" s="116"/>
      <c r="FB28" s="116"/>
      <c r="FC28" s="116"/>
      <c r="FD28" s="116"/>
      <c r="FE28" s="116"/>
      <c r="FF28" s="116"/>
      <c r="FG28" s="116"/>
      <c r="FH28" s="116"/>
      <c r="FI28" s="116"/>
      <c r="FJ28" s="116"/>
      <c r="FK28" s="116"/>
      <c r="FL28" s="116"/>
      <c r="FM28" s="116"/>
      <c r="FN28" s="116"/>
      <c r="FO28" s="116"/>
      <c r="FP28" s="116"/>
      <c r="FQ28" s="116"/>
      <c r="FR28" s="116"/>
      <c r="FS28" s="116"/>
      <c r="FT28" s="116"/>
      <c r="FU28" s="116"/>
      <c r="FV28" s="116"/>
      <c r="FW28" s="116"/>
      <c r="FX28" s="116"/>
      <c r="FY28" s="116"/>
      <c r="FZ28" s="116"/>
      <c r="GA28" s="116"/>
      <c r="GB28" s="116"/>
      <c r="GC28" s="116"/>
      <c r="GD28" s="116"/>
      <c r="GE28" s="116"/>
      <c r="GF28" s="116"/>
      <c r="GG28" s="116"/>
      <c r="GH28" s="116"/>
      <c r="GI28" s="116"/>
      <c r="GJ28" s="116"/>
      <c r="GK28" s="116"/>
      <c r="GL28" s="116"/>
      <c r="GM28" s="116"/>
      <c r="GN28" s="116"/>
      <c r="GO28" s="116"/>
      <c r="GP28" s="116"/>
      <c r="GQ28" s="116"/>
      <c r="GR28" s="116"/>
      <c r="GS28" s="116"/>
      <c r="GT28" s="116"/>
      <c r="GU28" s="116"/>
      <c r="GV28" s="116"/>
      <c r="GW28" s="116"/>
      <c r="GX28" s="116"/>
      <c r="GY28" s="116"/>
      <c r="GZ28" s="116"/>
      <c r="HA28" s="116"/>
      <c r="HB28" s="116"/>
      <c r="HC28" s="116"/>
      <c r="HD28" s="116"/>
      <c r="HE28" s="116"/>
      <c r="HF28" s="116"/>
      <c r="HG28" s="116"/>
      <c r="HH28" s="116"/>
      <c r="HI28" s="116"/>
      <c r="HJ28" s="116"/>
      <c r="HK28" s="116"/>
      <c r="HL28" s="116"/>
      <c r="HM28" s="116"/>
      <c r="HN28" s="116"/>
      <c r="HO28" s="116"/>
      <c r="HP28" s="116"/>
      <c r="HQ28" s="116"/>
      <c r="HR28" s="116"/>
      <c r="HS28" s="116"/>
      <c r="HT28" s="116"/>
      <c r="HU28" s="116"/>
      <c r="HV28" s="116"/>
      <c r="HW28" s="116"/>
      <c r="HX28" s="116"/>
      <c r="HY28" s="116"/>
      <c r="HZ28" s="116"/>
      <c r="IA28" s="116"/>
      <c r="IB28" s="116"/>
      <c r="IC28" s="116"/>
      <c r="ID28" s="116"/>
      <c r="IE28" s="116"/>
      <c r="IF28" s="116"/>
      <c r="IG28" s="116"/>
      <c r="IH28" s="116"/>
      <c r="II28" s="116"/>
      <c r="IJ28" s="116"/>
      <c r="IK28" s="116"/>
      <c r="IL28" s="116"/>
      <c r="IM28" s="116"/>
      <c r="IN28" s="116"/>
      <c r="IO28" s="116"/>
      <c r="IP28" s="116"/>
      <c r="IQ28" s="116"/>
      <c r="IR28" s="116"/>
      <c r="IS28" s="116"/>
      <c r="IT28" s="116"/>
      <c r="IU28" s="116"/>
      <c r="IV28" s="116"/>
      <c r="IW28" s="116"/>
      <c r="IX28" s="116"/>
      <c r="IY28" s="116"/>
      <c r="IZ28" s="116"/>
      <c r="JA28" s="116"/>
      <c r="JB28" s="116"/>
      <c r="JC28" s="116"/>
      <c r="JD28" s="116"/>
      <c r="JE28" s="116"/>
      <c r="JF28" s="116"/>
      <c r="JG28" s="116"/>
      <c r="JH28" s="116"/>
      <c r="JI28" s="116"/>
      <c r="JJ28" s="116"/>
      <c r="JK28" s="116"/>
      <c r="JL28" s="116"/>
      <c r="JM28" s="116"/>
      <c r="JN28" s="116"/>
      <c r="JO28" s="116"/>
      <c r="JP28" s="116"/>
      <c r="JQ28" s="116"/>
      <c r="JR28" s="116"/>
      <c r="JS28" s="116"/>
      <c r="JT28" s="116"/>
      <c r="JU28" s="116"/>
      <c r="JV28" s="116"/>
      <c r="JW28" s="116"/>
      <c r="JX28" s="116"/>
      <c r="JY28" s="116"/>
      <c r="JZ28" s="116"/>
      <c r="KA28" s="116"/>
      <c r="KB28" s="116"/>
      <c r="KC28" s="116"/>
      <c r="KD28" s="116"/>
      <c r="KE28" s="116"/>
      <c r="KF28" s="116"/>
      <c r="KG28" s="116"/>
      <c r="KH28" s="116"/>
      <c r="KI28" s="116"/>
      <c r="KJ28" s="116"/>
    </row>
    <row r="29" spans="1:296" s="5" customFormat="1" x14ac:dyDescent="0.3">
      <c r="A29" s="71" t="s">
        <v>105</v>
      </c>
      <c r="B29" s="72" t="str">
        <f>VLOOKUP(A29,'[1]PRODUCTO NACIONAL'!$A$4:$R$161,6,FALSE)</f>
        <v>D2008 Rollo Jersy Spandex 1.80m x 275gr</v>
      </c>
      <c r="C29" s="73">
        <f>IFERROR(HLOOKUP(A29,[4]dimensiones_pdfs!$C$3:$Z$5,3,FALSE),0)</f>
        <v>0</v>
      </c>
      <c r="D29" s="107">
        <f>VLOOKUP(A29,'[1]PRODUCTO NACIONAL'!$A$4:$R$161,18,FALSE)</f>
        <v>3.4782608695652177</v>
      </c>
      <c r="E29" s="5">
        <f t="shared" si="0"/>
        <v>0</v>
      </c>
      <c r="F29" s="22"/>
      <c r="H29"/>
      <c r="I29" s="28"/>
      <c r="J29" s="39"/>
      <c r="K29" s="70"/>
      <c r="L29" s="75"/>
      <c r="M29" s="127"/>
      <c r="N29" s="77"/>
      <c r="O29" s="165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  <c r="CF29" s="116"/>
      <c r="CG29" s="116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6"/>
      <c r="DE29" s="116"/>
      <c r="DF29" s="116"/>
      <c r="DG29" s="116"/>
      <c r="DH29" s="116"/>
      <c r="DI29" s="116"/>
      <c r="DJ29" s="116"/>
      <c r="DK29" s="116"/>
      <c r="DL29" s="116"/>
      <c r="DM29" s="116"/>
      <c r="DN29" s="116"/>
      <c r="DO29" s="116"/>
      <c r="DP29" s="116"/>
      <c r="DQ29" s="116"/>
      <c r="DR29" s="116"/>
      <c r="DS29" s="116"/>
      <c r="DT29" s="116"/>
      <c r="DU29" s="116"/>
      <c r="DV29" s="116"/>
      <c r="DW29" s="116"/>
      <c r="DX29" s="116"/>
      <c r="DY29" s="116"/>
      <c r="DZ29" s="116"/>
      <c r="EA29" s="116"/>
      <c r="EB29" s="116"/>
      <c r="EC29" s="116"/>
      <c r="ED29" s="116"/>
      <c r="EE29" s="116"/>
      <c r="EF29" s="116"/>
      <c r="EG29" s="116"/>
      <c r="EH29" s="116"/>
      <c r="EI29" s="116"/>
      <c r="EJ29" s="116"/>
      <c r="EK29" s="116"/>
      <c r="EL29" s="116"/>
      <c r="EM29" s="116"/>
      <c r="EN29" s="116"/>
      <c r="EO29" s="116"/>
      <c r="EP29" s="116"/>
      <c r="EQ29" s="116"/>
      <c r="ER29" s="116"/>
      <c r="ES29" s="116"/>
      <c r="ET29" s="116"/>
      <c r="EU29" s="116"/>
      <c r="EV29" s="116"/>
      <c r="EW29" s="116"/>
      <c r="EX29" s="116"/>
      <c r="EY29" s="116"/>
      <c r="EZ29" s="116"/>
      <c r="FA29" s="116"/>
      <c r="FB29" s="116"/>
      <c r="FC29" s="116"/>
      <c r="FD29" s="116"/>
      <c r="FE29" s="116"/>
      <c r="FF29" s="116"/>
      <c r="FG29" s="116"/>
      <c r="FH29" s="116"/>
      <c r="FI29" s="116"/>
      <c r="FJ29" s="116"/>
      <c r="FK29" s="116"/>
      <c r="FL29" s="116"/>
      <c r="FM29" s="116"/>
      <c r="FN29" s="116"/>
      <c r="FO29" s="116"/>
      <c r="FP29" s="116"/>
      <c r="FQ29" s="116"/>
      <c r="FR29" s="116"/>
      <c r="FS29" s="116"/>
      <c r="FT29" s="116"/>
      <c r="FU29" s="116"/>
      <c r="FV29" s="116"/>
      <c r="FW29" s="116"/>
      <c r="FX29" s="116"/>
      <c r="FY29" s="116"/>
      <c r="FZ29" s="116"/>
      <c r="GA29" s="116"/>
      <c r="GB29" s="116"/>
      <c r="GC29" s="116"/>
      <c r="GD29" s="116"/>
      <c r="GE29" s="116"/>
      <c r="GF29" s="116"/>
      <c r="GG29" s="116"/>
      <c r="GH29" s="116"/>
      <c r="GI29" s="116"/>
      <c r="GJ29" s="116"/>
      <c r="GK29" s="116"/>
      <c r="GL29" s="116"/>
      <c r="GM29" s="116"/>
      <c r="GN29" s="116"/>
      <c r="GO29" s="116"/>
      <c r="GP29" s="116"/>
      <c r="GQ29" s="116"/>
      <c r="GR29" s="116"/>
      <c r="GS29" s="116"/>
      <c r="GT29" s="116"/>
      <c r="GU29" s="116"/>
      <c r="GV29" s="116"/>
      <c r="GW29" s="116"/>
      <c r="GX29" s="116"/>
      <c r="GY29" s="116"/>
      <c r="GZ29" s="116"/>
      <c r="HA29" s="116"/>
      <c r="HB29" s="116"/>
      <c r="HC29" s="116"/>
      <c r="HD29" s="116"/>
      <c r="HE29" s="116"/>
      <c r="HF29" s="116"/>
      <c r="HG29" s="116"/>
      <c r="HH29" s="116"/>
      <c r="HI29" s="116"/>
      <c r="HJ29" s="116"/>
      <c r="HK29" s="116"/>
      <c r="HL29" s="116"/>
      <c r="HM29" s="116"/>
      <c r="HN29" s="116"/>
      <c r="HO29" s="116"/>
      <c r="HP29" s="116"/>
      <c r="HQ29" s="116"/>
      <c r="HR29" s="116"/>
      <c r="HS29" s="116"/>
      <c r="HT29" s="116"/>
      <c r="HU29" s="116"/>
      <c r="HV29" s="116"/>
      <c r="HW29" s="116"/>
      <c r="HX29" s="116"/>
      <c r="HY29" s="116"/>
      <c r="HZ29" s="116"/>
      <c r="IA29" s="116"/>
      <c r="IB29" s="116"/>
      <c r="IC29" s="116"/>
      <c r="ID29" s="116"/>
      <c r="IE29" s="116"/>
      <c r="IF29" s="116"/>
      <c r="IG29" s="116"/>
      <c r="IH29" s="116"/>
      <c r="II29" s="116"/>
      <c r="IJ29" s="116"/>
      <c r="IK29" s="116"/>
      <c r="IL29" s="116"/>
      <c r="IM29" s="116"/>
      <c r="IN29" s="116"/>
      <c r="IO29" s="116"/>
      <c r="IP29" s="116"/>
      <c r="IQ29" s="116"/>
      <c r="IR29" s="116"/>
      <c r="IS29" s="116"/>
      <c r="IT29" s="116"/>
      <c r="IU29" s="116"/>
      <c r="IV29" s="116"/>
      <c r="IW29" s="116"/>
      <c r="IX29" s="116"/>
      <c r="IY29" s="116"/>
      <c r="IZ29" s="116"/>
      <c r="JA29" s="116"/>
      <c r="JB29" s="116"/>
      <c r="JC29" s="116"/>
      <c r="JD29" s="116"/>
      <c r="JE29" s="116"/>
      <c r="JF29" s="116"/>
      <c r="JG29" s="116"/>
      <c r="JH29" s="116"/>
      <c r="JI29" s="116"/>
      <c r="JJ29" s="116"/>
      <c r="JK29" s="116"/>
      <c r="JL29" s="116"/>
      <c r="JM29" s="116"/>
      <c r="JN29" s="116"/>
      <c r="JO29" s="116"/>
      <c r="JP29" s="116"/>
      <c r="JQ29" s="116"/>
      <c r="JR29" s="116"/>
      <c r="JS29" s="116"/>
      <c r="JT29" s="116"/>
      <c r="JU29" s="116"/>
      <c r="JV29" s="116"/>
      <c r="JW29" s="116"/>
      <c r="JX29" s="116"/>
      <c r="JY29" s="116"/>
      <c r="JZ29" s="116"/>
      <c r="KA29" s="116"/>
      <c r="KB29" s="116"/>
      <c r="KC29" s="116"/>
      <c r="KD29" s="116"/>
      <c r="KE29" s="116"/>
      <c r="KF29" s="116"/>
      <c r="KG29" s="116"/>
      <c r="KH29" s="116"/>
      <c r="KI29" s="116"/>
      <c r="KJ29" s="116"/>
    </row>
    <row r="30" spans="1:296" s="5" customFormat="1" x14ac:dyDescent="0.3">
      <c r="A30" s="71" t="s">
        <v>106</v>
      </c>
      <c r="B30" s="72" t="str">
        <f>VLOOKUP(A30,'[1]PRODUCTO NACIONAL'!$A$4:$R$161,6,FALSE)</f>
        <v>NICO SPORT|BLANCO</v>
      </c>
      <c r="C30" s="73">
        <f>IFERROR(HLOOKUP(A30,[4]dimensiones_pdfs!$C$3:$Z$5,3,FALSE),0)</f>
        <v>0</v>
      </c>
      <c r="D30" s="107">
        <f>VLOOKUP(A30,'[1]PRODUCTO NACIONAL'!$A$4:$R$161,18,FALSE)</f>
        <v>2.3160000000000003</v>
      </c>
      <c r="E30" s="5">
        <f t="shared" si="0"/>
        <v>0</v>
      </c>
      <c r="F30" s="22"/>
      <c r="H30"/>
      <c r="I30" s="28"/>
      <c r="J30" s="39"/>
      <c r="K30" s="70"/>
      <c r="L30" s="75"/>
      <c r="M30" s="127"/>
      <c r="N30" s="77"/>
      <c r="O30" s="165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  <c r="CG30" s="116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  <c r="DM30" s="116"/>
      <c r="DN30" s="116"/>
      <c r="DO30" s="116"/>
      <c r="DP30" s="116"/>
      <c r="DQ30" s="116"/>
      <c r="DR30" s="116"/>
      <c r="DS30" s="116"/>
      <c r="DT30" s="116"/>
      <c r="DU30" s="116"/>
      <c r="DV30" s="116"/>
      <c r="DW30" s="116"/>
      <c r="DX30" s="116"/>
      <c r="DY30" s="116"/>
      <c r="DZ30" s="116"/>
      <c r="EA30" s="116"/>
      <c r="EB30" s="116"/>
      <c r="EC30" s="116"/>
      <c r="ED30" s="116"/>
      <c r="EE30" s="116"/>
      <c r="EF30" s="116"/>
      <c r="EG30" s="116"/>
      <c r="EH30" s="116"/>
      <c r="EI30" s="116"/>
      <c r="EJ30" s="116"/>
      <c r="EK30" s="116"/>
      <c r="EL30" s="116"/>
      <c r="EM30" s="116"/>
      <c r="EN30" s="116"/>
      <c r="EO30" s="116"/>
      <c r="EP30" s="116"/>
      <c r="EQ30" s="116"/>
      <c r="ER30" s="116"/>
      <c r="ES30" s="116"/>
      <c r="ET30" s="116"/>
      <c r="EU30" s="116"/>
      <c r="EV30" s="116"/>
      <c r="EW30" s="116"/>
      <c r="EX30" s="116"/>
      <c r="EY30" s="116"/>
      <c r="EZ30" s="116"/>
      <c r="FA30" s="116"/>
      <c r="FB30" s="116"/>
      <c r="FC30" s="116"/>
      <c r="FD30" s="116"/>
      <c r="FE30" s="116"/>
      <c r="FF30" s="116"/>
      <c r="FG30" s="116"/>
      <c r="FH30" s="116"/>
      <c r="FI30" s="116"/>
      <c r="FJ30" s="116"/>
      <c r="FK30" s="116"/>
      <c r="FL30" s="116"/>
      <c r="FM30" s="116"/>
      <c r="FN30" s="116"/>
      <c r="FO30" s="116"/>
      <c r="FP30" s="116"/>
      <c r="FQ30" s="116"/>
      <c r="FR30" s="116"/>
      <c r="FS30" s="116"/>
      <c r="FT30" s="116"/>
      <c r="FU30" s="116"/>
      <c r="FV30" s="116"/>
      <c r="FW30" s="116"/>
      <c r="FX30" s="116"/>
      <c r="FY30" s="116"/>
      <c r="FZ30" s="116"/>
      <c r="GA30" s="116"/>
      <c r="GB30" s="116"/>
      <c r="GC30" s="116"/>
      <c r="GD30" s="116"/>
      <c r="GE30" s="116"/>
      <c r="GF30" s="116"/>
      <c r="GG30" s="116"/>
      <c r="GH30" s="116"/>
      <c r="GI30" s="116"/>
      <c r="GJ30" s="116"/>
      <c r="GK30" s="116"/>
      <c r="GL30" s="116"/>
      <c r="GM30" s="116"/>
      <c r="GN30" s="116"/>
      <c r="GO30" s="116"/>
      <c r="GP30" s="116"/>
      <c r="GQ30" s="116"/>
      <c r="GR30" s="116"/>
      <c r="GS30" s="116"/>
      <c r="GT30" s="116"/>
      <c r="GU30" s="116"/>
      <c r="GV30" s="116"/>
      <c r="GW30" s="116"/>
      <c r="GX30" s="116"/>
      <c r="GY30" s="116"/>
      <c r="GZ30" s="116"/>
      <c r="HA30" s="116"/>
      <c r="HB30" s="116"/>
      <c r="HC30" s="116"/>
      <c r="HD30" s="116"/>
      <c r="HE30" s="116"/>
      <c r="HF30" s="116"/>
      <c r="HG30" s="116"/>
      <c r="HH30" s="116"/>
      <c r="HI30" s="116"/>
      <c r="HJ30" s="116"/>
      <c r="HK30" s="116"/>
      <c r="HL30" s="116"/>
      <c r="HM30" s="116"/>
      <c r="HN30" s="116"/>
      <c r="HO30" s="116"/>
      <c r="HP30" s="116"/>
      <c r="HQ30" s="116"/>
      <c r="HR30" s="116"/>
      <c r="HS30" s="116"/>
      <c r="HT30" s="116"/>
      <c r="HU30" s="116"/>
      <c r="HV30" s="116"/>
      <c r="HW30" s="116"/>
      <c r="HX30" s="116"/>
      <c r="HY30" s="116"/>
      <c r="HZ30" s="116"/>
      <c r="IA30" s="116"/>
      <c r="IB30" s="116"/>
      <c r="IC30" s="116"/>
      <c r="ID30" s="116"/>
      <c r="IE30" s="116"/>
      <c r="IF30" s="116"/>
      <c r="IG30" s="116"/>
      <c r="IH30" s="116"/>
      <c r="II30" s="116"/>
      <c r="IJ30" s="116"/>
      <c r="IK30" s="116"/>
      <c r="IL30" s="116"/>
      <c r="IM30" s="116"/>
      <c r="IN30" s="116"/>
      <c r="IO30" s="116"/>
      <c r="IP30" s="116"/>
      <c r="IQ30" s="116"/>
      <c r="IR30" s="116"/>
      <c r="IS30" s="116"/>
      <c r="IT30" s="116"/>
      <c r="IU30" s="116"/>
      <c r="IV30" s="116"/>
      <c r="IW30" s="116"/>
      <c r="IX30" s="116"/>
      <c r="IY30" s="116"/>
      <c r="IZ30" s="116"/>
      <c r="JA30" s="116"/>
      <c r="JB30" s="116"/>
      <c r="JC30" s="116"/>
      <c r="JD30" s="116"/>
      <c r="JE30" s="116"/>
      <c r="JF30" s="116"/>
      <c r="JG30" s="116"/>
      <c r="JH30" s="116"/>
      <c r="JI30" s="116"/>
      <c r="JJ30" s="116"/>
      <c r="JK30" s="116"/>
      <c r="JL30" s="116"/>
      <c r="JM30" s="116"/>
      <c r="JN30" s="116"/>
      <c r="JO30" s="116"/>
      <c r="JP30" s="116"/>
      <c r="JQ30" s="116"/>
      <c r="JR30" s="116"/>
      <c r="JS30" s="116"/>
      <c r="JT30" s="116"/>
      <c r="JU30" s="116"/>
      <c r="JV30" s="116"/>
      <c r="JW30" s="116"/>
      <c r="JX30" s="116"/>
      <c r="JY30" s="116"/>
      <c r="JZ30" s="116"/>
      <c r="KA30" s="116"/>
      <c r="KB30" s="116"/>
      <c r="KC30" s="116"/>
      <c r="KD30" s="116"/>
      <c r="KE30" s="116"/>
      <c r="KF30" s="116"/>
      <c r="KG30" s="116"/>
      <c r="KH30" s="116"/>
      <c r="KI30" s="116"/>
      <c r="KJ30" s="116"/>
    </row>
    <row r="31" spans="1:296" s="5" customFormat="1" x14ac:dyDescent="0.3">
      <c r="A31" s="71" t="s">
        <v>107</v>
      </c>
      <c r="B31" s="72" t="str">
        <f>VLOOKUP(A31,'[1]PRODUCTO NACIONAL'!$A$4:$R$161,6,FALSE)</f>
        <v>MURRAY|BLANCA</v>
      </c>
      <c r="C31" s="73">
        <f>IFERROR(HLOOKUP(A31,[4]dimensiones_pdfs!$C$3:$Z$5,3,FALSE),0)</f>
        <v>0</v>
      </c>
      <c r="D31" s="107">
        <f>VLOOKUP(A31,'[1]PRODUCTO NACIONAL'!$A$4:$R$161,18,FALSE)</f>
        <v>2.2825013023320428</v>
      </c>
      <c r="E31" s="5">
        <f t="shared" si="0"/>
        <v>0</v>
      </c>
      <c r="F31" s="22"/>
      <c r="H31"/>
      <c r="I31" s="28"/>
      <c r="J31" s="39"/>
      <c r="K31" s="70"/>
      <c r="L31" s="75"/>
      <c r="M31" s="127"/>
      <c r="N31" s="77"/>
      <c r="O31" s="165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6"/>
      <c r="CG31" s="116"/>
      <c r="CH31" s="116"/>
      <c r="CI31" s="116"/>
      <c r="CJ31" s="116"/>
      <c r="CK31" s="116"/>
      <c r="CL31" s="116"/>
      <c r="CM31" s="116"/>
      <c r="CN31" s="116"/>
      <c r="CO31" s="116"/>
      <c r="CP31" s="116"/>
      <c r="CQ31" s="116"/>
      <c r="CR31" s="116"/>
      <c r="CS31" s="116"/>
      <c r="CT31" s="116"/>
      <c r="CU31" s="116"/>
      <c r="CV31" s="116"/>
      <c r="CW31" s="116"/>
      <c r="CX31" s="116"/>
      <c r="CY31" s="116"/>
      <c r="CZ31" s="116"/>
      <c r="DA31" s="116"/>
      <c r="DB31" s="116"/>
      <c r="DC31" s="116"/>
      <c r="DD31" s="116"/>
      <c r="DE31" s="116"/>
      <c r="DF31" s="116"/>
      <c r="DG31" s="116"/>
      <c r="DH31" s="116"/>
      <c r="DI31" s="116"/>
      <c r="DJ31" s="116"/>
      <c r="DK31" s="116"/>
      <c r="DL31" s="116"/>
      <c r="DM31" s="116"/>
      <c r="DN31" s="116"/>
      <c r="DO31" s="116"/>
      <c r="DP31" s="116"/>
      <c r="DQ31" s="116"/>
      <c r="DR31" s="116"/>
      <c r="DS31" s="116"/>
      <c r="DT31" s="116"/>
      <c r="DU31" s="116"/>
      <c r="DV31" s="116"/>
      <c r="DW31" s="116"/>
      <c r="DX31" s="116"/>
      <c r="DY31" s="116"/>
      <c r="DZ31" s="116"/>
      <c r="EA31" s="116"/>
      <c r="EB31" s="116"/>
      <c r="EC31" s="116"/>
      <c r="ED31" s="116"/>
      <c r="EE31" s="116"/>
      <c r="EF31" s="116"/>
      <c r="EG31" s="116"/>
      <c r="EH31" s="116"/>
      <c r="EI31" s="116"/>
      <c r="EJ31" s="116"/>
      <c r="EK31" s="116"/>
      <c r="EL31" s="116"/>
      <c r="EM31" s="116"/>
      <c r="EN31" s="116"/>
      <c r="EO31" s="116"/>
      <c r="EP31" s="116"/>
      <c r="EQ31" s="116"/>
      <c r="ER31" s="116"/>
      <c r="ES31" s="116"/>
      <c r="ET31" s="116"/>
      <c r="EU31" s="116"/>
      <c r="EV31" s="116"/>
      <c r="EW31" s="116"/>
      <c r="EX31" s="116"/>
      <c r="EY31" s="116"/>
      <c r="EZ31" s="116"/>
      <c r="FA31" s="116"/>
      <c r="FB31" s="116"/>
      <c r="FC31" s="116"/>
      <c r="FD31" s="116"/>
      <c r="FE31" s="116"/>
      <c r="FF31" s="116"/>
      <c r="FG31" s="116"/>
      <c r="FH31" s="116"/>
      <c r="FI31" s="116"/>
      <c r="FJ31" s="116"/>
      <c r="FK31" s="116"/>
      <c r="FL31" s="116"/>
      <c r="FM31" s="116"/>
      <c r="FN31" s="116"/>
      <c r="FO31" s="116"/>
      <c r="FP31" s="116"/>
      <c r="FQ31" s="116"/>
      <c r="FR31" s="116"/>
      <c r="FS31" s="116"/>
      <c r="FT31" s="116"/>
      <c r="FU31" s="116"/>
      <c r="FV31" s="116"/>
      <c r="FW31" s="116"/>
      <c r="FX31" s="116"/>
      <c r="FY31" s="116"/>
      <c r="FZ31" s="116"/>
      <c r="GA31" s="116"/>
      <c r="GB31" s="116"/>
      <c r="GC31" s="116"/>
      <c r="GD31" s="116"/>
      <c r="GE31" s="116"/>
      <c r="GF31" s="116"/>
      <c r="GG31" s="116"/>
      <c r="GH31" s="116"/>
      <c r="GI31" s="116"/>
      <c r="GJ31" s="116"/>
      <c r="GK31" s="116"/>
      <c r="GL31" s="116"/>
      <c r="GM31" s="116"/>
      <c r="GN31" s="116"/>
      <c r="GO31" s="116"/>
      <c r="GP31" s="116"/>
      <c r="GQ31" s="116"/>
      <c r="GR31" s="116"/>
      <c r="GS31" s="116"/>
      <c r="GT31" s="116"/>
      <c r="GU31" s="116"/>
      <c r="GV31" s="116"/>
      <c r="GW31" s="116"/>
      <c r="GX31" s="116"/>
      <c r="GY31" s="116"/>
      <c r="GZ31" s="116"/>
      <c r="HA31" s="116"/>
      <c r="HB31" s="116"/>
      <c r="HC31" s="116"/>
      <c r="HD31" s="116"/>
      <c r="HE31" s="116"/>
      <c r="HF31" s="116"/>
      <c r="HG31" s="116"/>
      <c r="HH31" s="116"/>
      <c r="HI31" s="116"/>
      <c r="HJ31" s="116"/>
      <c r="HK31" s="116"/>
      <c r="HL31" s="116"/>
      <c r="HM31" s="116"/>
      <c r="HN31" s="116"/>
      <c r="HO31" s="116"/>
      <c r="HP31" s="116"/>
      <c r="HQ31" s="116"/>
      <c r="HR31" s="116"/>
      <c r="HS31" s="116"/>
      <c r="HT31" s="116"/>
      <c r="HU31" s="116"/>
      <c r="HV31" s="116"/>
      <c r="HW31" s="116"/>
      <c r="HX31" s="116"/>
      <c r="HY31" s="116"/>
      <c r="HZ31" s="116"/>
      <c r="IA31" s="116"/>
      <c r="IB31" s="116"/>
      <c r="IC31" s="116"/>
      <c r="ID31" s="116"/>
      <c r="IE31" s="116"/>
      <c r="IF31" s="116"/>
      <c r="IG31" s="116"/>
      <c r="IH31" s="116"/>
      <c r="II31" s="116"/>
      <c r="IJ31" s="116"/>
      <c r="IK31" s="116"/>
      <c r="IL31" s="116"/>
      <c r="IM31" s="116"/>
      <c r="IN31" s="116"/>
      <c r="IO31" s="116"/>
      <c r="IP31" s="116"/>
      <c r="IQ31" s="116"/>
      <c r="IR31" s="116"/>
      <c r="IS31" s="116"/>
      <c r="IT31" s="116"/>
      <c r="IU31" s="116"/>
      <c r="IV31" s="116"/>
      <c r="IW31" s="116"/>
      <c r="IX31" s="116"/>
      <c r="IY31" s="116"/>
      <c r="IZ31" s="116"/>
      <c r="JA31" s="116"/>
      <c r="JB31" s="116"/>
      <c r="JC31" s="116"/>
      <c r="JD31" s="116"/>
      <c r="JE31" s="116"/>
      <c r="JF31" s="116"/>
      <c r="JG31" s="116"/>
      <c r="JH31" s="116"/>
      <c r="JI31" s="116"/>
      <c r="JJ31" s="116"/>
      <c r="JK31" s="116"/>
      <c r="JL31" s="116"/>
      <c r="JM31" s="116"/>
      <c r="JN31" s="116"/>
      <c r="JO31" s="116"/>
      <c r="JP31" s="116"/>
      <c r="JQ31" s="116"/>
      <c r="JR31" s="116"/>
      <c r="JS31" s="116"/>
      <c r="JT31" s="116"/>
      <c r="JU31" s="116"/>
      <c r="JV31" s="116"/>
      <c r="JW31" s="116"/>
      <c r="JX31" s="116"/>
      <c r="JY31" s="116"/>
      <c r="JZ31" s="116"/>
      <c r="KA31" s="116"/>
      <c r="KB31" s="116"/>
      <c r="KC31" s="116"/>
      <c r="KD31" s="116"/>
      <c r="KE31" s="116"/>
      <c r="KF31" s="116"/>
      <c r="KG31" s="116"/>
      <c r="KH31" s="116"/>
      <c r="KI31" s="116"/>
      <c r="KJ31" s="116"/>
    </row>
    <row r="32" spans="1:296" s="5" customFormat="1" x14ac:dyDescent="0.3">
      <c r="A32" s="71" t="s">
        <v>108</v>
      </c>
      <c r="B32" s="72" t="str">
        <f>VLOOKUP(A32,'[1]PRODUCTO NACIONAL'!$A$4:$R$161,6,FALSE)</f>
        <v>Rollo de Galeon 150 ancho</v>
      </c>
      <c r="C32" s="73">
        <f>IFERROR(HLOOKUP(A32,[4]dimensiones_pdfs!$C$3:$Z$5,3,FALSE),0)</f>
        <v>7.3363606943246893</v>
      </c>
      <c r="D32" s="107">
        <f>VLOOKUP(A32,'[1]PRODUCTO NACIONAL'!$A$4:$R$161,18,FALSE)</f>
        <v>0.77499999999999991</v>
      </c>
      <c r="E32" s="5">
        <f t="shared" si="0"/>
        <v>-5.6856795381016338</v>
      </c>
      <c r="F32" s="22"/>
      <c r="H32"/>
      <c r="I32" s="28"/>
      <c r="J32" s="39"/>
      <c r="K32" s="70"/>
      <c r="L32" s="75"/>
      <c r="M32" s="127"/>
      <c r="N32" s="77"/>
      <c r="O32" s="165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  <c r="DM32" s="116"/>
      <c r="DN32" s="116"/>
      <c r="DO32" s="116"/>
      <c r="DP32" s="116"/>
      <c r="DQ32" s="116"/>
      <c r="DR32" s="116"/>
      <c r="DS32" s="116"/>
      <c r="DT32" s="116"/>
      <c r="DU32" s="116"/>
      <c r="DV32" s="116"/>
      <c r="DW32" s="116"/>
      <c r="DX32" s="116"/>
      <c r="DY32" s="116"/>
      <c r="DZ32" s="116"/>
      <c r="EA32" s="116"/>
      <c r="EB32" s="116"/>
      <c r="EC32" s="116"/>
      <c r="ED32" s="116"/>
      <c r="EE32" s="116"/>
      <c r="EF32" s="116"/>
      <c r="EG32" s="116"/>
      <c r="EH32" s="116"/>
      <c r="EI32" s="116"/>
      <c r="EJ32" s="116"/>
      <c r="EK32" s="116"/>
      <c r="EL32" s="116"/>
      <c r="EM32" s="116"/>
      <c r="EN32" s="116"/>
      <c r="EO32" s="116"/>
      <c r="EP32" s="116"/>
      <c r="EQ32" s="116"/>
      <c r="ER32" s="116"/>
      <c r="ES32" s="116"/>
      <c r="ET32" s="116"/>
      <c r="EU32" s="116"/>
      <c r="EV32" s="116"/>
      <c r="EW32" s="116"/>
      <c r="EX32" s="116"/>
      <c r="EY32" s="116"/>
      <c r="EZ32" s="116"/>
      <c r="FA32" s="116"/>
      <c r="FB32" s="116"/>
      <c r="FC32" s="116"/>
      <c r="FD32" s="116"/>
      <c r="FE32" s="116"/>
      <c r="FF32" s="116"/>
      <c r="FG32" s="116"/>
      <c r="FH32" s="116"/>
      <c r="FI32" s="116"/>
      <c r="FJ32" s="116"/>
      <c r="FK32" s="116"/>
      <c r="FL32" s="116"/>
      <c r="FM32" s="116"/>
      <c r="FN32" s="116"/>
      <c r="FO32" s="116"/>
      <c r="FP32" s="116"/>
      <c r="FQ32" s="116"/>
      <c r="FR32" s="116"/>
      <c r="FS32" s="116"/>
      <c r="FT32" s="116"/>
      <c r="FU32" s="116"/>
      <c r="FV32" s="116"/>
      <c r="FW32" s="116"/>
      <c r="FX32" s="116"/>
      <c r="FY32" s="116"/>
      <c r="FZ32" s="116"/>
      <c r="GA32" s="116"/>
      <c r="GB32" s="116"/>
      <c r="GC32" s="116"/>
      <c r="GD32" s="116"/>
      <c r="GE32" s="116"/>
      <c r="GF32" s="116"/>
      <c r="GG32" s="116"/>
      <c r="GH32" s="116"/>
      <c r="GI32" s="116"/>
      <c r="GJ32" s="116"/>
      <c r="GK32" s="116"/>
      <c r="GL32" s="116"/>
      <c r="GM32" s="116"/>
      <c r="GN32" s="116"/>
      <c r="GO32" s="116"/>
      <c r="GP32" s="116"/>
      <c r="GQ32" s="116"/>
      <c r="GR32" s="116"/>
      <c r="GS32" s="116"/>
      <c r="GT32" s="116"/>
      <c r="GU32" s="116"/>
      <c r="GV32" s="116"/>
      <c r="GW32" s="116"/>
      <c r="GX32" s="116"/>
      <c r="GY32" s="116"/>
      <c r="GZ32" s="116"/>
      <c r="HA32" s="116"/>
      <c r="HB32" s="116"/>
      <c r="HC32" s="116"/>
      <c r="HD32" s="116"/>
      <c r="HE32" s="116"/>
      <c r="HF32" s="116"/>
      <c r="HG32" s="116"/>
      <c r="HH32" s="116"/>
      <c r="HI32" s="116"/>
      <c r="HJ32" s="116"/>
      <c r="HK32" s="116"/>
      <c r="HL32" s="116"/>
      <c r="HM32" s="116"/>
      <c r="HN32" s="116"/>
      <c r="HO32" s="116"/>
      <c r="HP32" s="116"/>
      <c r="HQ32" s="116"/>
      <c r="HR32" s="116"/>
      <c r="HS32" s="116"/>
      <c r="HT32" s="116"/>
      <c r="HU32" s="116"/>
      <c r="HV32" s="116"/>
      <c r="HW32" s="116"/>
      <c r="HX32" s="116"/>
      <c r="HY32" s="116"/>
      <c r="HZ32" s="116"/>
      <c r="IA32" s="116"/>
      <c r="IB32" s="116"/>
      <c r="IC32" s="116"/>
      <c r="ID32" s="116"/>
      <c r="IE32" s="116"/>
      <c r="IF32" s="116"/>
      <c r="IG32" s="116"/>
      <c r="IH32" s="116"/>
      <c r="II32" s="116"/>
      <c r="IJ32" s="116"/>
      <c r="IK32" s="116"/>
      <c r="IL32" s="116"/>
      <c r="IM32" s="116"/>
      <c r="IN32" s="116"/>
      <c r="IO32" s="116"/>
      <c r="IP32" s="116"/>
      <c r="IQ32" s="116"/>
      <c r="IR32" s="116"/>
      <c r="IS32" s="116"/>
      <c r="IT32" s="116"/>
      <c r="IU32" s="116"/>
      <c r="IV32" s="116"/>
      <c r="IW32" s="116"/>
      <c r="IX32" s="116"/>
      <c r="IY32" s="116"/>
      <c r="IZ32" s="116"/>
      <c r="JA32" s="116"/>
      <c r="JB32" s="116"/>
      <c r="JC32" s="116"/>
      <c r="JD32" s="116"/>
      <c r="JE32" s="116"/>
      <c r="JF32" s="116"/>
      <c r="JG32" s="116"/>
      <c r="JH32" s="116"/>
      <c r="JI32" s="116"/>
      <c r="JJ32" s="116"/>
      <c r="JK32" s="116"/>
      <c r="JL32" s="116"/>
      <c r="JM32" s="116"/>
      <c r="JN32" s="116"/>
      <c r="JO32" s="116"/>
      <c r="JP32" s="116"/>
      <c r="JQ32" s="116"/>
      <c r="JR32" s="116"/>
      <c r="JS32" s="116"/>
      <c r="JT32" s="116"/>
      <c r="JU32" s="116"/>
      <c r="JV32" s="116"/>
      <c r="JW32" s="116"/>
      <c r="JX32" s="116"/>
      <c r="JY32" s="116"/>
      <c r="JZ32" s="116"/>
      <c r="KA32" s="116"/>
      <c r="KB32" s="116"/>
      <c r="KC32" s="116"/>
      <c r="KD32" s="116"/>
      <c r="KE32" s="116"/>
      <c r="KF32" s="116"/>
      <c r="KG32" s="116"/>
      <c r="KH32" s="116"/>
      <c r="KI32" s="116"/>
      <c r="KJ32" s="116"/>
    </row>
    <row r="33" spans="1:296" s="39" customFormat="1" x14ac:dyDescent="0.3">
      <c r="A33" s="71" t="s">
        <v>114</v>
      </c>
      <c r="B33" s="72" t="str">
        <f>VLOOKUP(A33,'[1]PRODUCTO NACIONAL'!$A$4:$R$161,6,FALSE)</f>
        <v>PIEL DE DURAZNO</v>
      </c>
      <c r="C33" s="73">
        <f>IFERROR(HLOOKUP(A33,[4]dimensiones_pdfs!$C$3:$Z$5,3,FALSE),0)</f>
        <v>0</v>
      </c>
      <c r="D33" s="107">
        <f>VLOOKUP(A33,'[1]PRODUCTO NACIONAL'!$A$4:$R$161,18,FALSE)</f>
        <v>2.5</v>
      </c>
      <c r="E33" s="5">
        <f t="shared" si="0"/>
        <v>0</v>
      </c>
      <c r="F33" s="22"/>
      <c r="G33" s="5"/>
      <c r="H33"/>
      <c r="I33" s="28"/>
      <c r="K33" s="70"/>
      <c r="L33" s="75"/>
      <c r="M33" s="127"/>
      <c r="N33" s="77"/>
      <c r="O33" s="164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DZ33" s="100"/>
      <c r="EA33" s="100"/>
      <c r="EB33" s="100"/>
      <c r="EC33" s="100"/>
      <c r="ED33" s="100"/>
      <c r="EE33" s="100"/>
      <c r="EF33" s="100"/>
      <c r="EG33" s="100"/>
      <c r="EH33" s="100"/>
      <c r="EI33" s="100"/>
      <c r="EJ33" s="100"/>
      <c r="EK33" s="100"/>
      <c r="EL33" s="100"/>
      <c r="EM33" s="100"/>
      <c r="EN33" s="100"/>
      <c r="EO33" s="100"/>
      <c r="EP33" s="100"/>
      <c r="EQ33" s="100"/>
      <c r="ER33" s="100"/>
      <c r="ES33" s="100"/>
      <c r="ET33" s="100"/>
      <c r="EU33" s="100"/>
      <c r="EV33" s="100"/>
      <c r="EW33" s="100"/>
      <c r="EX33" s="100"/>
      <c r="EY33" s="100"/>
      <c r="EZ33" s="100"/>
      <c r="FA33" s="100"/>
      <c r="FB33" s="100"/>
      <c r="FC33" s="100"/>
      <c r="FD33" s="100"/>
      <c r="FE33" s="100"/>
      <c r="FF33" s="100"/>
      <c r="FG33" s="100"/>
      <c r="FH33" s="100"/>
      <c r="FI33" s="100"/>
      <c r="FJ33" s="100"/>
      <c r="FK33" s="100"/>
      <c r="FL33" s="100"/>
      <c r="FM33" s="100"/>
      <c r="FN33" s="100"/>
      <c r="FO33" s="100"/>
      <c r="FP33" s="100"/>
      <c r="FQ33" s="100"/>
      <c r="FR33" s="100"/>
      <c r="FS33" s="100"/>
      <c r="FT33" s="100"/>
      <c r="FU33" s="100"/>
      <c r="FV33" s="100"/>
      <c r="FW33" s="100"/>
      <c r="FX33" s="100"/>
      <c r="FY33" s="100"/>
      <c r="FZ33" s="100"/>
      <c r="GA33" s="100"/>
      <c r="GB33" s="100"/>
      <c r="GC33" s="100"/>
      <c r="GD33" s="100"/>
      <c r="GE33" s="100"/>
      <c r="GF33" s="100"/>
      <c r="GG33" s="100"/>
      <c r="GH33" s="100"/>
      <c r="GI33" s="100"/>
      <c r="GJ33" s="100"/>
      <c r="GK33" s="100"/>
      <c r="GL33" s="100"/>
      <c r="GM33" s="100"/>
      <c r="GN33" s="100"/>
      <c r="GO33" s="100"/>
      <c r="GP33" s="100"/>
      <c r="GQ33" s="100"/>
      <c r="GR33" s="100"/>
      <c r="GS33" s="100"/>
      <c r="GT33" s="100"/>
      <c r="GU33" s="100"/>
      <c r="GV33" s="100"/>
      <c r="GW33" s="100"/>
      <c r="GX33" s="100"/>
      <c r="GY33" s="100"/>
      <c r="GZ33" s="100"/>
      <c r="HA33" s="100"/>
      <c r="HB33" s="100"/>
      <c r="HC33" s="100"/>
      <c r="HD33" s="100"/>
      <c r="HE33" s="100"/>
      <c r="HF33" s="100"/>
      <c r="HG33" s="100"/>
      <c r="HH33" s="100"/>
      <c r="HI33" s="100"/>
      <c r="HJ33" s="100"/>
      <c r="HK33" s="100"/>
      <c r="HL33" s="100"/>
      <c r="HM33" s="100"/>
      <c r="HN33" s="100"/>
      <c r="HO33" s="100"/>
      <c r="HP33" s="100"/>
      <c r="HQ33" s="100"/>
      <c r="HR33" s="100"/>
      <c r="HS33" s="100"/>
      <c r="HT33" s="100"/>
      <c r="HU33" s="100"/>
      <c r="HV33" s="100"/>
      <c r="HW33" s="100"/>
      <c r="HX33" s="100"/>
      <c r="HY33" s="100"/>
      <c r="HZ33" s="100"/>
      <c r="IA33" s="100"/>
      <c r="IB33" s="100"/>
      <c r="IC33" s="100"/>
      <c r="ID33" s="100"/>
      <c r="IE33" s="100"/>
      <c r="IF33" s="100"/>
      <c r="IG33" s="100"/>
      <c r="IH33" s="100"/>
      <c r="II33" s="100"/>
      <c r="IJ33" s="100"/>
      <c r="IK33" s="100"/>
      <c r="IL33" s="100"/>
      <c r="IM33" s="100"/>
      <c r="IN33" s="100"/>
      <c r="IO33" s="100"/>
      <c r="IP33" s="100"/>
      <c r="IQ33" s="100"/>
      <c r="IR33" s="100"/>
      <c r="IS33" s="100"/>
      <c r="IT33" s="100"/>
      <c r="IU33" s="100"/>
      <c r="IV33" s="100"/>
      <c r="IW33" s="100"/>
      <c r="IX33" s="100"/>
      <c r="IY33" s="100"/>
      <c r="IZ33" s="100"/>
      <c r="JA33" s="100"/>
      <c r="JB33" s="100"/>
      <c r="JC33" s="100"/>
      <c r="JD33" s="100"/>
      <c r="JE33" s="100"/>
      <c r="JF33" s="100"/>
      <c r="JG33" s="100"/>
      <c r="JH33" s="100"/>
      <c r="JI33" s="100"/>
      <c r="JJ33" s="100"/>
      <c r="JK33" s="100"/>
      <c r="JL33" s="100"/>
      <c r="JM33" s="100"/>
      <c r="JN33" s="100"/>
      <c r="JO33" s="100"/>
      <c r="JP33" s="100"/>
      <c r="JQ33" s="100"/>
      <c r="JR33" s="100"/>
      <c r="JS33" s="100"/>
      <c r="JT33" s="100"/>
      <c r="JU33" s="100"/>
      <c r="JV33" s="100"/>
      <c r="JW33" s="100"/>
      <c r="JX33" s="100"/>
      <c r="JY33" s="100"/>
      <c r="JZ33" s="100"/>
      <c r="KA33" s="100"/>
      <c r="KB33" s="100"/>
      <c r="KC33" s="100"/>
      <c r="KD33" s="100"/>
      <c r="KE33" s="100"/>
      <c r="KF33" s="100"/>
      <c r="KG33" s="100"/>
      <c r="KH33" s="100"/>
      <c r="KI33" s="100"/>
      <c r="KJ33" s="100"/>
    </row>
    <row r="34" spans="1:296" s="39" customFormat="1" x14ac:dyDescent="0.3">
      <c r="A34" s="71" t="s">
        <v>115</v>
      </c>
      <c r="B34" s="72" t="str">
        <f>VLOOKUP(A34,'[1]PRODUCTO NACIONAL'!$A$4:$R$161,6,FALSE)</f>
        <v>D2002 Rollo Ernest 1.70m x 140gr</v>
      </c>
      <c r="C34" s="73">
        <f>IFERROR(HLOOKUP(A34,[4]dimensiones_pdfs!$C$3:$Z$5,3,FALSE),0)</f>
        <v>12.418262057005819</v>
      </c>
      <c r="D34" s="107">
        <f>VLOOKUP(A34,'[1]PRODUCTO NACIONAL'!$A$4:$R$161,18,FALSE)</f>
        <v>1.4285714285714286</v>
      </c>
      <c r="E34" s="5">
        <f t="shared" si="0"/>
        <v>-17.740374367151169</v>
      </c>
      <c r="F34" s="22"/>
      <c r="G34" s="5"/>
      <c r="H34"/>
      <c r="I34" s="28"/>
      <c r="K34" s="70"/>
      <c r="L34" s="75"/>
      <c r="M34" s="127"/>
      <c r="N34" s="77"/>
      <c r="O34" s="164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00"/>
      <c r="CX34" s="100"/>
      <c r="CY34" s="100"/>
      <c r="CZ34" s="100"/>
      <c r="DA34" s="100"/>
      <c r="DB34" s="100"/>
      <c r="DC34" s="100"/>
      <c r="DD34" s="100"/>
      <c r="DE34" s="100"/>
      <c r="DF34" s="100"/>
      <c r="DG34" s="100"/>
      <c r="DH34" s="100"/>
      <c r="DI34" s="100"/>
      <c r="DJ34" s="100"/>
      <c r="DK34" s="100"/>
      <c r="DL34" s="100"/>
      <c r="DM34" s="100"/>
      <c r="DN34" s="100"/>
      <c r="DO34" s="100"/>
      <c r="DP34" s="100"/>
      <c r="DQ34" s="100"/>
      <c r="DR34" s="100"/>
      <c r="DS34" s="100"/>
      <c r="DT34" s="100"/>
      <c r="DU34" s="100"/>
      <c r="DV34" s="100"/>
      <c r="DW34" s="100"/>
      <c r="DX34" s="100"/>
      <c r="DY34" s="100"/>
      <c r="DZ34" s="100"/>
      <c r="EA34" s="100"/>
      <c r="EB34" s="100"/>
      <c r="EC34" s="100"/>
      <c r="ED34" s="100"/>
      <c r="EE34" s="100"/>
      <c r="EF34" s="100"/>
      <c r="EG34" s="100"/>
      <c r="EH34" s="100"/>
      <c r="EI34" s="100"/>
      <c r="EJ34" s="100"/>
      <c r="EK34" s="100"/>
      <c r="EL34" s="100"/>
      <c r="EM34" s="100"/>
      <c r="EN34" s="100"/>
      <c r="EO34" s="100"/>
      <c r="EP34" s="100"/>
      <c r="EQ34" s="100"/>
      <c r="ER34" s="100"/>
      <c r="ES34" s="100"/>
      <c r="ET34" s="100"/>
      <c r="EU34" s="100"/>
      <c r="EV34" s="100"/>
      <c r="EW34" s="100"/>
      <c r="EX34" s="100"/>
      <c r="EY34" s="100"/>
      <c r="EZ34" s="100"/>
      <c r="FA34" s="100"/>
      <c r="FB34" s="100"/>
      <c r="FC34" s="100"/>
      <c r="FD34" s="100"/>
      <c r="FE34" s="100"/>
      <c r="FF34" s="100"/>
      <c r="FG34" s="100"/>
      <c r="FH34" s="100"/>
      <c r="FI34" s="100"/>
      <c r="FJ34" s="100"/>
      <c r="FK34" s="100"/>
      <c r="FL34" s="100"/>
      <c r="FM34" s="100"/>
      <c r="FN34" s="100"/>
      <c r="FO34" s="100"/>
      <c r="FP34" s="100"/>
      <c r="FQ34" s="100"/>
      <c r="FR34" s="100"/>
      <c r="FS34" s="100"/>
      <c r="FT34" s="100"/>
      <c r="FU34" s="100"/>
      <c r="FV34" s="100"/>
      <c r="FW34" s="100"/>
      <c r="FX34" s="100"/>
      <c r="FY34" s="100"/>
      <c r="FZ34" s="100"/>
      <c r="GA34" s="100"/>
      <c r="GB34" s="100"/>
      <c r="GC34" s="100"/>
      <c r="GD34" s="100"/>
      <c r="GE34" s="100"/>
      <c r="GF34" s="100"/>
      <c r="GG34" s="100"/>
      <c r="GH34" s="100"/>
      <c r="GI34" s="100"/>
      <c r="GJ34" s="100"/>
      <c r="GK34" s="100"/>
      <c r="GL34" s="100"/>
      <c r="GM34" s="100"/>
      <c r="GN34" s="100"/>
      <c r="GO34" s="100"/>
      <c r="GP34" s="100"/>
      <c r="GQ34" s="100"/>
      <c r="GR34" s="100"/>
      <c r="GS34" s="100"/>
      <c r="GT34" s="100"/>
      <c r="GU34" s="100"/>
      <c r="GV34" s="100"/>
      <c r="GW34" s="100"/>
      <c r="GX34" s="100"/>
      <c r="GY34" s="100"/>
      <c r="GZ34" s="100"/>
      <c r="HA34" s="100"/>
      <c r="HB34" s="100"/>
      <c r="HC34" s="100"/>
      <c r="HD34" s="100"/>
      <c r="HE34" s="100"/>
      <c r="HF34" s="100"/>
      <c r="HG34" s="100"/>
      <c r="HH34" s="100"/>
      <c r="HI34" s="100"/>
      <c r="HJ34" s="100"/>
      <c r="HK34" s="100"/>
      <c r="HL34" s="100"/>
      <c r="HM34" s="100"/>
      <c r="HN34" s="100"/>
      <c r="HO34" s="100"/>
      <c r="HP34" s="100"/>
      <c r="HQ34" s="100"/>
      <c r="HR34" s="100"/>
      <c r="HS34" s="100"/>
      <c r="HT34" s="100"/>
      <c r="HU34" s="100"/>
      <c r="HV34" s="100"/>
      <c r="HW34" s="100"/>
      <c r="HX34" s="100"/>
      <c r="HY34" s="100"/>
      <c r="HZ34" s="100"/>
      <c r="IA34" s="100"/>
      <c r="IB34" s="100"/>
      <c r="IC34" s="100"/>
      <c r="ID34" s="100"/>
      <c r="IE34" s="100"/>
      <c r="IF34" s="100"/>
      <c r="IG34" s="100"/>
      <c r="IH34" s="100"/>
      <c r="II34" s="100"/>
      <c r="IJ34" s="100"/>
      <c r="IK34" s="100"/>
      <c r="IL34" s="100"/>
      <c r="IM34" s="100"/>
      <c r="IN34" s="100"/>
      <c r="IO34" s="100"/>
      <c r="IP34" s="100"/>
      <c r="IQ34" s="100"/>
      <c r="IR34" s="100"/>
      <c r="IS34" s="100"/>
      <c r="IT34" s="100"/>
      <c r="IU34" s="100"/>
      <c r="IV34" s="100"/>
      <c r="IW34" s="100"/>
      <c r="IX34" s="100"/>
      <c r="IY34" s="100"/>
      <c r="IZ34" s="100"/>
      <c r="JA34" s="100"/>
      <c r="JB34" s="100"/>
      <c r="JC34" s="100"/>
      <c r="JD34" s="100"/>
      <c r="JE34" s="100"/>
      <c r="JF34" s="100"/>
      <c r="JG34" s="100"/>
      <c r="JH34" s="100"/>
      <c r="JI34" s="100"/>
      <c r="JJ34" s="100"/>
      <c r="JK34" s="100"/>
      <c r="JL34" s="100"/>
      <c r="JM34" s="100"/>
      <c r="JN34" s="100"/>
      <c r="JO34" s="100"/>
      <c r="JP34" s="100"/>
      <c r="JQ34" s="100"/>
      <c r="JR34" s="100"/>
      <c r="JS34" s="100"/>
      <c r="JT34" s="100"/>
      <c r="JU34" s="100"/>
      <c r="JV34" s="100"/>
      <c r="JW34" s="100"/>
      <c r="JX34" s="100"/>
      <c r="JY34" s="100"/>
      <c r="JZ34" s="100"/>
      <c r="KA34" s="100"/>
      <c r="KB34" s="100"/>
      <c r="KC34" s="100"/>
      <c r="KD34" s="100"/>
      <c r="KE34" s="100"/>
      <c r="KF34" s="100"/>
      <c r="KG34" s="100"/>
      <c r="KH34" s="100"/>
      <c r="KI34" s="100"/>
      <c r="KJ34" s="100"/>
    </row>
    <row r="35" spans="1:296" s="39" customFormat="1" x14ac:dyDescent="0.3">
      <c r="A35" s="71" t="s">
        <v>116</v>
      </c>
      <c r="B35" s="72" t="str">
        <f>VLOOKUP(A35,'[1]PRODUCTO NACIONAL'!$A$4:$R$161,6,FALSE)</f>
        <v>PRADA LISA</v>
      </c>
      <c r="C35" s="73">
        <f>IFERROR(HLOOKUP(A35,[4]dimensiones_pdfs!$C$3:$Z$5,3,FALSE),0)</f>
        <v>0</v>
      </c>
      <c r="D35" s="107">
        <f>VLOOKUP(A35,'[1]PRODUCTO NACIONAL'!$A$4:$R$161,18,FALSE)</f>
        <v>2.5202399999999998</v>
      </c>
      <c r="E35" s="5">
        <f t="shared" si="0"/>
        <v>0</v>
      </c>
      <c r="F35" s="22"/>
      <c r="G35" s="5"/>
      <c r="H35"/>
      <c r="I35" s="28"/>
      <c r="K35" s="70"/>
      <c r="L35" s="75"/>
      <c r="M35" s="127"/>
      <c r="N35" s="77"/>
      <c r="O35" s="164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00"/>
      <c r="ER35" s="100"/>
      <c r="ES35" s="100"/>
      <c r="ET35" s="100"/>
      <c r="EU35" s="100"/>
      <c r="EV35" s="100"/>
      <c r="EW35" s="100"/>
      <c r="EX35" s="100"/>
      <c r="EY35" s="100"/>
      <c r="EZ35" s="100"/>
      <c r="FA35" s="100"/>
      <c r="FB35" s="100"/>
      <c r="FC35" s="100"/>
      <c r="FD35" s="100"/>
      <c r="FE35" s="100"/>
      <c r="FF35" s="100"/>
      <c r="FG35" s="100"/>
      <c r="FH35" s="100"/>
      <c r="FI35" s="100"/>
      <c r="FJ35" s="100"/>
      <c r="FK35" s="100"/>
      <c r="FL35" s="100"/>
      <c r="FM35" s="100"/>
      <c r="FN35" s="100"/>
      <c r="FO35" s="100"/>
      <c r="FP35" s="100"/>
      <c r="FQ35" s="100"/>
      <c r="FR35" s="100"/>
      <c r="FS35" s="100"/>
      <c r="FT35" s="100"/>
      <c r="FU35" s="100"/>
      <c r="FV35" s="100"/>
      <c r="FW35" s="100"/>
      <c r="FX35" s="100"/>
      <c r="FY35" s="100"/>
      <c r="FZ35" s="100"/>
      <c r="GA35" s="100"/>
      <c r="GB35" s="100"/>
      <c r="GC35" s="100"/>
      <c r="GD35" s="100"/>
      <c r="GE35" s="100"/>
      <c r="GF35" s="100"/>
      <c r="GG35" s="100"/>
      <c r="GH35" s="100"/>
      <c r="GI35" s="100"/>
      <c r="GJ35" s="100"/>
      <c r="GK35" s="100"/>
      <c r="GL35" s="100"/>
      <c r="GM35" s="100"/>
      <c r="GN35" s="100"/>
      <c r="GO35" s="100"/>
      <c r="GP35" s="100"/>
      <c r="GQ35" s="100"/>
      <c r="GR35" s="100"/>
      <c r="GS35" s="100"/>
      <c r="GT35" s="100"/>
      <c r="GU35" s="100"/>
      <c r="GV35" s="100"/>
      <c r="GW35" s="100"/>
      <c r="GX35" s="100"/>
      <c r="GY35" s="100"/>
      <c r="GZ35" s="100"/>
      <c r="HA35" s="100"/>
      <c r="HB35" s="100"/>
      <c r="HC35" s="100"/>
      <c r="HD35" s="100"/>
      <c r="HE35" s="100"/>
      <c r="HF35" s="100"/>
      <c r="HG35" s="100"/>
      <c r="HH35" s="100"/>
      <c r="HI35" s="100"/>
      <c r="HJ35" s="100"/>
      <c r="HK35" s="100"/>
      <c r="HL35" s="100"/>
      <c r="HM35" s="100"/>
      <c r="HN35" s="100"/>
      <c r="HO35" s="100"/>
      <c r="HP35" s="100"/>
      <c r="HQ35" s="100"/>
      <c r="HR35" s="100"/>
      <c r="HS35" s="100"/>
      <c r="HT35" s="100"/>
      <c r="HU35" s="100"/>
      <c r="HV35" s="100"/>
      <c r="HW35" s="100"/>
      <c r="HX35" s="100"/>
      <c r="HY35" s="100"/>
      <c r="HZ35" s="100"/>
      <c r="IA35" s="100"/>
      <c r="IB35" s="100"/>
      <c r="IC35" s="100"/>
      <c r="ID35" s="100"/>
      <c r="IE35" s="100"/>
      <c r="IF35" s="100"/>
      <c r="IG35" s="100"/>
      <c r="IH35" s="100"/>
      <c r="II35" s="100"/>
      <c r="IJ35" s="100"/>
      <c r="IK35" s="100"/>
      <c r="IL35" s="100"/>
      <c r="IM35" s="100"/>
      <c r="IN35" s="100"/>
      <c r="IO35" s="100"/>
      <c r="IP35" s="100"/>
      <c r="IQ35" s="100"/>
      <c r="IR35" s="100"/>
      <c r="IS35" s="100"/>
      <c r="IT35" s="100"/>
      <c r="IU35" s="100"/>
      <c r="IV35" s="100"/>
      <c r="IW35" s="100"/>
      <c r="IX35" s="100"/>
      <c r="IY35" s="100"/>
      <c r="IZ35" s="100"/>
      <c r="JA35" s="100"/>
      <c r="JB35" s="100"/>
      <c r="JC35" s="100"/>
      <c r="JD35" s="100"/>
      <c r="JE35" s="100"/>
      <c r="JF35" s="100"/>
      <c r="JG35" s="100"/>
      <c r="JH35" s="100"/>
      <c r="JI35" s="100"/>
      <c r="JJ35" s="100"/>
      <c r="JK35" s="100"/>
      <c r="JL35" s="100"/>
      <c r="JM35" s="100"/>
      <c r="JN35" s="100"/>
      <c r="JO35" s="100"/>
      <c r="JP35" s="100"/>
      <c r="JQ35" s="100"/>
      <c r="JR35" s="100"/>
      <c r="JS35" s="100"/>
      <c r="JT35" s="100"/>
      <c r="JU35" s="100"/>
      <c r="JV35" s="100"/>
      <c r="JW35" s="100"/>
      <c r="JX35" s="100"/>
      <c r="JY35" s="100"/>
      <c r="JZ35" s="100"/>
      <c r="KA35" s="100"/>
      <c r="KB35" s="100"/>
      <c r="KC35" s="100"/>
      <c r="KD35" s="100"/>
      <c r="KE35" s="100"/>
      <c r="KF35" s="100"/>
      <c r="KG35" s="100"/>
      <c r="KH35" s="100"/>
      <c r="KI35" s="100"/>
      <c r="KJ35" s="100"/>
    </row>
    <row r="36" spans="1:296" s="39" customFormat="1" x14ac:dyDescent="0.3">
      <c r="A36" s="71" t="s">
        <v>118</v>
      </c>
      <c r="B36" s="72" t="str">
        <f>VLOOKUP(A36,'[1]PRODUCTO NACIONAL'!$A$4:$R$161,6,FALSE)</f>
        <v>PRADA ROMBOS|CUADROS</v>
      </c>
      <c r="C36" s="73">
        <f>IFERROR(HLOOKUP(A36,[4]dimensiones_pdfs!$C$3:$Z$5,3,FALSE),0)</f>
        <v>0</v>
      </c>
      <c r="D36" s="107">
        <v>2</v>
      </c>
      <c r="E36" s="5">
        <f t="shared" si="0"/>
        <v>0</v>
      </c>
      <c r="F36" s="22"/>
      <c r="G36" s="5"/>
      <c r="H36"/>
      <c r="I36" s="28"/>
      <c r="K36" s="70"/>
      <c r="L36" s="75"/>
      <c r="M36" s="127"/>
      <c r="N36" s="77"/>
      <c r="O36" s="164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100"/>
      <c r="CT36" s="100"/>
      <c r="CU36" s="100"/>
      <c r="CV36" s="100"/>
      <c r="CW36" s="100"/>
      <c r="CX36" s="100"/>
      <c r="CY36" s="100"/>
      <c r="CZ36" s="100"/>
      <c r="DA36" s="100"/>
      <c r="DB36" s="100"/>
      <c r="DC36" s="100"/>
      <c r="DD36" s="100"/>
      <c r="DE36" s="100"/>
      <c r="DF36" s="100"/>
      <c r="DG36" s="100"/>
      <c r="DH36" s="100"/>
      <c r="DI36" s="100"/>
      <c r="DJ36" s="100"/>
      <c r="DK36" s="100"/>
      <c r="DL36" s="100"/>
      <c r="DM36" s="100"/>
      <c r="DN36" s="100"/>
      <c r="DO36" s="100"/>
      <c r="DP36" s="100"/>
      <c r="DQ36" s="100"/>
      <c r="DR36" s="100"/>
      <c r="DS36" s="100"/>
      <c r="DT36" s="100"/>
      <c r="DU36" s="100"/>
      <c r="DV36" s="100"/>
      <c r="DW36" s="100"/>
      <c r="DX36" s="100"/>
      <c r="DY36" s="100"/>
      <c r="DZ36" s="100"/>
      <c r="EA36" s="100"/>
      <c r="EB36" s="100"/>
      <c r="EC36" s="100"/>
      <c r="ED36" s="100"/>
      <c r="EE36" s="100"/>
      <c r="EF36" s="100"/>
      <c r="EG36" s="100"/>
      <c r="EH36" s="100"/>
      <c r="EI36" s="100"/>
      <c r="EJ36" s="100"/>
      <c r="EK36" s="100"/>
      <c r="EL36" s="100"/>
      <c r="EM36" s="100"/>
      <c r="EN36" s="100"/>
      <c r="EO36" s="100"/>
      <c r="EP36" s="100"/>
      <c r="EQ36" s="100"/>
      <c r="ER36" s="100"/>
      <c r="ES36" s="100"/>
      <c r="ET36" s="100"/>
      <c r="EU36" s="100"/>
      <c r="EV36" s="100"/>
      <c r="EW36" s="100"/>
      <c r="EX36" s="100"/>
      <c r="EY36" s="100"/>
      <c r="EZ36" s="100"/>
      <c r="FA36" s="100"/>
      <c r="FB36" s="100"/>
      <c r="FC36" s="100"/>
      <c r="FD36" s="100"/>
      <c r="FE36" s="100"/>
      <c r="FF36" s="100"/>
      <c r="FG36" s="100"/>
      <c r="FH36" s="100"/>
      <c r="FI36" s="100"/>
      <c r="FJ36" s="100"/>
      <c r="FK36" s="100"/>
      <c r="FL36" s="100"/>
      <c r="FM36" s="100"/>
      <c r="FN36" s="100"/>
      <c r="FO36" s="100"/>
      <c r="FP36" s="100"/>
      <c r="FQ36" s="100"/>
      <c r="FR36" s="100"/>
      <c r="FS36" s="100"/>
      <c r="FT36" s="100"/>
      <c r="FU36" s="100"/>
      <c r="FV36" s="100"/>
      <c r="FW36" s="100"/>
      <c r="FX36" s="100"/>
      <c r="FY36" s="100"/>
      <c r="FZ36" s="100"/>
      <c r="GA36" s="100"/>
      <c r="GB36" s="100"/>
      <c r="GC36" s="100"/>
      <c r="GD36" s="100"/>
      <c r="GE36" s="100"/>
      <c r="GF36" s="100"/>
      <c r="GG36" s="100"/>
      <c r="GH36" s="100"/>
      <c r="GI36" s="100"/>
      <c r="GJ36" s="100"/>
      <c r="GK36" s="100"/>
      <c r="GL36" s="100"/>
      <c r="GM36" s="100"/>
      <c r="GN36" s="100"/>
      <c r="GO36" s="100"/>
      <c r="GP36" s="100"/>
      <c r="GQ36" s="100"/>
      <c r="GR36" s="100"/>
      <c r="GS36" s="100"/>
      <c r="GT36" s="100"/>
      <c r="GU36" s="100"/>
      <c r="GV36" s="100"/>
      <c r="GW36" s="100"/>
      <c r="GX36" s="100"/>
      <c r="GY36" s="100"/>
      <c r="GZ36" s="100"/>
      <c r="HA36" s="100"/>
      <c r="HB36" s="100"/>
      <c r="HC36" s="100"/>
      <c r="HD36" s="100"/>
      <c r="HE36" s="100"/>
      <c r="HF36" s="100"/>
      <c r="HG36" s="100"/>
      <c r="HH36" s="100"/>
      <c r="HI36" s="100"/>
      <c r="HJ36" s="100"/>
      <c r="HK36" s="100"/>
      <c r="HL36" s="100"/>
      <c r="HM36" s="100"/>
      <c r="HN36" s="100"/>
      <c r="HO36" s="100"/>
      <c r="HP36" s="100"/>
      <c r="HQ36" s="100"/>
      <c r="HR36" s="100"/>
      <c r="HS36" s="100"/>
      <c r="HT36" s="100"/>
      <c r="HU36" s="100"/>
      <c r="HV36" s="100"/>
      <c r="HW36" s="100"/>
      <c r="HX36" s="100"/>
      <c r="HY36" s="100"/>
      <c r="HZ36" s="100"/>
      <c r="IA36" s="100"/>
      <c r="IB36" s="100"/>
      <c r="IC36" s="100"/>
      <c r="ID36" s="100"/>
      <c r="IE36" s="100"/>
      <c r="IF36" s="100"/>
      <c r="IG36" s="100"/>
      <c r="IH36" s="100"/>
      <c r="II36" s="100"/>
      <c r="IJ36" s="100"/>
      <c r="IK36" s="100"/>
      <c r="IL36" s="100"/>
      <c r="IM36" s="100"/>
      <c r="IN36" s="100"/>
      <c r="IO36" s="100"/>
      <c r="IP36" s="100"/>
      <c r="IQ36" s="100"/>
      <c r="IR36" s="100"/>
      <c r="IS36" s="100"/>
      <c r="IT36" s="100"/>
      <c r="IU36" s="100"/>
      <c r="IV36" s="100"/>
      <c r="IW36" s="100"/>
      <c r="IX36" s="100"/>
      <c r="IY36" s="100"/>
      <c r="IZ36" s="100"/>
      <c r="JA36" s="100"/>
      <c r="JB36" s="100"/>
      <c r="JC36" s="100"/>
      <c r="JD36" s="100"/>
      <c r="JE36" s="100"/>
      <c r="JF36" s="100"/>
      <c r="JG36" s="100"/>
      <c r="JH36" s="100"/>
      <c r="JI36" s="100"/>
      <c r="JJ36" s="100"/>
      <c r="JK36" s="100"/>
      <c r="JL36" s="100"/>
      <c r="JM36" s="100"/>
      <c r="JN36" s="100"/>
      <c r="JO36" s="100"/>
      <c r="JP36" s="100"/>
      <c r="JQ36" s="100"/>
      <c r="JR36" s="100"/>
      <c r="JS36" s="100"/>
      <c r="JT36" s="100"/>
      <c r="JU36" s="100"/>
      <c r="JV36" s="100"/>
      <c r="JW36" s="100"/>
      <c r="JX36" s="100"/>
      <c r="JY36" s="100"/>
      <c r="JZ36" s="100"/>
      <c r="KA36" s="100"/>
      <c r="KB36" s="100"/>
      <c r="KC36" s="100"/>
      <c r="KD36" s="100"/>
      <c r="KE36" s="100"/>
      <c r="KF36" s="100"/>
      <c r="KG36" s="100"/>
      <c r="KH36" s="100"/>
      <c r="KI36" s="100"/>
      <c r="KJ36" s="100"/>
    </row>
    <row r="37" spans="1:296" s="39" customFormat="1" x14ac:dyDescent="0.3">
      <c r="A37" s="71" t="s">
        <v>121</v>
      </c>
      <c r="B37" s="72" t="str">
        <f>VLOOKUP(A37,'[1]PRODUCTO NACIONAL'!$A$4:$R$161,6,FALSE)</f>
        <v>D2003 Rollo Pike Deportivo 1.70m x 160gr</v>
      </c>
      <c r="C37" s="73">
        <f>IFERROR(HLOOKUP(A37,[4]dimensiones_pdfs!$C$3:$Z$5,3,FALSE),0)</f>
        <v>5.7337150450278171</v>
      </c>
      <c r="D37" s="107">
        <f>VLOOKUP(A37,'[1]PRODUCTO NACIONAL'!$A$4:$R$161,18,FALSE)</f>
        <v>1.5306122448979591</v>
      </c>
      <c r="E37" s="5">
        <f t="shared" si="0"/>
        <v>-8.7760944566752297</v>
      </c>
      <c r="F37" s="22"/>
      <c r="G37" s="5"/>
      <c r="H37"/>
      <c r="I37" s="28"/>
      <c r="K37" s="70"/>
      <c r="L37" s="75"/>
      <c r="M37" s="127"/>
      <c r="N37" s="77"/>
      <c r="O37" s="164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0"/>
      <c r="CT37" s="100"/>
      <c r="CU37" s="100"/>
      <c r="CV37" s="100"/>
      <c r="CW37" s="100"/>
      <c r="CX37" s="100"/>
      <c r="CY37" s="100"/>
      <c r="CZ37" s="100"/>
      <c r="DA37" s="100"/>
      <c r="DB37" s="100"/>
      <c r="DC37" s="100"/>
      <c r="DD37" s="100"/>
      <c r="DE37" s="100"/>
      <c r="DF37" s="100"/>
      <c r="DG37" s="100"/>
      <c r="DH37" s="100"/>
      <c r="DI37" s="100"/>
      <c r="DJ37" s="100"/>
      <c r="DK37" s="100"/>
      <c r="DL37" s="100"/>
      <c r="DM37" s="100"/>
      <c r="DN37" s="100"/>
      <c r="DO37" s="100"/>
      <c r="DP37" s="100"/>
      <c r="DQ37" s="100"/>
      <c r="DR37" s="100"/>
      <c r="DS37" s="100"/>
      <c r="DT37" s="100"/>
      <c r="DU37" s="100"/>
      <c r="DV37" s="100"/>
      <c r="DW37" s="100"/>
      <c r="DX37" s="100"/>
      <c r="DY37" s="100"/>
      <c r="DZ37" s="100"/>
      <c r="EA37" s="100"/>
      <c r="EB37" s="100"/>
      <c r="EC37" s="100"/>
      <c r="ED37" s="100"/>
      <c r="EE37" s="100"/>
      <c r="EF37" s="100"/>
      <c r="EG37" s="100"/>
      <c r="EH37" s="100"/>
      <c r="EI37" s="100"/>
      <c r="EJ37" s="100"/>
      <c r="EK37" s="100"/>
      <c r="EL37" s="100"/>
      <c r="EM37" s="100"/>
      <c r="EN37" s="100"/>
      <c r="EO37" s="100"/>
      <c r="EP37" s="100"/>
      <c r="EQ37" s="100"/>
      <c r="ER37" s="100"/>
      <c r="ES37" s="100"/>
      <c r="ET37" s="100"/>
      <c r="EU37" s="100"/>
      <c r="EV37" s="100"/>
      <c r="EW37" s="100"/>
      <c r="EX37" s="100"/>
      <c r="EY37" s="100"/>
      <c r="EZ37" s="100"/>
      <c r="FA37" s="100"/>
      <c r="FB37" s="100"/>
      <c r="FC37" s="100"/>
      <c r="FD37" s="100"/>
      <c r="FE37" s="100"/>
      <c r="FF37" s="100"/>
      <c r="FG37" s="100"/>
      <c r="FH37" s="100"/>
      <c r="FI37" s="100"/>
      <c r="FJ37" s="100"/>
      <c r="FK37" s="100"/>
      <c r="FL37" s="100"/>
      <c r="FM37" s="100"/>
      <c r="FN37" s="100"/>
      <c r="FO37" s="100"/>
      <c r="FP37" s="100"/>
      <c r="FQ37" s="100"/>
      <c r="FR37" s="100"/>
      <c r="FS37" s="100"/>
      <c r="FT37" s="100"/>
      <c r="FU37" s="100"/>
      <c r="FV37" s="100"/>
      <c r="FW37" s="100"/>
      <c r="FX37" s="100"/>
      <c r="FY37" s="100"/>
      <c r="FZ37" s="100"/>
      <c r="GA37" s="100"/>
      <c r="GB37" s="100"/>
      <c r="GC37" s="100"/>
      <c r="GD37" s="100"/>
      <c r="GE37" s="100"/>
      <c r="GF37" s="100"/>
      <c r="GG37" s="100"/>
      <c r="GH37" s="100"/>
      <c r="GI37" s="100"/>
      <c r="GJ37" s="100"/>
      <c r="GK37" s="100"/>
      <c r="GL37" s="100"/>
      <c r="GM37" s="100"/>
      <c r="GN37" s="100"/>
      <c r="GO37" s="100"/>
      <c r="GP37" s="100"/>
      <c r="GQ37" s="100"/>
      <c r="GR37" s="100"/>
      <c r="GS37" s="100"/>
      <c r="GT37" s="100"/>
      <c r="GU37" s="100"/>
      <c r="GV37" s="100"/>
      <c r="GW37" s="100"/>
      <c r="GX37" s="100"/>
      <c r="GY37" s="100"/>
      <c r="GZ37" s="100"/>
      <c r="HA37" s="100"/>
      <c r="HB37" s="100"/>
      <c r="HC37" s="100"/>
      <c r="HD37" s="100"/>
      <c r="HE37" s="100"/>
      <c r="HF37" s="100"/>
      <c r="HG37" s="100"/>
      <c r="HH37" s="100"/>
      <c r="HI37" s="100"/>
      <c r="HJ37" s="100"/>
      <c r="HK37" s="100"/>
      <c r="HL37" s="100"/>
      <c r="HM37" s="100"/>
      <c r="HN37" s="100"/>
      <c r="HO37" s="100"/>
      <c r="HP37" s="100"/>
      <c r="HQ37" s="100"/>
      <c r="HR37" s="100"/>
      <c r="HS37" s="100"/>
      <c r="HT37" s="100"/>
      <c r="HU37" s="100"/>
      <c r="HV37" s="100"/>
      <c r="HW37" s="100"/>
      <c r="HX37" s="100"/>
      <c r="HY37" s="100"/>
      <c r="HZ37" s="100"/>
      <c r="IA37" s="100"/>
      <c r="IB37" s="100"/>
      <c r="IC37" s="100"/>
      <c r="ID37" s="100"/>
      <c r="IE37" s="100"/>
      <c r="IF37" s="100"/>
      <c r="IG37" s="100"/>
      <c r="IH37" s="100"/>
      <c r="II37" s="100"/>
      <c r="IJ37" s="100"/>
      <c r="IK37" s="100"/>
      <c r="IL37" s="100"/>
      <c r="IM37" s="100"/>
      <c r="IN37" s="100"/>
      <c r="IO37" s="100"/>
      <c r="IP37" s="100"/>
      <c r="IQ37" s="100"/>
      <c r="IR37" s="100"/>
      <c r="IS37" s="100"/>
      <c r="IT37" s="100"/>
      <c r="IU37" s="100"/>
      <c r="IV37" s="100"/>
      <c r="IW37" s="100"/>
      <c r="IX37" s="100"/>
      <c r="IY37" s="100"/>
      <c r="IZ37" s="100"/>
      <c r="JA37" s="100"/>
      <c r="JB37" s="100"/>
      <c r="JC37" s="100"/>
      <c r="JD37" s="100"/>
      <c r="JE37" s="100"/>
      <c r="JF37" s="100"/>
      <c r="JG37" s="100"/>
      <c r="JH37" s="100"/>
      <c r="JI37" s="100"/>
      <c r="JJ37" s="100"/>
      <c r="JK37" s="100"/>
      <c r="JL37" s="100"/>
      <c r="JM37" s="100"/>
      <c r="JN37" s="100"/>
      <c r="JO37" s="100"/>
      <c r="JP37" s="100"/>
      <c r="JQ37" s="100"/>
      <c r="JR37" s="100"/>
      <c r="JS37" s="100"/>
      <c r="JT37" s="100"/>
      <c r="JU37" s="100"/>
      <c r="JV37" s="100"/>
      <c r="JW37" s="100"/>
      <c r="JX37" s="100"/>
      <c r="JY37" s="100"/>
      <c r="JZ37" s="100"/>
      <c r="KA37" s="100"/>
      <c r="KB37" s="100"/>
      <c r="KC37" s="100"/>
      <c r="KD37" s="100"/>
      <c r="KE37" s="100"/>
      <c r="KF37" s="100"/>
      <c r="KG37" s="100"/>
      <c r="KH37" s="100"/>
      <c r="KI37" s="100"/>
      <c r="KJ37" s="100"/>
    </row>
    <row r="38" spans="1:296" s="39" customFormat="1" x14ac:dyDescent="0.3">
      <c r="A38" s="71" t="s">
        <v>124</v>
      </c>
      <c r="B38" s="72" t="str">
        <f>VLOOKUP(A38,'[1]PRODUCTO NACIONAL'!$A$4:$R$161,6,FALSE)</f>
        <v>PIKE LACOAST 20 PEI AZUL MARINO| OSCURO</v>
      </c>
      <c r="C38" s="73">
        <f>IFERROR(HLOOKUP(A38,[4]dimensiones_pdfs!$C$3:$Z$5,3,FALSE),0)</f>
        <v>0</v>
      </c>
      <c r="D38" s="107">
        <f>VLOOKUP(A38,'[1]PRODUCTO NACIONAL'!$A$4:$R$161,18,FALSE)</f>
        <v>5.5618400000000001</v>
      </c>
      <c r="E38" s="5">
        <f t="shared" si="0"/>
        <v>0</v>
      </c>
      <c r="F38" s="22"/>
      <c r="G38" s="5"/>
      <c r="H38"/>
      <c r="I38" s="28"/>
      <c r="K38" s="70"/>
      <c r="L38" s="75"/>
      <c r="M38" s="127"/>
      <c r="N38" s="77"/>
      <c r="O38" s="164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0"/>
      <c r="BN38" s="100"/>
      <c r="BO38" s="100"/>
      <c r="BP38" s="100"/>
      <c r="BQ38" s="100"/>
      <c r="BR38" s="100"/>
      <c r="BS38" s="100"/>
      <c r="BT38" s="100"/>
      <c r="BU38" s="100"/>
      <c r="BV38" s="100"/>
      <c r="BW38" s="100"/>
      <c r="BX38" s="100"/>
      <c r="BY38" s="100"/>
      <c r="BZ38" s="100"/>
      <c r="CA38" s="100"/>
      <c r="CB38" s="100"/>
      <c r="CC38" s="100"/>
      <c r="CD38" s="100"/>
      <c r="CE38" s="100"/>
      <c r="CF38" s="100"/>
      <c r="CG38" s="100"/>
      <c r="CH38" s="100"/>
      <c r="CI38" s="100"/>
      <c r="CJ38" s="100"/>
      <c r="CK38" s="100"/>
      <c r="CL38" s="100"/>
      <c r="CM38" s="100"/>
      <c r="CN38" s="100"/>
      <c r="CO38" s="100"/>
      <c r="CP38" s="100"/>
      <c r="CQ38" s="100"/>
      <c r="CR38" s="100"/>
      <c r="CS38" s="100"/>
      <c r="CT38" s="100"/>
      <c r="CU38" s="100"/>
      <c r="CV38" s="100"/>
      <c r="CW38" s="100"/>
      <c r="CX38" s="100"/>
      <c r="CY38" s="100"/>
      <c r="CZ38" s="100"/>
      <c r="DA38" s="100"/>
      <c r="DB38" s="100"/>
      <c r="DC38" s="100"/>
      <c r="DD38" s="100"/>
      <c r="DE38" s="100"/>
      <c r="DF38" s="100"/>
      <c r="DG38" s="100"/>
      <c r="DH38" s="100"/>
      <c r="DI38" s="100"/>
      <c r="DJ38" s="100"/>
      <c r="DK38" s="100"/>
      <c r="DL38" s="100"/>
      <c r="DM38" s="100"/>
      <c r="DN38" s="100"/>
      <c r="DO38" s="100"/>
      <c r="DP38" s="100"/>
      <c r="DQ38" s="100"/>
      <c r="DR38" s="100"/>
      <c r="DS38" s="100"/>
      <c r="DT38" s="100"/>
      <c r="DU38" s="100"/>
      <c r="DV38" s="100"/>
      <c r="DW38" s="100"/>
      <c r="DX38" s="100"/>
      <c r="DY38" s="100"/>
      <c r="DZ38" s="100"/>
      <c r="EA38" s="100"/>
      <c r="EB38" s="100"/>
      <c r="EC38" s="100"/>
      <c r="ED38" s="100"/>
      <c r="EE38" s="100"/>
      <c r="EF38" s="100"/>
      <c r="EG38" s="100"/>
      <c r="EH38" s="100"/>
      <c r="EI38" s="100"/>
      <c r="EJ38" s="100"/>
      <c r="EK38" s="100"/>
      <c r="EL38" s="100"/>
      <c r="EM38" s="100"/>
      <c r="EN38" s="100"/>
      <c r="EO38" s="100"/>
      <c r="EP38" s="100"/>
      <c r="EQ38" s="100"/>
      <c r="ER38" s="100"/>
      <c r="ES38" s="100"/>
      <c r="ET38" s="100"/>
      <c r="EU38" s="100"/>
      <c r="EV38" s="100"/>
      <c r="EW38" s="100"/>
      <c r="EX38" s="100"/>
      <c r="EY38" s="100"/>
      <c r="EZ38" s="100"/>
      <c r="FA38" s="100"/>
      <c r="FB38" s="100"/>
      <c r="FC38" s="100"/>
      <c r="FD38" s="100"/>
      <c r="FE38" s="100"/>
      <c r="FF38" s="100"/>
      <c r="FG38" s="100"/>
      <c r="FH38" s="100"/>
      <c r="FI38" s="100"/>
      <c r="FJ38" s="100"/>
      <c r="FK38" s="100"/>
      <c r="FL38" s="100"/>
      <c r="FM38" s="100"/>
      <c r="FN38" s="100"/>
      <c r="FO38" s="100"/>
      <c r="FP38" s="100"/>
      <c r="FQ38" s="100"/>
      <c r="FR38" s="100"/>
      <c r="FS38" s="100"/>
      <c r="FT38" s="100"/>
      <c r="FU38" s="100"/>
      <c r="FV38" s="100"/>
      <c r="FW38" s="100"/>
      <c r="FX38" s="100"/>
      <c r="FY38" s="100"/>
      <c r="FZ38" s="100"/>
      <c r="GA38" s="100"/>
      <c r="GB38" s="100"/>
      <c r="GC38" s="100"/>
      <c r="GD38" s="100"/>
      <c r="GE38" s="100"/>
      <c r="GF38" s="100"/>
      <c r="GG38" s="100"/>
      <c r="GH38" s="100"/>
      <c r="GI38" s="100"/>
      <c r="GJ38" s="100"/>
      <c r="GK38" s="100"/>
      <c r="GL38" s="100"/>
      <c r="GM38" s="100"/>
      <c r="GN38" s="100"/>
      <c r="GO38" s="100"/>
      <c r="GP38" s="100"/>
      <c r="GQ38" s="100"/>
      <c r="GR38" s="100"/>
      <c r="GS38" s="100"/>
      <c r="GT38" s="100"/>
      <c r="GU38" s="100"/>
      <c r="GV38" s="100"/>
      <c r="GW38" s="100"/>
      <c r="GX38" s="100"/>
      <c r="GY38" s="100"/>
      <c r="GZ38" s="100"/>
      <c r="HA38" s="100"/>
      <c r="HB38" s="100"/>
      <c r="HC38" s="100"/>
      <c r="HD38" s="100"/>
      <c r="HE38" s="100"/>
      <c r="HF38" s="100"/>
      <c r="HG38" s="100"/>
      <c r="HH38" s="100"/>
      <c r="HI38" s="100"/>
      <c r="HJ38" s="100"/>
      <c r="HK38" s="100"/>
      <c r="HL38" s="100"/>
      <c r="HM38" s="100"/>
      <c r="HN38" s="100"/>
      <c r="HO38" s="100"/>
      <c r="HP38" s="100"/>
      <c r="HQ38" s="100"/>
      <c r="HR38" s="100"/>
      <c r="HS38" s="100"/>
      <c r="HT38" s="100"/>
      <c r="HU38" s="100"/>
      <c r="HV38" s="100"/>
      <c r="HW38" s="100"/>
      <c r="HX38" s="100"/>
      <c r="HY38" s="100"/>
      <c r="HZ38" s="100"/>
      <c r="IA38" s="100"/>
      <c r="IB38" s="100"/>
      <c r="IC38" s="100"/>
      <c r="ID38" s="100"/>
      <c r="IE38" s="100"/>
      <c r="IF38" s="100"/>
      <c r="IG38" s="100"/>
      <c r="IH38" s="100"/>
      <c r="II38" s="100"/>
      <c r="IJ38" s="100"/>
      <c r="IK38" s="100"/>
      <c r="IL38" s="100"/>
      <c r="IM38" s="100"/>
      <c r="IN38" s="100"/>
      <c r="IO38" s="100"/>
      <c r="IP38" s="100"/>
      <c r="IQ38" s="100"/>
      <c r="IR38" s="100"/>
      <c r="IS38" s="100"/>
      <c r="IT38" s="100"/>
      <c r="IU38" s="100"/>
      <c r="IV38" s="100"/>
      <c r="IW38" s="100"/>
      <c r="IX38" s="100"/>
      <c r="IY38" s="100"/>
      <c r="IZ38" s="100"/>
      <c r="JA38" s="100"/>
      <c r="JB38" s="100"/>
      <c r="JC38" s="100"/>
      <c r="JD38" s="100"/>
      <c r="JE38" s="100"/>
      <c r="JF38" s="100"/>
      <c r="JG38" s="100"/>
      <c r="JH38" s="100"/>
      <c r="JI38" s="100"/>
      <c r="JJ38" s="100"/>
      <c r="JK38" s="100"/>
      <c r="JL38" s="100"/>
      <c r="JM38" s="100"/>
      <c r="JN38" s="100"/>
      <c r="JO38" s="100"/>
      <c r="JP38" s="100"/>
      <c r="JQ38" s="100"/>
      <c r="JR38" s="100"/>
      <c r="JS38" s="100"/>
      <c r="JT38" s="100"/>
      <c r="JU38" s="100"/>
      <c r="JV38" s="100"/>
      <c r="JW38" s="100"/>
      <c r="JX38" s="100"/>
      <c r="JY38" s="100"/>
      <c r="JZ38" s="100"/>
      <c r="KA38" s="100"/>
      <c r="KB38" s="100"/>
      <c r="KC38" s="100"/>
      <c r="KD38" s="100"/>
      <c r="KE38" s="100"/>
      <c r="KF38" s="100"/>
      <c r="KG38" s="100"/>
      <c r="KH38" s="100"/>
      <c r="KI38" s="100"/>
      <c r="KJ38" s="100"/>
    </row>
    <row r="39" spans="1:296" s="39" customFormat="1" x14ac:dyDescent="0.3">
      <c r="A39"/>
      <c r="B39" s="100"/>
      <c r="C39" s="100"/>
      <c r="D39" s="100"/>
      <c r="E39" s="100"/>
      <c r="F39" s="7"/>
      <c r="G39" s="5"/>
      <c r="H39"/>
      <c r="I39" s="28"/>
      <c r="K39" s="70"/>
      <c r="L39" s="75"/>
      <c r="M39" s="127"/>
      <c r="N39" s="77"/>
      <c r="O39" s="164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  <c r="CT39" s="100"/>
      <c r="CU39" s="100"/>
      <c r="CV39" s="100"/>
      <c r="CW39" s="100"/>
      <c r="CX39" s="100"/>
      <c r="CY39" s="100"/>
      <c r="CZ39" s="100"/>
      <c r="DA39" s="100"/>
      <c r="DB39" s="100"/>
      <c r="DC39" s="100"/>
      <c r="DD39" s="100"/>
      <c r="DE39" s="100"/>
      <c r="DF39" s="100"/>
      <c r="DG39" s="100"/>
      <c r="DH39" s="100"/>
      <c r="DI39" s="100"/>
      <c r="DJ39" s="100"/>
      <c r="DK39" s="100"/>
      <c r="DL39" s="100"/>
      <c r="DM39" s="100"/>
      <c r="DN39" s="100"/>
      <c r="DO39" s="100"/>
      <c r="DP39" s="100"/>
      <c r="DQ39" s="100"/>
      <c r="DR39" s="100"/>
      <c r="DS39" s="100"/>
      <c r="DT39" s="100"/>
      <c r="DU39" s="100"/>
      <c r="DV39" s="100"/>
      <c r="DW39" s="100"/>
      <c r="DX39" s="100"/>
      <c r="DY39" s="100"/>
      <c r="DZ39" s="100"/>
      <c r="EA39" s="100"/>
      <c r="EB39" s="100"/>
      <c r="EC39" s="100"/>
      <c r="ED39" s="100"/>
      <c r="EE39" s="100"/>
      <c r="EF39" s="100"/>
      <c r="EG39" s="100"/>
      <c r="EH39" s="100"/>
      <c r="EI39" s="100"/>
      <c r="EJ39" s="100"/>
      <c r="EK39" s="100"/>
      <c r="EL39" s="100"/>
      <c r="EM39" s="100"/>
      <c r="EN39" s="100"/>
      <c r="EO39" s="100"/>
      <c r="EP39" s="100"/>
      <c r="EQ39" s="100"/>
      <c r="ER39" s="100"/>
      <c r="ES39" s="100"/>
      <c r="ET39" s="100"/>
      <c r="EU39" s="100"/>
      <c r="EV39" s="100"/>
      <c r="EW39" s="100"/>
      <c r="EX39" s="100"/>
      <c r="EY39" s="100"/>
      <c r="EZ39" s="100"/>
      <c r="FA39" s="100"/>
      <c r="FB39" s="100"/>
      <c r="FC39" s="100"/>
      <c r="FD39" s="100"/>
      <c r="FE39" s="100"/>
      <c r="FF39" s="100"/>
      <c r="FG39" s="100"/>
      <c r="FH39" s="100"/>
      <c r="FI39" s="100"/>
      <c r="FJ39" s="100"/>
      <c r="FK39" s="100"/>
      <c r="FL39" s="100"/>
      <c r="FM39" s="100"/>
      <c r="FN39" s="100"/>
      <c r="FO39" s="100"/>
      <c r="FP39" s="100"/>
      <c r="FQ39" s="100"/>
      <c r="FR39" s="100"/>
      <c r="FS39" s="100"/>
      <c r="FT39" s="100"/>
      <c r="FU39" s="100"/>
      <c r="FV39" s="100"/>
      <c r="FW39" s="100"/>
      <c r="FX39" s="100"/>
      <c r="FY39" s="100"/>
      <c r="FZ39" s="100"/>
      <c r="GA39" s="100"/>
      <c r="GB39" s="100"/>
      <c r="GC39" s="100"/>
      <c r="GD39" s="100"/>
      <c r="GE39" s="100"/>
      <c r="GF39" s="100"/>
      <c r="GG39" s="100"/>
      <c r="GH39" s="100"/>
      <c r="GI39" s="100"/>
      <c r="GJ39" s="100"/>
      <c r="GK39" s="100"/>
      <c r="GL39" s="100"/>
      <c r="GM39" s="100"/>
      <c r="GN39" s="100"/>
      <c r="GO39" s="100"/>
      <c r="GP39" s="100"/>
      <c r="GQ39" s="100"/>
      <c r="GR39" s="100"/>
      <c r="GS39" s="100"/>
      <c r="GT39" s="100"/>
      <c r="GU39" s="100"/>
      <c r="GV39" s="100"/>
      <c r="GW39" s="100"/>
      <c r="GX39" s="100"/>
      <c r="GY39" s="100"/>
      <c r="GZ39" s="100"/>
      <c r="HA39" s="100"/>
      <c r="HB39" s="100"/>
      <c r="HC39" s="100"/>
      <c r="HD39" s="100"/>
      <c r="HE39" s="100"/>
      <c r="HF39" s="100"/>
      <c r="HG39" s="100"/>
      <c r="HH39" s="100"/>
      <c r="HI39" s="100"/>
      <c r="HJ39" s="100"/>
      <c r="HK39" s="100"/>
      <c r="HL39" s="100"/>
      <c r="HM39" s="100"/>
      <c r="HN39" s="100"/>
      <c r="HO39" s="100"/>
      <c r="HP39" s="100"/>
      <c r="HQ39" s="100"/>
      <c r="HR39" s="100"/>
      <c r="HS39" s="100"/>
      <c r="HT39" s="100"/>
      <c r="HU39" s="100"/>
      <c r="HV39" s="100"/>
      <c r="HW39" s="100"/>
      <c r="HX39" s="100"/>
      <c r="HY39" s="100"/>
      <c r="HZ39" s="100"/>
      <c r="IA39" s="100"/>
      <c r="IB39" s="100"/>
      <c r="IC39" s="100"/>
      <c r="ID39" s="100"/>
      <c r="IE39" s="100"/>
      <c r="IF39" s="100"/>
      <c r="IG39" s="100"/>
      <c r="IH39" s="100"/>
      <c r="II39" s="100"/>
      <c r="IJ39" s="100"/>
      <c r="IK39" s="100"/>
      <c r="IL39" s="100"/>
      <c r="IM39" s="100"/>
      <c r="IN39" s="100"/>
      <c r="IO39" s="100"/>
      <c r="IP39" s="100"/>
      <c r="IQ39" s="100"/>
      <c r="IR39" s="100"/>
      <c r="IS39" s="100"/>
      <c r="IT39" s="100"/>
      <c r="IU39" s="100"/>
      <c r="IV39" s="100"/>
      <c r="IW39" s="100"/>
      <c r="IX39" s="100"/>
      <c r="IY39" s="100"/>
      <c r="IZ39" s="100"/>
      <c r="JA39" s="100"/>
      <c r="JB39" s="100"/>
      <c r="JC39" s="100"/>
      <c r="JD39" s="100"/>
      <c r="JE39" s="100"/>
      <c r="JF39" s="100"/>
      <c r="JG39" s="100"/>
      <c r="JH39" s="100"/>
      <c r="JI39" s="100"/>
      <c r="JJ39" s="100"/>
      <c r="JK39" s="100"/>
      <c r="JL39" s="100"/>
      <c r="JM39" s="100"/>
      <c r="JN39" s="100"/>
      <c r="JO39" s="100"/>
      <c r="JP39" s="100"/>
      <c r="JQ39" s="100"/>
      <c r="JR39" s="100"/>
      <c r="JS39" s="100"/>
      <c r="JT39" s="100"/>
      <c r="JU39" s="100"/>
      <c r="JV39" s="100"/>
      <c r="JW39" s="100"/>
      <c r="JX39" s="100"/>
      <c r="JY39" s="100"/>
      <c r="JZ39" s="100"/>
      <c r="KA39" s="100"/>
      <c r="KB39" s="100"/>
      <c r="KC39" s="100"/>
      <c r="KD39" s="100"/>
      <c r="KE39" s="100"/>
      <c r="KF39" s="100"/>
      <c r="KG39" s="100"/>
      <c r="KH39" s="100"/>
      <c r="KI39" s="100"/>
      <c r="KJ39" s="100"/>
    </row>
    <row r="40" spans="1:296" x14ac:dyDescent="0.3">
      <c r="F40" s="5"/>
      <c r="G40"/>
      <c r="H40" s="5"/>
    </row>
    <row r="41" spans="1:296" x14ac:dyDescent="0.3">
      <c r="C41" s="5"/>
      <c r="F41" s="5"/>
      <c r="G41"/>
      <c r="H41" s="5"/>
    </row>
    <row r="42" spans="1:296" x14ac:dyDescent="0.3">
      <c r="F42" s="5"/>
      <c r="G42"/>
      <c r="H42" s="5"/>
    </row>
    <row r="43" spans="1:296" x14ac:dyDescent="0.3">
      <c r="B43" s="69" t="s">
        <v>0</v>
      </c>
      <c r="C43" s="68" t="s">
        <v>24</v>
      </c>
      <c r="D43" s="109" t="s">
        <v>24</v>
      </c>
      <c r="E43" s="68">
        <f>+E66</f>
        <v>-1108.8560416666664</v>
      </c>
    </row>
    <row r="48" spans="1:296" s="39" customFormat="1" x14ac:dyDescent="0.3">
      <c r="A48"/>
      <c r="B48" s="2"/>
      <c r="C48" s="5"/>
      <c r="D48" s="55"/>
      <c r="E48" s="27"/>
      <c r="F48" s="7"/>
      <c r="G48" s="5"/>
      <c r="H48"/>
      <c r="I48" s="28"/>
      <c r="K48" s="70"/>
      <c r="L48" s="75"/>
      <c r="M48" s="127"/>
      <c r="N48" s="77"/>
      <c r="O48" s="164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  <c r="DC48" s="100"/>
      <c r="DD48" s="100"/>
      <c r="DE48" s="100"/>
      <c r="DF48" s="100"/>
      <c r="DG48" s="100"/>
      <c r="DH48" s="100"/>
      <c r="DI48" s="100"/>
      <c r="DJ48" s="100"/>
      <c r="DK48" s="100"/>
      <c r="DL48" s="100"/>
      <c r="DM48" s="100"/>
      <c r="DN48" s="100"/>
      <c r="DO48" s="100"/>
      <c r="DP48" s="100"/>
      <c r="DQ48" s="100"/>
      <c r="DR48" s="100"/>
      <c r="DS48" s="100"/>
      <c r="DT48" s="100"/>
      <c r="DU48" s="100"/>
      <c r="DV48" s="100"/>
      <c r="DW48" s="100"/>
      <c r="DX48" s="100"/>
      <c r="DY48" s="100"/>
      <c r="DZ48" s="100"/>
      <c r="EA48" s="100"/>
      <c r="EB48" s="100"/>
      <c r="EC48" s="100"/>
      <c r="ED48" s="100"/>
      <c r="EE48" s="100"/>
      <c r="EF48" s="100"/>
      <c r="EG48" s="100"/>
      <c r="EH48" s="100"/>
      <c r="EI48" s="100"/>
      <c r="EJ48" s="100"/>
      <c r="EK48" s="100"/>
      <c r="EL48" s="100"/>
      <c r="EM48" s="100"/>
      <c r="EN48" s="100"/>
      <c r="EO48" s="100"/>
      <c r="EP48" s="100"/>
      <c r="EQ48" s="100"/>
      <c r="ER48" s="100"/>
      <c r="ES48" s="100"/>
      <c r="ET48" s="100"/>
      <c r="EU48" s="100"/>
      <c r="EV48" s="100"/>
      <c r="EW48" s="100"/>
      <c r="EX48" s="100"/>
      <c r="EY48" s="100"/>
      <c r="EZ48" s="100"/>
      <c r="FA48" s="100"/>
      <c r="FB48" s="100"/>
      <c r="FC48" s="100"/>
      <c r="FD48" s="100"/>
      <c r="FE48" s="100"/>
      <c r="FF48" s="100"/>
      <c r="FG48" s="100"/>
      <c r="FH48" s="100"/>
      <c r="FI48" s="100"/>
      <c r="FJ48" s="100"/>
      <c r="FK48" s="100"/>
      <c r="FL48" s="100"/>
      <c r="FM48" s="100"/>
      <c r="FN48" s="100"/>
      <c r="FO48" s="100"/>
      <c r="FP48" s="100"/>
      <c r="FQ48" s="100"/>
      <c r="FR48" s="100"/>
      <c r="FS48" s="100"/>
      <c r="FT48" s="100"/>
      <c r="FU48" s="100"/>
      <c r="FV48" s="100"/>
      <c r="FW48" s="100"/>
      <c r="FX48" s="100"/>
      <c r="FY48" s="100"/>
      <c r="FZ48" s="100"/>
      <c r="GA48" s="100"/>
      <c r="GB48" s="100"/>
      <c r="GC48" s="100"/>
      <c r="GD48" s="100"/>
      <c r="GE48" s="100"/>
      <c r="GF48" s="100"/>
      <c r="GG48" s="100"/>
      <c r="GH48" s="100"/>
      <c r="GI48" s="100"/>
      <c r="GJ48" s="100"/>
      <c r="GK48" s="100"/>
      <c r="GL48" s="100"/>
      <c r="GM48" s="100"/>
      <c r="GN48" s="100"/>
      <c r="GO48" s="100"/>
      <c r="GP48" s="100"/>
      <c r="GQ48" s="100"/>
      <c r="GR48" s="100"/>
      <c r="GS48" s="100"/>
      <c r="GT48" s="100"/>
      <c r="GU48" s="100"/>
      <c r="GV48" s="100"/>
      <c r="GW48" s="100"/>
      <c r="GX48" s="100"/>
      <c r="GY48" s="100"/>
      <c r="GZ48" s="100"/>
      <c r="HA48" s="100"/>
      <c r="HB48" s="100"/>
      <c r="HC48" s="100"/>
      <c r="HD48" s="100"/>
      <c r="HE48" s="100"/>
      <c r="HF48" s="100"/>
      <c r="HG48" s="100"/>
      <c r="HH48" s="100"/>
      <c r="HI48" s="100"/>
      <c r="HJ48" s="100"/>
      <c r="HK48" s="100"/>
      <c r="HL48" s="100"/>
      <c r="HM48" s="100"/>
      <c r="HN48" s="100"/>
      <c r="HO48" s="100"/>
      <c r="HP48" s="100"/>
      <c r="HQ48" s="100"/>
      <c r="HR48" s="100"/>
      <c r="HS48" s="100"/>
      <c r="HT48" s="100"/>
      <c r="HU48" s="100"/>
      <c r="HV48" s="100"/>
      <c r="HW48" s="100"/>
      <c r="HX48" s="100"/>
      <c r="HY48" s="100"/>
      <c r="HZ48" s="100"/>
      <c r="IA48" s="100"/>
      <c r="IB48" s="100"/>
      <c r="IC48" s="100"/>
      <c r="ID48" s="100"/>
      <c r="IE48" s="100"/>
      <c r="IF48" s="100"/>
      <c r="IG48" s="100"/>
      <c r="IH48" s="100"/>
      <c r="II48" s="100"/>
      <c r="IJ48" s="100"/>
      <c r="IK48" s="100"/>
      <c r="IL48" s="100"/>
      <c r="IM48" s="100"/>
      <c r="IN48" s="100"/>
      <c r="IO48" s="100"/>
      <c r="IP48" s="100"/>
      <c r="IQ48" s="100"/>
      <c r="IR48" s="100"/>
      <c r="IS48" s="100"/>
      <c r="IT48" s="100"/>
      <c r="IU48" s="100"/>
      <c r="IV48" s="100"/>
      <c r="IW48" s="100"/>
      <c r="IX48" s="100"/>
      <c r="IY48" s="100"/>
      <c r="IZ48" s="100"/>
      <c r="JA48" s="100"/>
      <c r="JB48" s="100"/>
      <c r="JC48" s="100"/>
      <c r="JD48" s="100"/>
      <c r="JE48" s="100"/>
      <c r="JF48" s="100"/>
      <c r="JG48" s="100"/>
      <c r="JH48" s="100"/>
      <c r="JI48" s="100"/>
      <c r="JJ48" s="100"/>
      <c r="JK48" s="100"/>
      <c r="JL48" s="100"/>
      <c r="JM48" s="100"/>
      <c r="JN48" s="100"/>
      <c r="JO48" s="100"/>
      <c r="JP48" s="100"/>
      <c r="JQ48" s="100"/>
      <c r="JR48" s="100"/>
      <c r="JS48" s="100"/>
      <c r="JT48" s="100"/>
      <c r="JU48" s="100"/>
      <c r="JV48" s="100"/>
      <c r="JW48" s="100"/>
      <c r="JX48" s="100"/>
      <c r="JY48" s="100"/>
      <c r="JZ48" s="100"/>
      <c r="KA48" s="100"/>
      <c r="KB48" s="100"/>
      <c r="KC48" s="100"/>
      <c r="KD48" s="100"/>
      <c r="KE48" s="100"/>
      <c r="KF48" s="100"/>
      <c r="KG48" s="100"/>
      <c r="KH48" s="100"/>
      <c r="KI48" s="100"/>
      <c r="KJ48" s="100"/>
    </row>
    <row r="49" spans="1:296" s="39" customFormat="1" ht="18" x14ac:dyDescent="0.35">
      <c r="A49"/>
      <c r="B49" s="173" t="s">
        <v>0</v>
      </c>
      <c r="C49" s="173"/>
      <c r="D49" s="173"/>
      <c r="E49" s="173"/>
      <c r="F49" s="7"/>
      <c r="G49" s="5"/>
      <c r="H49"/>
      <c r="I49" s="28"/>
      <c r="K49" s="70"/>
      <c r="L49" s="75"/>
      <c r="M49" s="127"/>
      <c r="N49" s="77"/>
      <c r="O49" s="164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00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100"/>
      <c r="CX49" s="100"/>
      <c r="CY49" s="100"/>
      <c r="CZ49" s="100"/>
      <c r="DA49" s="100"/>
      <c r="DB49" s="100"/>
      <c r="DC49" s="100"/>
      <c r="DD49" s="100"/>
      <c r="DE49" s="100"/>
      <c r="DF49" s="100"/>
      <c r="DG49" s="100"/>
      <c r="DH49" s="100"/>
      <c r="DI49" s="100"/>
      <c r="DJ49" s="100"/>
      <c r="DK49" s="100"/>
      <c r="DL49" s="100"/>
      <c r="DM49" s="100"/>
      <c r="DN49" s="100"/>
      <c r="DO49" s="100"/>
      <c r="DP49" s="100"/>
      <c r="DQ49" s="100"/>
      <c r="DR49" s="100"/>
      <c r="DS49" s="100"/>
      <c r="DT49" s="100"/>
      <c r="DU49" s="100"/>
      <c r="DV49" s="100"/>
      <c r="DW49" s="100"/>
      <c r="DX49" s="100"/>
      <c r="DY49" s="100"/>
      <c r="DZ49" s="100"/>
      <c r="EA49" s="100"/>
      <c r="EB49" s="100"/>
      <c r="EC49" s="100"/>
      <c r="ED49" s="100"/>
      <c r="EE49" s="100"/>
      <c r="EF49" s="100"/>
      <c r="EG49" s="100"/>
      <c r="EH49" s="100"/>
      <c r="EI49" s="100"/>
      <c r="EJ49" s="100"/>
      <c r="EK49" s="100"/>
      <c r="EL49" s="100"/>
      <c r="EM49" s="100"/>
      <c r="EN49" s="100"/>
      <c r="EO49" s="100"/>
      <c r="EP49" s="100"/>
      <c r="EQ49" s="100"/>
      <c r="ER49" s="100"/>
      <c r="ES49" s="100"/>
      <c r="ET49" s="100"/>
      <c r="EU49" s="100"/>
      <c r="EV49" s="100"/>
      <c r="EW49" s="100"/>
      <c r="EX49" s="100"/>
      <c r="EY49" s="100"/>
      <c r="EZ49" s="100"/>
      <c r="FA49" s="100"/>
      <c r="FB49" s="100"/>
      <c r="FC49" s="100"/>
      <c r="FD49" s="100"/>
      <c r="FE49" s="100"/>
      <c r="FF49" s="100"/>
      <c r="FG49" s="100"/>
      <c r="FH49" s="100"/>
      <c r="FI49" s="100"/>
      <c r="FJ49" s="100"/>
      <c r="FK49" s="100"/>
      <c r="FL49" s="100"/>
      <c r="FM49" s="100"/>
      <c r="FN49" s="100"/>
      <c r="FO49" s="100"/>
      <c r="FP49" s="100"/>
      <c r="FQ49" s="100"/>
      <c r="FR49" s="100"/>
      <c r="FS49" s="100"/>
      <c r="FT49" s="100"/>
      <c r="FU49" s="100"/>
      <c r="FV49" s="100"/>
      <c r="FW49" s="100"/>
      <c r="FX49" s="100"/>
      <c r="FY49" s="100"/>
      <c r="FZ49" s="100"/>
      <c r="GA49" s="100"/>
      <c r="GB49" s="100"/>
      <c r="GC49" s="100"/>
      <c r="GD49" s="100"/>
      <c r="GE49" s="100"/>
      <c r="GF49" s="100"/>
      <c r="GG49" s="100"/>
      <c r="GH49" s="100"/>
      <c r="GI49" s="100"/>
      <c r="GJ49" s="100"/>
      <c r="GK49" s="100"/>
      <c r="GL49" s="100"/>
      <c r="GM49" s="100"/>
      <c r="GN49" s="100"/>
      <c r="GO49" s="100"/>
      <c r="GP49" s="100"/>
      <c r="GQ49" s="100"/>
      <c r="GR49" s="100"/>
      <c r="GS49" s="100"/>
      <c r="GT49" s="100"/>
      <c r="GU49" s="100"/>
      <c r="GV49" s="100"/>
      <c r="GW49" s="100"/>
      <c r="GX49" s="100"/>
      <c r="GY49" s="100"/>
      <c r="GZ49" s="100"/>
      <c r="HA49" s="100"/>
      <c r="HB49" s="100"/>
      <c r="HC49" s="100"/>
      <c r="HD49" s="100"/>
      <c r="HE49" s="100"/>
      <c r="HF49" s="100"/>
      <c r="HG49" s="100"/>
      <c r="HH49" s="100"/>
      <c r="HI49" s="100"/>
      <c r="HJ49" s="100"/>
      <c r="HK49" s="100"/>
      <c r="HL49" s="100"/>
      <c r="HM49" s="100"/>
      <c r="HN49" s="100"/>
      <c r="HO49" s="100"/>
      <c r="HP49" s="100"/>
      <c r="HQ49" s="100"/>
      <c r="HR49" s="100"/>
      <c r="HS49" s="100"/>
      <c r="HT49" s="100"/>
      <c r="HU49" s="100"/>
      <c r="HV49" s="100"/>
      <c r="HW49" s="100"/>
      <c r="HX49" s="100"/>
      <c r="HY49" s="100"/>
      <c r="HZ49" s="100"/>
      <c r="IA49" s="100"/>
      <c r="IB49" s="100"/>
      <c r="IC49" s="100"/>
      <c r="ID49" s="100"/>
      <c r="IE49" s="100"/>
      <c r="IF49" s="100"/>
      <c r="IG49" s="100"/>
      <c r="IH49" s="100"/>
      <c r="II49" s="100"/>
      <c r="IJ49" s="100"/>
      <c r="IK49" s="100"/>
      <c r="IL49" s="100"/>
      <c r="IM49" s="100"/>
      <c r="IN49" s="100"/>
      <c r="IO49" s="100"/>
      <c r="IP49" s="100"/>
      <c r="IQ49" s="100"/>
      <c r="IR49" s="100"/>
      <c r="IS49" s="100"/>
      <c r="IT49" s="100"/>
      <c r="IU49" s="100"/>
      <c r="IV49" s="100"/>
      <c r="IW49" s="100"/>
      <c r="IX49" s="100"/>
      <c r="IY49" s="100"/>
      <c r="IZ49" s="100"/>
      <c r="JA49" s="100"/>
      <c r="JB49" s="100"/>
      <c r="JC49" s="100"/>
      <c r="JD49" s="100"/>
      <c r="JE49" s="100"/>
      <c r="JF49" s="100"/>
      <c r="JG49" s="100"/>
      <c r="JH49" s="100"/>
      <c r="JI49" s="100"/>
      <c r="JJ49" s="100"/>
      <c r="JK49" s="100"/>
      <c r="JL49" s="100"/>
      <c r="JM49" s="100"/>
      <c r="JN49" s="100"/>
      <c r="JO49" s="100"/>
      <c r="JP49" s="100"/>
      <c r="JQ49" s="100"/>
      <c r="JR49" s="100"/>
      <c r="JS49" s="100"/>
      <c r="JT49" s="100"/>
      <c r="JU49" s="100"/>
      <c r="JV49" s="100"/>
      <c r="JW49" s="100"/>
      <c r="JX49" s="100"/>
      <c r="JY49" s="100"/>
      <c r="JZ49" s="100"/>
      <c r="KA49" s="100"/>
      <c r="KB49" s="100"/>
      <c r="KC49" s="100"/>
      <c r="KD49" s="100"/>
      <c r="KE49" s="100"/>
      <c r="KF49" s="100"/>
      <c r="KG49" s="100"/>
      <c r="KH49" s="100"/>
      <c r="KI49" s="100"/>
      <c r="KJ49" s="100"/>
    </row>
    <row r="50" spans="1:296" s="39" customFormat="1" x14ac:dyDescent="0.3">
      <c r="A50"/>
      <c r="B50" s="1" t="s">
        <v>2</v>
      </c>
      <c r="C50" s="4" t="s">
        <v>5</v>
      </c>
      <c r="D50" s="110" t="s">
        <v>4</v>
      </c>
      <c r="E50" s="6" t="s">
        <v>3</v>
      </c>
      <c r="F50" s="7"/>
      <c r="G50" s="5"/>
      <c r="H50"/>
      <c r="I50" s="28"/>
      <c r="K50" s="70"/>
      <c r="L50" s="75"/>
      <c r="M50" s="127"/>
      <c r="N50" s="77"/>
      <c r="O50" s="164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  <c r="BU50" s="100"/>
      <c r="BV50" s="100"/>
      <c r="BW50" s="100"/>
      <c r="BX50" s="100"/>
      <c r="BY50" s="100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/>
      <c r="CV50" s="100"/>
      <c r="CW50" s="100"/>
      <c r="CX50" s="100"/>
      <c r="CY50" s="100"/>
      <c r="CZ50" s="100"/>
      <c r="DA50" s="100"/>
      <c r="DB50" s="100"/>
      <c r="DC50" s="100"/>
      <c r="DD50" s="100"/>
      <c r="DE50" s="100"/>
      <c r="DF50" s="100"/>
      <c r="DG50" s="100"/>
      <c r="DH50" s="100"/>
      <c r="DI50" s="100"/>
      <c r="DJ50" s="100"/>
      <c r="DK50" s="100"/>
      <c r="DL50" s="100"/>
      <c r="DM50" s="100"/>
      <c r="DN50" s="100"/>
      <c r="DO50" s="100"/>
      <c r="DP50" s="100"/>
      <c r="DQ50" s="100"/>
      <c r="DR50" s="100"/>
      <c r="DS50" s="100"/>
      <c r="DT50" s="100"/>
      <c r="DU50" s="100"/>
      <c r="DV50" s="100"/>
      <c r="DW50" s="100"/>
      <c r="DX50" s="100"/>
      <c r="DY50" s="100"/>
      <c r="DZ50" s="100"/>
      <c r="EA50" s="100"/>
      <c r="EB50" s="100"/>
      <c r="EC50" s="100"/>
      <c r="ED50" s="100"/>
      <c r="EE50" s="100"/>
      <c r="EF50" s="100"/>
      <c r="EG50" s="100"/>
      <c r="EH50" s="100"/>
      <c r="EI50" s="100"/>
      <c r="EJ50" s="100"/>
      <c r="EK50" s="100"/>
      <c r="EL50" s="100"/>
      <c r="EM50" s="100"/>
      <c r="EN50" s="100"/>
      <c r="EO50" s="100"/>
      <c r="EP50" s="100"/>
      <c r="EQ50" s="100"/>
      <c r="ER50" s="100"/>
      <c r="ES50" s="100"/>
      <c r="ET50" s="100"/>
      <c r="EU50" s="100"/>
      <c r="EV50" s="100"/>
      <c r="EW50" s="100"/>
      <c r="EX50" s="100"/>
      <c r="EY50" s="100"/>
      <c r="EZ50" s="100"/>
      <c r="FA50" s="100"/>
      <c r="FB50" s="100"/>
      <c r="FC50" s="100"/>
      <c r="FD50" s="100"/>
      <c r="FE50" s="100"/>
      <c r="FF50" s="100"/>
      <c r="FG50" s="100"/>
      <c r="FH50" s="100"/>
      <c r="FI50" s="100"/>
      <c r="FJ50" s="100"/>
      <c r="FK50" s="100"/>
      <c r="FL50" s="100"/>
      <c r="FM50" s="100"/>
      <c r="FN50" s="100"/>
      <c r="FO50" s="100"/>
      <c r="FP50" s="100"/>
      <c r="FQ50" s="100"/>
      <c r="FR50" s="100"/>
      <c r="FS50" s="100"/>
      <c r="FT50" s="100"/>
      <c r="FU50" s="100"/>
      <c r="FV50" s="100"/>
      <c r="FW50" s="100"/>
      <c r="FX50" s="100"/>
      <c r="FY50" s="100"/>
      <c r="FZ50" s="100"/>
      <c r="GA50" s="100"/>
      <c r="GB50" s="100"/>
      <c r="GC50" s="100"/>
      <c r="GD50" s="100"/>
      <c r="GE50" s="100"/>
      <c r="GF50" s="100"/>
      <c r="GG50" s="100"/>
      <c r="GH50" s="100"/>
      <c r="GI50" s="100"/>
      <c r="GJ50" s="100"/>
      <c r="GK50" s="100"/>
      <c r="GL50" s="100"/>
      <c r="GM50" s="100"/>
      <c r="GN50" s="100"/>
      <c r="GO50" s="100"/>
      <c r="GP50" s="100"/>
      <c r="GQ50" s="100"/>
      <c r="GR50" s="100"/>
      <c r="GS50" s="100"/>
      <c r="GT50" s="100"/>
      <c r="GU50" s="100"/>
      <c r="GV50" s="100"/>
      <c r="GW50" s="100"/>
      <c r="GX50" s="100"/>
      <c r="GY50" s="100"/>
      <c r="GZ50" s="100"/>
      <c r="HA50" s="100"/>
      <c r="HB50" s="100"/>
      <c r="HC50" s="100"/>
      <c r="HD50" s="100"/>
      <c r="HE50" s="100"/>
      <c r="HF50" s="100"/>
      <c r="HG50" s="100"/>
      <c r="HH50" s="100"/>
      <c r="HI50" s="100"/>
      <c r="HJ50" s="100"/>
      <c r="HK50" s="100"/>
      <c r="HL50" s="100"/>
      <c r="HM50" s="100"/>
      <c r="HN50" s="100"/>
      <c r="HO50" s="100"/>
      <c r="HP50" s="100"/>
      <c r="HQ50" s="100"/>
      <c r="HR50" s="100"/>
      <c r="HS50" s="100"/>
      <c r="HT50" s="100"/>
      <c r="HU50" s="100"/>
      <c r="HV50" s="100"/>
      <c r="HW50" s="100"/>
      <c r="HX50" s="100"/>
      <c r="HY50" s="100"/>
      <c r="HZ50" s="100"/>
      <c r="IA50" s="100"/>
      <c r="IB50" s="100"/>
      <c r="IC50" s="100"/>
      <c r="ID50" s="100"/>
      <c r="IE50" s="100"/>
      <c r="IF50" s="100"/>
      <c r="IG50" s="100"/>
      <c r="IH50" s="100"/>
      <c r="II50" s="100"/>
      <c r="IJ50" s="100"/>
      <c r="IK50" s="100"/>
      <c r="IL50" s="100"/>
      <c r="IM50" s="100"/>
      <c r="IN50" s="100"/>
      <c r="IO50" s="100"/>
      <c r="IP50" s="100"/>
      <c r="IQ50" s="100"/>
      <c r="IR50" s="100"/>
      <c r="IS50" s="100"/>
      <c r="IT50" s="100"/>
      <c r="IU50" s="100"/>
      <c r="IV50" s="100"/>
      <c r="IW50" s="100"/>
      <c r="IX50" s="100"/>
      <c r="IY50" s="100"/>
      <c r="IZ50" s="100"/>
      <c r="JA50" s="100"/>
      <c r="JB50" s="100"/>
      <c r="JC50" s="100"/>
      <c r="JD50" s="100"/>
      <c r="JE50" s="100"/>
      <c r="JF50" s="100"/>
      <c r="JG50" s="100"/>
      <c r="JH50" s="100"/>
      <c r="JI50" s="100"/>
      <c r="JJ50" s="100"/>
      <c r="JK50" s="100"/>
      <c r="JL50" s="100"/>
      <c r="JM50" s="100"/>
      <c r="JN50" s="100"/>
      <c r="JO50" s="100"/>
      <c r="JP50" s="100"/>
      <c r="JQ50" s="100"/>
      <c r="JR50" s="100"/>
      <c r="JS50" s="100"/>
      <c r="JT50" s="100"/>
      <c r="JU50" s="100"/>
      <c r="JV50" s="100"/>
      <c r="JW50" s="100"/>
      <c r="JX50" s="100"/>
      <c r="JY50" s="100"/>
      <c r="JZ50" s="100"/>
      <c r="KA50" s="100"/>
      <c r="KB50" s="100"/>
      <c r="KC50" s="100"/>
      <c r="KD50" s="100"/>
      <c r="KE50" s="100"/>
      <c r="KF50" s="100"/>
      <c r="KG50" s="100"/>
      <c r="KH50" s="100"/>
      <c r="KI50" s="100"/>
      <c r="KJ50" s="100"/>
    </row>
    <row r="51" spans="1:296" s="39" customFormat="1" x14ac:dyDescent="0.3">
      <c r="A51"/>
      <c r="B51" t="s">
        <v>1</v>
      </c>
      <c r="C51" s="5">
        <v>18</v>
      </c>
      <c r="D51" s="111">
        <v>6</v>
      </c>
      <c r="E51" s="5">
        <f>-(+C51*D51)</f>
        <v>-108</v>
      </c>
      <c r="F51" s="7"/>
      <c r="G51" s="15"/>
      <c r="H51"/>
      <c r="I51" s="28"/>
      <c r="K51" s="70"/>
      <c r="L51" s="75"/>
      <c r="M51" s="127"/>
      <c r="N51" s="77"/>
      <c r="O51" s="164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0"/>
      <c r="DE51" s="100"/>
      <c r="DF51" s="100"/>
      <c r="DG51" s="100"/>
      <c r="DH51" s="100"/>
      <c r="DI51" s="100"/>
      <c r="DJ51" s="100"/>
      <c r="DK51" s="100"/>
      <c r="DL51" s="100"/>
      <c r="DM51" s="100"/>
      <c r="DN51" s="100"/>
      <c r="DO51" s="100"/>
      <c r="DP51" s="100"/>
      <c r="DQ51" s="100"/>
      <c r="DR51" s="100"/>
      <c r="DS51" s="100"/>
      <c r="DT51" s="100"/>
      <c r="DU51" s="100"/>
      <c r="DV51" s="100"/>
      <c r="DW51" s="100"/>
      <c r="DX51" s="100"/>
      <c r="DY51" s="100"/>
      <c r="DZ51" s="100"/>
      <c r="EA51" s="100"/>
      <c r="EB51" s="100"/>
      <c r="EC51" s="100"/>
      <c r="ED51" s="100"/>
      <c r="EE51" s="100"/>
      <c r="EF51" s="100"/>
      <c r="EG51" s="100"/>
      <c r="EH51" s="100"/>
      <c r="EI51" s="100"/>
      <c r="EJ51" s="100"/>
      <c r="EK51" s="100"/>
      <c r="EL51" s="100"/>
      <c r="EM51" s="100"/>
      <c r="EN51" s="100"/>
      <c r="EO51" s="100"/>
      <c r="EP51" s="100"/>
      <c r="EQ51" s="100"/>
      <c r="ER51" s="100"/>
      <c r="ES51" s="100"/>
      <c r="ET51" s="100"/>
      <c r="EU51" s="100"/>
      <c r="EV51" s="100"/>
      <c r="EW51" s="100"/>
      <c r="EX51" s="100"/>
      <c r="EY51" s="100"/>
      <c r="EZ51" s="100"/>
      <c r="FA51" s="100"/>
      <c r="FB51" s="100"/>
      <c r="FC51" s="100"/>
      <c r="FD51" s="100"/>
      <c r="FE51" s="100"/>
      <c r="FF51" s="100"/>
      <c r="FG51" s="100"/>
      <c r="FH51" s="100"/>
      <c r="FI51" s="100"/>
      <c r="FJ51" s="100"/>
      <c r="FK51" s="100"/>
      <c r="FL51" s="100"/>
      <c r="FM51" s="100"/>
      <c r="FN51" s="100"/>
      <c r="FO51" s="100"/>
      <c r="FP51" s="100"/>
      <c r="FQ51" s="100"/>
      <c r="FR51" s="100"/>
      <c r="FS51" s="100"/>
      <c r="FT51" s="100"/>
      <c r="FU51" s="100"/>
      <c r="FV51" s="100"/>
      <c r="FW51" s="100"/>
      <c r="FX51" s="100"/>
      <c r="FY51" s="100"/>
      <c r="FZ51" s="100"/>
      <c r="GA51" s="100"/>
      <c r="GB51" s="100"/>
      <c r="GC51" s="100"/>
      <c r="GD51" s="100"/>
      <c r="GE51" s="100"/>
      <c r="GF51" s="100"/>
      <c r="GG51" s="100"/>
      <c r="GH51" s="100"/>
      <c r="GI51" s="100"/>
      <c r="GJ51" s="100"/>
      <c r="GK51" s="100"/>
      <c r="GL51" s="100"/>
      <c r="GM51" s="100"/>
      <c r="GN51" s="100"/>
      <c r="GO51" s="100"/>
      <c r="GP51" s="100"/>
      <c r="GQ51" s="100"/>
      <c r="GR51" s="100"/>
      <c r="GS51" s="100"/>
      <c r="GT51" s="100"/>
      <c r="GU51" s="100"/>
      <c r="GV51" s="100"/>
      <c r="GW51" s="100"/>
      <c r="GX51" s="100"/>
      <c r="GY51" s="100"/>
      <c r="GZ51" s="100"/>
      <c r="HA51" s="100"/>
      <c r="HB51" s="100"/>
      <c r="HC51" s="100"/>
      <c r="HD51" s="100"/>
      <c r="HE51" s="100"/>
      <c r="HF51" s="100"/>
      <c r="HG51" s="100"/>
      <c r="HH51" s="100"/>
      <c r="HI51" s="100"/>
      <c r="HJ51" s="100"/>
      <c r="HK51" s="100"/>
      <c r="HL51" s="100"/>
      <c r="HM51" s="100"/>
      <c r="HN51" s="100"/>
      <c r="HO51" s="100"/>
      <c r="HP51" s="100"/>
      <c r="HQ51" s="100"/>
      <c r="HR51" s="100"/>
      <c r="HS51" s="100"/>
      <c r="HT51" s="100"/>
      <c r="HU51" s="100"/>
      <c r="HV51" s="100"/>
      <c r="HW51" s="100"/>
      <c r="HX51" s="100"/>
      <c r="HY51" s="100"/>
      <c r="HZ51" s="100"/>
      <c r="IA51" s="100"/>
      <c r="IB51" s="100"/>
      <c r="IC51" s="100"/>
      <c r="ID51" s="100"/>
      <c r="IE51" s="100"/>
      <c r="IF51" s="100"/>
      <c r="IG51" s="100"/>
      <c r="IH51" s="100"/>
      <c r="II51" s="100"/>
      <c r="IJ51" s="100"/>
      <c r="IK51" s="100"/>
      <c r="IL51" s="100"/>
      <c r="IM51" s="100"/>
      <c r="IN51" s="100"/>
      <c r="IO51" s="100"/>
      <c r="IP51" s="100"/>
      <c r="IQ51" s="100"/>
      <c r="IR51" s="100"/>
      <c r="IS51" s="100"/>
      <c r="IT51" s="100"/>
      <c r="IU51" s="100"/>
      <c r="IV51" s="100"/>
      <c r="IW51" s="100"/>
      <c r="IX51" s="100"/>
      <c r="IY51" s="100"/>
      <c r="IZ51" s="100"/>
      <c r="JA51" s="100"/>
      <c r="JB51" s="100"/>
      <c r="JC51" s="100"/>
      <c r="JD51" s="100"/>
      <c r="JE51" s="100"/>
      <c r="JF51" s="100"/>
      <c r="JG51" s="100"/>
      <c r="JH51" s="100"/>
      <c r="JI51" s="100"/>
      <c r="JJ51" s="100"/>
      <c r="JK51" s="100"/>
      <c r="JL51" s="100"/>
      <c r="JM51" s="100"/>
      <c r="JN51" s="100"/>
      <c r="JO51" s="100"/>
      <c r="JP51" s="100"/>
      <c r="JQ51" s="100"/>
      <c r="JR51" s="100"/>
      <c r="JS51" s="100"/>
      <c r="JT51" s="100"/>
      <c r="JU51" s="100"/>
      <c r="JV51" s="100"/>
      <c r="JW51" s="100"/>
      <c r="JX51" s="100"/>
      <c r="JY51" s="100"/>
      <c r="JZ51" s="100"/>
      <c r="KA51" s="100"/>
      <c r="KB51" s="100"/>
      <c r="KC51" s="100"/>
      <c r="KD51" s="100"/>
      <c r="KE51" s="100"/>
      <c r="KF51" s="100"/>
      <c r="KG51" s="100"/>
      <c r="KH51" s="100"/>
      <c r="KI51" s="100"/>
      <c r="KJ51" s="100"/>
    </row>
    <row r="52" spans="1:296" s="39" customFormat="1" x14ac:dyDescent="0.3">
      <c r="A52"/>
      <c r="B52" t="s">
        <v>6</v>
      </c>
      <c r="C52" s="5">
        <v>12.5</v>
      </c>
      <c r="D52" s="111">
        <v>6</v>
      </c>
      <c r="E52" s="5">
        <f t="shared" ref="E52:E59" si="1">-(+C52*D52)</f>
        <v>-75</v>
      </c>
      <c r="F52" s="18"/>
      <c r="G52" s="19"/>
      <c r="H52"/>
      <c r="I52" s="28"/>
      <c r="K52" s="70"/>
      <c r="L52" s="75"/>
      <c r="M52" s="127"/>
      <c r="N52" s="77"/>
      <c r="O52" s="164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0"/>
      <c r="BL52" s="100"/>
      <c r="BM52" s="100"/>
      <c r="BN52" s="100"/>
      <c r="BO52" s="100"/>
      <c r="BP52" s="100"/>
      <c r="BQ52" s="100"/>
      <c r="BR52" s="100"/>
      <c r="BS52" s="100"/>
      <c r="BT52" s="100"/>
      <c r="BU52" s="100"/>
      <c r="BV52" s="100"/>
      <c r="BW52" s="100"/>
      <c r="BX52" s="100"/>
      <c r="BY52" s="100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  <c r="DC52" s="100"/>
      <c r="DD52" s="100"/>
      <c r="DE52" s="100"/>
      <c r="DF52" s="100"/>
      <c r="DG52" s="100"/>
      <c r="DH52" s="100"/>
      <c r="DI52" s="100"/>
      <c r="DJ52" s="100"/>
      <c r="DK52" s="100"/>
      <c r="DL52" s="100"/>
      <c r="DM52" s="100"/>
      <c r="DN52" s="100"/>
      <c r="DO52" s="100"/>
      <c r="DP52" s="100"/>
      <c r="DQ52" s="100"/>
      <c r="DR52" s="100"/>
      <c r="DS52" s="100"/>
      <c r="DT52" s="100"/>
      <c r="DU52" s="100"/>
      <c r="DV52" s="100"/>
      <c r="DW52" s="100"/>
      <c r="DX52" s="100"/>
      <c r="DY52" s="100"/>
      <c r="DZ52" s="100"/>
      <c r="EA52" s="100"/>
      <c r="EB52" s="100"/>
      <c r="EC52" s="100"/>
      <c r="ED52" s="100"/>
      <c r="EE52" s="100"/>
      <c r="EF52" s="100"/>
      <c r="EG52" s="100"/>
      <c r="EH52" s="100"/>
      <c r="EI52" s="100"/>
      <c r="EJ52" s="100"/>
      <c r="EK52" s="100"/>
      <c r="EL52" s="100"/>
      <c r="EM52" s="100"/>
      <c r="EN52" s="100"/>
      <c r="EO52" s="100"/>
      <c r="EP52" s="100"/>
      <c r="EQ52" s="100"/>
      <c r="ER52" s="100"/>
      <c r="ES52" s="100"/>
      <c r="ET52" s="100"/>
      <c r="EU52" s="100"/>
      <c r="EV52" s="100"/>
      <c r="EW52" s="100"/>
      <c r="EX52" s="100"/>
      <c r="EY52" s="100"/>
      <c r="EZ52" s="100"/>
      <c r="FA52" s="100"/>
      <c r="FB52" s="100"/>
      <c r="FC52" s="100"/>
      <c r="FD52" s="100"/>
      <c r="FE52" s="100"/>
      <c r="FF52" s="100"/>
      <c r="FG52" s="100"/>
      <c r="FH52" s="100"/>
      <c r="FI52" s="100"/>
      <c r="FJ52" s="100"/>
      <c r="FK52" s="100"/>
      <c r="FL52" s="100"/>
      <c r="FM52" s="100"/>
      <c r="FN52" s="100"/>
      <c r="FO52" s="100"/>
      <c r="FP52" s="100"/>
      <c r="FQ52" s="100"/>
      <c r="FR52" s="100"/>
      <c r="FS52" s="100"/>
      <c r="FT52" s="100"/>
      <c r="FU52" s="100"/>
      <c r="FV52" s="100"/>
      <c r="FW52" s="100"/>
      <c r="FX52" s="100"/>
      <c r="FY52" s="100"/>
      <c r="FZ52" s="100"/>
      <c r="GA52" s="100"/>
      <c r="GB52" s="100"/>
      <c r="GC52" s="100"/>
      <c r="GD52" s="100"/>
      <c r="GE52" s="100"/>
      <c r="GF52" s="100"/>
      <c r="GG52" s="100"/>
      <c r="GH52" s="100"/>
      <c r="GI52" s="100"/>
      <c r="GJ52" s="100"/>
      <c r="GK52" s="100"/>
      <c r="GL52" s="100"/>
      <c r="GM52" s="100"/>
      <c r="GN52" s="100"/>
      <c r="GO52" s="100"/>
      <c r="GP52" s="100"/>
      <c r="GQ52" s="100"/>
      <c r="GR52" s="100"/>
      <c r="GS52" s="100"/>
      <c r="GT52" s="100"/>
      <c r="GU52" s="100"/>
      <c r="GV52" s="100"/>
      <c r="GW52" s="100"/>
      <c r="GX52" s="100"/>
      <c r="GY52" s="100"/>
      <c r="GZ52" s="100"/>
      <c r="HA52" s="100"/>
      <c r="HB52" s="100"/>
      <c r="HC52" s="100"/>
      <c r="HD52" s="100"/>
      <c r="HE52" s="100"/>
      <c r="HF52" s="100"/>
      <c r="HG52" s="100"/>
      <c r="HH52" s="100"/>
      <c r="HI52" s="100"/>
      <c r="HJ52" s="100"/>
      <c r="HK52" s="100"/>
      <c r="HL52" s="100"/>
      <c r="HM52" s="100"/>
      <c r="HN52" s="100"/>
      <c r="HO52" s="100"/>
      <c r="HP52" s="100"/>
      <c r="HQ52" s="100"/>
      <c r="HR52" s="100"/>
      <c r="HS52" s="100"/>
      <c r="HT52" s="100"/>
      <c r="HU52" s="100"/>
      <c r="HV52" s="100"/>
      <c r="HW52" s="100"/>
      <c r="HX52" s="100"/>
      <c r="HY52" s="100"/>
      <c r="HZ52" s="100"/>
      <c r="IA52" s="100"/>
      <c r="IB52" s="100"/>
      <c r="IC52" s="100"/>
      <c r="ID52" s="100"/>
      <c r="IE52" s="100"/>
      <c r="IF52" s="100"/>
      <c r="IG52" s="100"/>
      <c r="IH52" s="100"/>
      <c r="II52" s="100"/>
      <c r="IJ52" s="100"/>
      <c r="IK52" s="100"/>
      <c r="IL52" s="100"/>
      <c r="IM52" s="100"/>
      <c r="IN52" s="100"/>
      <c r="IO52" s="100"/>
      <c r="IP52" s="100"/>
      <c r="IQ52" s="100"/>
      <c r="IR52" s="100"/>
      <c r="IS52" s="100"/>
      <c r="IT52" s="100"/>
      <c r="IU52" s="100"/>
      <c r="IV52" s="100"/>
      <c r="IW52" s="100"/>
      <c r="IX52" s="100"/>
      <c r="IY52" s="100"/>
      <c r="IZ52" s="100"/>
      <c r="JA52" s="100"/>
      <c r="JB52" s="100"/>
      <c r="JC52" s="100"/>
      <c r="JD52" s="100"/>
      <c r="JE52" s="100"/>
      <c r="JF52" s="100"/>
      <c r="JG52" s="100"/>
      <c r="JH52" s="100"/>
      <c r="JI52" s="100"/>
      <c r="JJ52" s="100"/>
      <c r="JK52" s="100"/>
      <c r="JL52" s="100"/>
      <c r="JM52" s="100"/>
      <c r="JN52" s="100"/>
      <c r="JO52" s="100"/>
      <c r="JP52" s="100"/>
      <c r="JQ52" s="100"/>
      <c r="JR52" s="100"/>
      <c r="JS52" s="100"/>
      <c r="JT52" s="100"/>
      <c r="JU52" s="100"/>
      <c r="JV52" s="100"/>
      <c r="JW52" s="100"/>
      <c r="JX52" s="100"/>
      <c r="JY52" s="100"/>
      <c r="JZ52" s="100"/>
      <c r="KA52" s="100"/>
      <c r="KB52" s="100"/>
      <c r="KC52" s="100"/>
      <c r="KD52" s="100"/>
      <c r="KE52" s="100"/>
      <c r="KF52" s="100"/>
      <c r="KG52" s="100"/>
      <c r="KH52" s="100"/>
      <c r="KI52" s="100"/>
      <c r="KJ52" s="100"/>
    </row>
    <row r="53" spans="1:296" s="43" customFormat="1" x14ac:dyDescent="0.3">
      <c r="B53" s="130" t="s">
        <v>128</v>
      </c>
      <c r="C53" s="119">
        <v>15</v>
      </c>
      <c r="D53" s="120">
        <v>0</v>
      </c>
      <c r="E53" s="119">
        <f>-(+C53*D53)</f>
        <v>0</v>
      </c>
      <c r="F53" s="121"/>
      <c r="G53" s="119"/>
      <c r="I53" s="28"/>
      <c r="J53" s="39"/>
      <c r="K53" s="70"/>
      <c r="L53" s="75"/>
      <c r="M53" s="127"/>
      <c r="N53" s="77"/>
      <c r="O53" s="164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  <c r="DC53" s="100"/>
      <c r="DD53" s="100"/>
      <c r="DE53" s="100"/>
      <c r="DF53" s="100"/>
      <c r="DG53" s="100"/>
      <c r="DH53" s="100"/>
      <c r="DI53" s="100"/>
      <c r="DJ53" s="100"/>
      <c r="DK53" s="100"/>
      <c r="DL53" s="100"/>
      <c r="DM53" s="100"/>
      <c r="DN53" s="100"/>
      <c r="DO53" s="100"/>
      <c r="DP53" s="100"/>
      <c r="DQ53" s="100"/>
      <c r="DR53" s="100"/>
      <c r="DS53" s="100"/>
      <c r="DT53" s="100"/>
      <c r="DU53" s="100"/>
      <c r="DV53" s="100"/>
      <c r="DW53" s="100"/>
      <c r="DX53" s="100"/>
      <c r="DY53" s="100"/>
      <c r="DZ53" s="100"/>
      <c r="EA53" s="100"/>
      <c r="EB53" s="100"/>
      <c r="EC53" s="100"/>
      <c r="ED53" s="100"/>
      <c r="EE53" s="100"/>
      <c r="EF53" s="100"/>
      <c r="EG53" s="100"/>
      <c r="EH53" s="100"/>
      <c r="EI53" s="100"/>
      <c r="EJ53" s="100"/>
      <c r="EK53" s="100"/>
      <c r="EL53" s="100"/>
      <c r="EM53" s="100"/>
      <c r="EN53" s="100"/>
      <c r="EO53" s="100"/>
      <c r="EP53" s="100"/>
      <c r="EQ53" s="100"/>
      <c r="ER53" s="100"/>
      <c r="ES53" s="100"/>
      <c r="ET53" s="100"/>
      <c r="EU53" s="100"/>
      <c r="EV53" s="100"/>
      <c r="EW53" s="100"/>
      <c r="EX53" s="100"/>
      <c r="EY53" s="100"/>
      <c r="EZ53" s="100"/>
      <c r="FA53" s="100"/>
      <c r="FB53" s="100"/>
      <c r="FC53" s="100"/>
      <c r="FD53" s="100"/>
      <c r="FE53" s="100"/>
      <c r="FF53" s="100"/>
      <c r="FG53" s="100"/>
      <c r="FH53" s="100"/>
      <c r="FI53" s="100"/>
      <c r="FJ53" s="100"/>
      <c r="FK53" s="100"/>
      <c r="FL53" s="100"/>
      <c r="FM53" s="100"/>
      <c r="FN53" s="100"/>
      <c r="FO53" s="100"/>
      <c r="FP53" s="100"/>
      <c r="FQ53" s="100"/>
      <c r="FR53" s="100"/>
      <c r="FS53" s="100"/>
      <c r="FT53" s="100"/>
      <c r="FU53" s="100"/>
      <c r="FV53" s="100"/>
      <c r="FW53" s="100"/>
      <c r="FX53" s="100"/>
      <c r="FY53" s="100"/>
      <c r="FZ53" s="100"/>
      <c r="GA53" s="100"/>
      <c r="GB53" s="100"/>
      <c r="GC53" s="100"/>
      <c r="GD53" s="100"/>
      <c r="GE53" s="100"/>
      <c r="GF53" s="100"/>
      <c r="GG53" s="100"/>
      <c r="GH53" s="100"/>
      <c r="GI53" s="100"/>
      <c r="GJ53" s="100"/>
      <c r="GK53" s="100"/>
      <c r="GL53" s="100"/>
      <c r="GM53" s="100"/>
      <c r="GN53" s="100"/>
      <c r="GO53" s="100"/>
      <c r="GP53" s="100"/>
      <c r="GQ53" s="100"/>
      <c r="GR53" s="100"/>
      <c r="GS53" s="100"/>
      <c r="GT53" s="100"/>
      <c r="GU53" s="100"/>
      <c r="GV53" s="100"/>
      <c r="GW53" s="100"/>
      <c r="GX53" s="100"/>
      <c r="GY53" s="100"/>
      <c r="GZ53" s="100"/>
      <c r="HA53" s="100"/>
      <c r="HB53" s="100"/>
      <c r="HC53" s="100"/>
      <c r="HD53" s="100"/>
      <c r="HE53" s="100"/>
      <c r="HF53" s="100"/>
      <c r="HG53" s="100"/>
      <c r="HH53" s="100"/>
      <c r="HI53" s="100"/>
      <c r="HJ53" s="100"/>
      <c r="HK53" s="100"/>
      <c r="HL53" s="100"/>
      <c r="HM53" s="100"/>
      <c r="HN53" s="100"/>
      <c r="HO53" s="100"/>
      <c r="HP53" s="100"/>
      <c r="HQ53" s="100"/>
      <c r="HR53" s="100"/>
      <c r="HS53" s="100"/>
      <c r="HT53" s="100"/>
      <c r="HU53" s="100"/>
      <c r="HV53" s="100"/>
      <c r="HW53" s="100"/>
      <c r="HX53" s="100"/>
      <c r="HY53" s="100"/>
      <c r="HZ53" s="100"/>
      <c r="IA53" s="100"/>
      <c r="IB53" s="100"/>
      <c r="IC53" s="100"/>
      <c r="ID53" s="100"/>
      <c r="IE53" s="100"/>
      <c r="IF53" s="100"/>
      <c r="IG53" s="100"/>
      <c r="IH53" s="100"/>
      <c r="II53" s="100"/>
      <c r="IJ53" s="100"/>
      <c r="IK53" s="100"/>
      <c r="IL53" s="100"/>
      <c r="IM53" s="100"/>
      <c r="IN53" s="100"/>
      <c r="IO53" s="100"/>
      <c r="IP53" s="100"/>
      <c r="IQ53" s="100"/>
      <c r="IR53" s="100"/>
      <c r="IS53" s="100"/>
      <c r="IT53" s="100"/>
      <c r="IU53" s="100"/>
      <c r="IV53" s="100"/>
      <c r="IW53" s="100"/>
      <c r="IX53" s="100"/>
      <c r="IY53" s="100"/>
      <c r="IZ53" s="100"/>
      <c r="JA53" s="100"/>
      <c r="JB53" s="100"/>
      <c r="JC53" s="100"/>
      <c r="JD53" s="100"/>
      <c r="JE53" s="100"/>
      <c r="JF53" s="100"/>
      <c r="JG53" s="100"/>
      <c r="JH53" s="100"/>
      <c r="JI53" s="100"/>
      <c r="JJ53" s="100"/>
      <c r="JK53" s="100"/>
      <c r="JL53" s="100"/>
      <c r="JM53" s="100"/>
      <c r="JN53" s="100"/>
      <c r="JO53" s="100"/>
      <c r="JP53" s="100"/>
      <c r="JQ53" s="100"/>
      <c r="JR53" s="100"/>
      <c r="JS53" s="100"/>
      <c r="JT53" s="100"/>
      <c r="JU53" s="100"/>
      <c r="JV53" s="100"/>
      <c r="JW53" s="100"/>
      <c r="JX53" s="100"/>
      <c r="JY53" s="100"/>
      <c r="JZ53" s="100"/>
      <c r="KA53" s="100"/>
      <c r="KB53" s="100"/>
      <c r="KC53" s="100"/>
      <c r="KD53" s="100"/>
      <c r="KE53" s="100"/>
      <c r="KF53" s="100"/>
      <c r="KG53" s="100"/>
      <c r="KH53" s="100"/>
      <c r="KI53" s="100"/>
      <c r="KJ53" s="100"/>
    </row>
    <row r="54" spans="1:296" s="39" customFormat="1" x14ac:dyDescent="0.3">
      <c r="A54"/>
      <c r="B54" t="s">
        <v>7</v>
      </c>
      <c r="C54" s="5">
        <f>+'DIS. PRENDAS'!L12</f>
        <v>25.279583333333335</v>
      </c>
      <c r="D54" s="111">
        <v>5</v>
      </c>
      <c r="E54" s="5">
        <f t="shared" si="1"/>
        <v>-126.39791666666667</v>
      </c>
      <c r="F54" s="7"/>
      <c r="G54" s="5"/>
      <c r="H54"/>
      <c r="I54" s="28"/>
      <c r="K54" s="70"/>
      <c r="L54" s="75"/>
      <c r="M54" s="127"/>
      <c r="N54" s="77"/>
      <c r="O54" s="164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  <c r="DC54" s="100"/>
      <c r="DD54" s="100"/>
      <c r="DE54" s="100"/>
      <c r="DF54" s="100"/>
      <c r="DG54" s="100"/>
      <c r="DH54" s="100"/>
      <c r="DI54" s="100"/>
      <c r="DJ54" s="100"/>
      <c r="DK54" s="100"/>
      <c r="DL54" s="100"/>
      <c r="DM54" s="100"/>
      <c r="DN54" s="100"/>
      <c r="DO54" s="100"/>
      <c r="DP54" s="100"/>
      <c r="DQ54" s="100"/>
      <c r="DR54" s="100"/>
      <c r="DS54" s="100"/>
      <c r="DT54" s="100"/>
      <c r="DU54" s="100"/>
      <c r="DV54" s="100"/>
      <c r="DW54" s="100"/>
      <c r="DX54" s="100"/>
      <c r="DY54" s="100"/>
      <c r="DZ54" s="100"/>
      <c r="EA54" s="100"/>
      <c r="EB54" s="100"/>
      <c r="EC54" s="100"/>
      <c r="ED54" s="100"/>
      <c r="EE54" s="100"/>
      <c r="EF54" s="100"/>
      <c r="EG54" s="100"/>
      <c r="EH54" s="100"/>
      <c r="EI54" s="100"/>
      <c r="EJ54" s="100"/>
      <c r="EK54" s="100"/>
      <c r="EL54" s="100"/>
      <c r="EM54" s="100"/>
      <c r="EN54" s="100"/>
      <c r="EO54" s="100"/>
      <c r="EP54" s="100"/>
      <c r="EQ54" s="100"/>
      <c r="ER54" s="100"/>
      <c r="ES54" s="100"/>
      <c r="ET54" s="100"/>
      <c r="EU54" s="100"/>
      <c r="EV54" s="100"/>
      <c r="EW54" s="100"/>
      <c r="EX54" s="100"/>
      <c r="EY54" s="100"/>
      <c r="EZ54" s="100"/>
      <c r="FA54" s="100"/>
      <c r="FB54" s="100"/>
      <c r="FC54" s="100"/>
      <c r="FD54" s="100"/>
      <c r="FE54" s="100"/>
      <c r="FF54" s="100"/>
      <c r="FG54" s="100"/>
      <c r="FH54" s="100"/>
      <c r="FI54" s="100"/>
      <c r="FJ54" s="100"/>
      <c r="FK54" s="100"/>
      <c r="FL54" s="100"/>
      <c r="FM54" s="100"/>
      <c r="FN54" s="100"/>
      <c r="FO54" s="100"/>
      <c r="FP54" s="100"/>
      <c r="FQ54" s="100"/>
      <c r="FR54" s="100"/>
      <c r="FS54" s="100"/>
      <c r="FT54" s="100"/>
      <c r="FU54" s="100"/>
      <c r="FV54" s="100"/>
      <c r="FW54" s="100"/>
      <c r="FX54" s="100"/>
      <c r="FY54" s="100"/>
      <c r="FZ54" s="100"/>
      <c r="GA54" s="100"/>
      <c r="GB54" s="100"/>
      <c r="GC54" s="100"/>
      <c r="GD54" s="100"/>
      <c r="GE54" s="100"/>
      <c r="GF54" s="100"/>
      <c r="GG54" s="100"/>
      <c r="GH54" s="100"/>
      <c r="GI54" s="100"/>
      <c r="GJ54" s="100"/>
      <c r="GK54" s="100"/>
      <c r="GL54" s="100"/>
      <c r="GM54" s="100"/>
      <c r="GN54" s="100"/>
      <c r="GO54" s="100"/>
      <c r="GP54" s="100"/>
      <c r="GQ54" s="100"/>
      <c r="GR54" s="100"/>
      <c r="GS54" s="100"/>
      <c r="GT54" s="100"/>
      <c r="GU54" s="100"/>
      <c r="GV54" s="100"/>
      <c r="GW54" s="100"/>
      <c r="GX54" s="100"/>
      <c r="GY54" s="100"/>
      <c r="GZ54" s="100"/>
      <c r="HA54" s="100"/>
      <c r="HB54" s="100"/>
      <c r="HC54" s="100"/>
      <c r="HD54" s="100"/>
      <c r="HE54" s="100"/>
      <c r="HF54" s="100"/>
      <c r="HG54" s="100"/>
      <c r="HH54" s="100"/>
      <c r="HI54" s="100"/>
      <c r="HJ54" s="100"/>
      <c r="HK54" s="100"/>
      <c r="HL54" s="100"/>
      <c r="HM54" s="100"/>
      <c r="HN54" s="100"/>
      <c r="HO54" s="100"/>
      <c r="HP54" s="100"/>
      <c r="HQ54" s="100"/>
      <c r="HR54" s="100"/>
      <c r="HS54" s="100"/>
      <c r="HT54" s="100"/>
      <c r="HU54" s="100"/>
      <c r="HV54" s="100"/>
      <c r="HW54" s="100"/>
      <c r="HX54" s="100"/>
      <c r="HY54" s="100"/>
      <c r="HZ54" s="100"/>
      <c r="IA54" s="100"/>
      <c r="IB54" s="100"/>
      <c r="IC54" s="100"/>
      <c r="ID54" s="100"/>
      <c r="IE54" s="100"/>
      <c r="IF54" s="100"/>
      <c r="IG54" s="100"/>
      <c r="IH54" s="100"/>
      <c r="II54" s="100"/>
      <c r="IJ54" s="100"/>
      <c r="IK54" s="100"/>
      <c r="IL54" s="100"/>
      <c r="IM54" s="100"/>
      <c r="IN54" s="100"/>
      <c r="IO54" s="100"/>
      <c r="IP54" s="100"/>
      <c r="IQ54" s="100"/>
      <c r="IR54" s="100"/>
      <c r="IS54" s="100"/>
      <c r="IT54" s="100"/>
      <c r="IU54" s="100"/>
      <c r="IV54" s="100"/>
      <c r="IW54" s="100"/>
      <c r="IX54" s="100"/>
      <c r="IY54" s="100"/>
      <c r="IZ54" s="100"/>
      <c r="JA54" s="100"/>
      <c r="JB54" s="100"/>
      <c r="JC54" s="100"/>
      <c r="JD54" s="100"/>
      <c r="JE54" s="100"/>
      <c r="JF54" s="100"/>
      <c r="JG54" s="100"/>
      <c r="JH54" s="100"/>
      <c r="JI54" s="100"/>
      <c r="JJ54" s="100"/>
      <c r="JK54" s="100"/>
      <c r="JL54" s="100"/>
      <c r="JM54" s="100"/>
      <c r="JN54" s="100"/>
      <c r="JO54" s="100"/>
      <c r="JP54" s="100"/>
      <c r="JQ54" s="100"/>
      <c r="JR54" s="100"/>
      <c r="JS54" s="100"/>
      <c r="JT54" s="100"/>
      <c r="JU54" s="100"/>
      <c r="JV54" s="100"/>
      <c r="JW54" s="100"/>
      <c r="JX54" s="100"/>
      <c r="JY54" s="100"/>
      <c r="JZ54" s="100"/>
      <c r="KA54" s="100"/>
      <c r="KB54" s="100"/>
      <c r="KC54" s="100"/>
      <c r="KD54" s="100"/>
      <c r="KE54" s="100"/>
      <c r="KF54" s="100"/>
      <c r="KG54" s="100"/>
      <c r="KH54" s="100"/>
      <c r="KI54" s="100"/>
      <c r="KJ54" s="100"/>
    </row>
    <row r="55" spans="1:296" s="28" customFormat="1" x14ac:dyDescent="0.3">
      <c r="B55" s="28" t="s">
        <v>102</v>
      </c>
      <c r="C55" s="83">
        <f>'DIS. PRENDAS'!R12</f>
        <v>36.481249999999996</v>
      </c>
      <c r="D55" s="115">
        <v>6</v>
      </c>
      <c r="E55" s="83">
        <f t="shared" si="1"/>
        <v>-218.88749999999999</v>
      </c>
      <c r="F55" s="131"/>
      <c r="G55" s="83"/>
      <c r="J55" s="39"/>
      <c r="K55" s="70"/>
      <c r="L55" s="75"/>
      <c r="M55" s="127"/>
      <c r="N55" s="77"/>
      <c r="O55" s="164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0"/>
      <c r="BK55" s="100"/>
      <c r="BL55" s="100"/>
      <c r="BM55" s="100"/>
      <c r="BN55" s="100"/>
      <c r="BO55" s="100"/>
      <c r="BP55" s="100"/>
      <c r="BQ55" s="100"/>
      <c r="BR55" s="100"/>
      <c r="BS55" s="100"/>
      <c r="BT55" s="100"/>
      <c r="BU55" s="100"/>
      <c r="BV55" s="100"/>
      <c r="BW55" s="100"/>
      <c r="BX55" s="100"/>
      <c r="BY55" s="100"/>
      <c r="BZ55" s="100"/>
      <c r="CA55" s="100"/>
      <c r="CB55" s="100"/>
      <c r="CC55" s="100"/>
      <c r="CD55" s="100"/>
      <c r="CE55" s="10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  <c r="CT55" s="100"/>
      <c r="CU55" s="100"/>
      <c r="CV55" s="100"/>
      <c r="CW55" s="100"/>
      <c r="CX55" s="100"/>
      <c r="CY55" s="100"/>
      <c r="CZ55" s="100"/>
      <c r="DA55" s="100"/>
      <c r="DB55" s="100"/>
      <c r="DC55" s="100"/>
      <c r="DD55" s="100"/>
      <c r="DE55" s="100"/>
      <c r="DF55" s="100"/>
      <c r="DG55" s="100"/>
      <c r="DH55" s="100"/>
      <c r="DI55" s="100"/>
      <c r="DJ55" s="100"/>
      <c r="DK55" s="100"/>
      <c r="DL55" s="100"/>
      <c r="DM55" s="100"/>
      <c r="DN55" s="100"/>
      <c r="DO55" s="100"/>
      <c r="DP55" s="100"/>
      <c r="DQ55" s="100"/>
      <c r="DR55" s="100"/>
      <c r="DS55" s="100"/>
      <c r="DT55" s="100"/>
      <c r="DU55" s="100"/>
      <c r="DV55" s="100"/>
      <c r="DW55" s="100"/>
      <c r="DX55" s="100"/>
      <c r="DY55" s="100"/>
      <c r="DZ55" s="100"/>
      <c r="EA55" s="100"/>
      <c r="EB55" s="100"/>
      <c r="EC55" s="100"/>
      <c r="ED55" s="100"/>
      <c r="EE55" s="100"/>
      <c r="EF55" s="100"/>
      <c r="EG55" s="100"/>
      <c r="EH55" s="100"/>
      <c r="EI55" s="100"/>
      <c r="EJ55" s="100"/>
      <c r="EK55" s="100"/>
      <c r="EL55" s="100"/>
      <c r="EM55" s="100"/>
      <c r="EN55" s="100"/>
      <c r="EO55" s="100"/>
      <c r="EP55" s="100"/>
      <c r="EQ55" s="100"/>
      <c r="ER55" s="100"/>
      <c r="ES55" s="100"/>
      <c r="ET55" s="100"/>
      <c r="EU55" s="100"/>
      <c r="EV55" s="100"/>
      <c r="EW55" s="100"/>
      <c r="EX55" s="100"/>
      <c r="EY55" s="100"/>
      <c r="EZ55" s="100"/>
      <c r="FA55" s="100"/>
      <c r="FB55" s="100"/>
      <c r="FC55" s="100"/>
      <c r="FD55" s="100"/>
      <c r="FE55" s="100"/>
      <c r="FF55" s="100"/>
      <c r="FG55" s="100"/>
      <c r="FH55" s="100"/>
      <c r="FI55" s="100"/>
      <c r="FJ55" s="100"/>
      <c r="FK55" s="100"/>
      <c r="FL55" s="100"/>
      <c r="FM55" s="100"/>
      <c r="FN55" s="100"/>
      <c r="FO55" s="100"/>
      <c r="FP55" s="100"/>
      <c r="FQ55" s="100"/>
      <c r="FR55" s="100"/>
      <c r="FS55" s="100"/>
      <c r="FT55" s="100"/>
      <c r="FU55" s="100"/>
      <c r="FV55" s="100"/>
      <c r="FW55" s="100"/>
      <c r="FX55" s="100"/>
      <c r="FY55" s="100"/>
      <c r="FZ55" s="100"/>
      <c r="GA55" s="100"/>
      <c r="GB55" s="100"/>
      <c r="GC55" s="100"/>
      <c r="GD55" s="100"/>
      <c r="GE55" s="100"/>
      <c r="GF55" s="100"/>
      <c r="GG55" s="100"/>
      <c r="GH55" s="100"/>
      <c r="GI55" s="100"/>
      <c r="GJ55" s="100"/>
      <c r="GK55" s="100"/>
      <c r="GL55" s="100"/>
      <c r="GM55" s="100"/>
      <c r="GN55" s="100"/>
      <c r="GO55" s="100"/>
      <c r="GP55" s="100"/>
      <c r="GQ55" s="100"/>
      <c r="GR55" s="100"/>
      <c r="GS55" s="100"/>
      <c r="GT55" s="100"/>
      <c r="GU55" s="100"/>
      <c r="GV55" s="100"/>
      <c r="GW55" s="100"/>
      <c r="GX55" s="100"/>
      <c r="GY55" s="100"/>
      <c r="GZ55" s="100"/>
      <c r="HA55" s="100"/>
      <c r="HB55" s="100"/>
      <c r="HC55" s="100"/>
      <c r="HD55" s="100"/>
      <c r="HE55" s="100"/>
      <c r="HF55" s="100"/>
      <c r="HG55" s="100"/>
      <c r="HH55" s="100"/>
      <c r="HI55" s="100"/>
      <c r="HJ55" s="100"/>
      <c r="HK55" s="100"/>
      <c r="HL55" s="100"/>
      <c r="HM55" s="100"/>
      <c r="HN55" s="100"/>
      <c r="HO55" s="100"/>
      <c r="HP55" s="100"/>
      <c r="HQ55" s="100"/>
      <c r="HR55" s="100"/>
      <c r="HS55" s="100"/>
      <c r="HT55" s="100"/>
      <c r="HU55" s="100"/>
      <c r="HV55" s="100"/>
      <c r="HW55" s="100"/>
      <c r="HX55" s="100"/>
      <c r="HY55" s="100"/>
      <c r="HZ55" s="100"/>
      <c r="IA55" s="100"/>
      <c r="IB55" s="100"/>
      <c r="IC55" s="100"/>
      <c r="ID55" s="100"/>
      <c r="IE55" s="100"/>
      <c r="IF55" s="100"/>
      <c r="IG55" s="100"/>
      <c r="IH55" s="100"/>
      <c r="II55" s="100"/>
      <c r="IJ55" s="100"/>
      <c r="IK55" s="100"/>
      <c r="IL55" s="100"/>
      <c r="IM55" s="100"/>
      <c r="IN55" s="100"/>
      <c r="IO55" s="100"/>
      <c r="IP55" s="100"/>
      <c r="IQ55" s="100"/>
      <c r="IR55" s="100"/>
      <c r="IS55" s="100"/>
      <c r="IT55" s="100"/>
      <c r="IU55" s="100"/>
      <c r="IV55" s="100"/>
      <c r="IW55" s="100"/>
      <c r="IX55" s="100"/>
      <c r="IY55" s="100"/>
      <c r="IZ55" s="100"/>
      <c r="JA55" s="100"/>
      <c r="JB55" s="100"/>
      <c r="JC55" s="100"/>
      <c r="JD55" s="100"/>
      <c r="JE55" s="100"/>
      <c r="JF55" s="100"/>
      <c r="JG55" s="100"/>
      <c r="JH55" s="100"/>
      <c r="JI55" s="100"/>
      <c r="JJ55" s="100"/>
      <c r="JK55" s="100"/>
      <c r="JL55" s="100"/>
      <c r="JM55" s="100"/>
      <c r="JN55" s="100"/>
      <c r="JO55" s="100"/>
      <c r="JP55" s="100"/>
      <c r="JQ55" s="100"/>
      <c r="JR55" s="100"/>
      <c r="JS55" s="100"/>
      <c r="JT55" s="100"/>
      <c r="JU55" s="100"/>
      <c r="JV55" s="100"/>
      <c r="JW55" s="100"/>
      <c r="JX55" s="100"/>
      <c r="JY55" s="100"/>
      <c r="JZ55" s="100"/>
      <c r="KA55" s="100"/>
      <c r="KB55" s="100"/>
      <c r="KC55" s="100"/>
      <c r="KD55" s="100"/>
      <c r="KE55" s="100"/>
      <c r="KF55" s="100"/>
      <c r="KG55" s="100"/>
      <c r="KH55" s="100"/>
      <c r="KI55" s="100"/>
      <c r="KJ55" s="100"/>
    </row>
    <row r="56" spans="1:296" s="28" customFormat="1" x14ac:dyDescent="0.3">
      <c r="B56" s="28" t="s">
        <v>103</v>
      </c>
      <c r="C56" s="83">
        <f>+'DIS. PRENDAS'!O12</f>
        <v>31.502777777777776</v>
      </c>
      <c r="D56" s="115">
        <v>6</v>
      </c>
      <c r="E56" s="83">
        <f>-(+C56*D56)</f>
        <v>-189.01666666666665</v>
      </c>
      <c r="F56" s="117"/>
      <c r="G56" s="83"/>
      <c r="J56" s="39"/>
      <c r="K56" s="70"/>
      <c r="L56" s="75"/>
      <c r="M56" s="127"/>
      <c r="N56" s="77"/>
      <c r="O56" s="164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  <c r="BS56" s="100"/>
      <c r="BT56" s="100"/>
      <c r="BU56" s="100"/>
      <c r="BV56" s="100"/>
      <c r="BW56" s="100"/>
      <c r="BX56" s="100"/>
      <c r="BY56" s="100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100"/>
      <c r="CX56" s="100"/>
      <c r="CY56" s="100"/>
      <c r="CZ56" s="100"/>
      <c r="DA56" s="100"/>
      <c r="DB56" s="100"/>
      <c r="DC56" s="100"/>
      <c r="DD56" s="100"/>
      <c r="DE56" s="100"/>
      <c r="DF56" s="100"/>
      <c r="DG56" s="100"/>
      <c r="DH56" s="100"/>
      <c r="DI56" s="100"/>
      <c r="DJ56" s="100"/>
      <c r="DK56" s="100"/>
      <c r="DL56" s="100"/>
      <c r="DM56" s="100"/>
      <c r="DN56" s="100"/>
      <c r="DO56" s="100"/>
      <c r="DP56" s="100"/>
      <c r="DQ56" s="100"/>
      <c r="DR56" s="100"/>
      <c r="DS56" s="100"/>
      <c r="DT56" s="100"/>
      <c r="DU56" s="100"/>
      <c r="DV56" s="100"/>
      <c r="DW56" s="100"/>
      <c r="DX56" s="100"/>
      <c r="DY56" s="100"/>
      <c r="DZ56" s="100"/>
      <c r="EA56" s="100"/>
      <c r="EB56" s="100"/>
      <c r="EC56" s="100"/>
      <c r="ED56" s="100"/>
      <c r="EE56" s="100"/>
      <c r="EF56" s="100"/>
      <c r="EG56" s="100"/>
      <c r="EH56" s="100"/>
      <c r="EI56" s="100"/>
      <c r="EJ56" s="100"/>
      <c r="EK56" s="100"/>
      <c r="EL56" s="100"/>
      <c r="EM56" s="100"/>
      <c r="EN56" s="100"/>
      <c r="EO56" s="100"/>
      <c r="EP56" s="100"/>
      <c r="EQ56" s="100"/>
      <c r="ER56" s="100"/>
      <c r="ES56" s="100"/>
      <c r="ET56" s="100"/>
      <c r="EU56" s="100"/>
      <c r="EV56" s="100"/>
      <c r="EW56" s="100"/>
      <c r="EX56" s="100"/>
      <c r="EY56" s="100"/>
      <c r="EZ56" s="100"/>
      <c r="FA56" s="100"/>
      <c r="FB56" s="100"/>
      <c r="FC56" s="100"/>
      <c r="FD56" s="100"/>
      <c r="FE56" s="100"/>
      <c r="FF56" s="100"/>
      <c r="FG56" s="100"/>
      <c r="FH56" s="100"/>
      <c r="FI56" s="100"/>
      <c r="FJ56" s="100"/>
      <c r="FK56" s="100"/>
      <c r="FL56" s="100"/>
      <c r="FM56" s="100"/>
      <c r="FN56" s="100"/>
      <c r="FO56" s="100"/>
      <c r="FP56" s="100"/>
      <c r="FQ56" s="100"/>
      <c r="FR56" s="100"/>
      <c r="FS56" s="100"/>
      <c r="FT56" s="100"/>
      <c r="FU56" s="100"/>
      <c r="FV56" s="100"/>
      <c r="FW56" s="100"/>
      <c r="FX56" s="100"/>
      <c r="FY56" s="100"/>
      <c r="FZ56" s="100"/>
      <c r="GA56" s="100"/>
      <c r="GB56" s="100"/>
      <c r="GC56" s="100"/>
      <c r="GD56" s="100"/>
      <c r="GE56" s="100"/>
      <c r="GF56" s="100"/>
      <c r="GG56" s="100"/>
      <c r="GH56" s="100"/>
      <c r="GI56" s="100"/>
      <c r="GJ56" s="100"/>
      <c r="GK56" s="100"/>
      <c r="GL56" s="100"/>
      <c r="GM56" s="100"/>
      <c r="GN56" s="100"/>
      <c r="GO56" s="100"/>
      <c r="GP56" s="100"/>
      <c r="GQ56" s="100"/>
      <c r="GR56" s="100"/>
      <c r="GS56" s="100"/>
      <c r="GT56" s="100"/>
      <c r="GU56" s="100"/>
      <c r="GV56" s="100"/>
      <c r="GW56" s="100"/>
      <c r="GX56" s="100"/>
      <c r="GY56" s="100"/>
      <c r="GZ56" s="100"/>
      <c r="HA56" s="100"/>
      <c r="HB56" s="100"/>
      <c r="HC56" s="100"/>
      <c r="HD56" s="100"/>
      <c r="HE56" s="100"/>
      <c r="HF56" s="100"/>
      <c r="HG56" s="100"/>
      <c r="HH56" s="100"/>
      <c r="HI56" s="100"/>
      <c r="HJ56" s="100"/>
      <c r="HK56" s="100"/>
      <c r="HL56" s="100"/>
      <c r="HM56" s="100"/>
      <c r="HN56" s="100"/>
      <c r="HO56" s="100"/>
      <c r="HP56" s="100"/>
      <c r="HQ56" s="100"/>
      <c r="HR56" s="100"/>
      <c r="HS56" s="100"/>
      <c r="HT56" s="100"/>
      <c r="HU56" s="100"/>
      <c r="HV56" s="100"/>
      <c r="HW56" s="100"/>
      <c r="HX56" s="100"/>
      <c r="HY56" s="100"/>
      <c r="HZ56" s="100"/>
      <c r="IA56" s="100"/>
      <c r="IB56" s="100"/>
      <c r="IC56" s="100"/>
      <c r="ID56" s="100"/>
      <c r="IE56" s="100"/>
      <c r="IF56" s="100"/>
      <c r="IG56" s="100"/>
      <c r="IH56" s="100"/>
      <c r="II56" s="100"/>
      <c r="IJ56" s="100"/>
      <c r="IK56" s="100"/>
      <c r="IL56" s="100"/>
      <c r="IM56" s="100"/>
      <c r="IN56" s="100"/>
      <c r="IO56" s="100"/>
      <c r="IP56" s="100"/>
      <c r="IQ56" s="100"/>
      <c r="IR56" s="100"/>
      <c r="IS56" s="100"/>
      <c r="IT56" s="100"/>
      <c r="IU56" s="100"/>
      <c r="IV56" s="100"/>
      <c r="IW56" s="100"/>
      <c r="IX56" s="100"/>
      <c r="IY56" s="100"/>
      <c r="IZ56" s="100"/>
      <c r="JA56" s="100"/>
      <c r="JB56" s="100"/>
      <c r="JC56" s="100"/>
      <c r="JD56" s="100"/>
      <c r="JE56" s="100"/>
      <c r="JF56" s="100"/>
      <c r="JG56" s="100"/>
      <c r="JH56" s="100"/>
      <c r="JI56" s="100"/>
      <c r="JJ56" s="100"/>
      <c r="JK56" s="100"/>
      <c r="JL56" s="100"/>
      <c r="JM56" s="100"/>
      <c r="JN56" s="100"/>
      <c r="JO56" s="100"/>
      <c r="JP56" s="100"/>
      <c r="JQ56" s="100"/>
      <c r="JR56" s="100"/>
      <c r="JS56" s="100"/>
      <c r="JT56" s="100"/>
      <c r="JU56" s="100"/>
      <c r="JV56" s="100"/>
      <c r="JW56" s="100"/>
      <c r="JX56" s="100"/>
      <c r="JY56" s="100"/>
      <c r="JZ56" s="100"/>
      <c r="KA56" s="100"/>
      <c r="KB56" s="100"/>
      <c r="KC56" s="100"/>
      <c r="KD56" s="100"/>
      <c r="KE56" s="100"/>
      <c r="KF56" s="100"/>
      <c r="KG56" s="100"/>
      <c r="KH56" s="100"/>
      <c r="KI56" s="100"/>
      <c r="KJ56" s="100"/>
    </row>
    <row r="57" spans="1:296" s="28" customFormat="1" x14ac:dyDescent="0.3">
      <c r="B57" s="28" t="s">
        <v>8</v>
      </c>
      <c r="C57" s="83">
        <f>'DIS. PRENDAS'!L12</f>
        <v>25.279583333333335</v>
      </c>
      <c r="D57" s="115">
        <v>6</v>
      </c>
      <c r="E57" s="83">
        <f t="shared" si="1"/>
        <v>-151.67750000000001</v>
      </c>
      <c r="F57" s="117"/>
      <c r="G57" s="83"/>
      <c r="J57" s="39"/>
      <c r="K57" s="70"/>
      <c r="L57" s="75"/>
      <c r="M57" s="127"/>
      <c r="N57" s="77"/>
      <c r="O57" s="164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K57" s="100"/>
      <c r="BL57" s="100"/>
      <c r="BM57" s="100"/>
      <c r="BN57" s="100"/>
      <c r="BO57" s="100"/>
      <c r="BP57" s="100"/>
      <c r="BQ57" s="100"/>
      <c r="BR57" s="100"/>
      <c r="BS57" s="100"/>
      <c r="BT57" s="100"/>
      <c r="BU57" s="100"/>
      <c r="BV57" s="100"/>
      <c r="BW57" s="100"/>
      <c r="BX57" s="100"/>
      <c r="BY57" s="100"/>
      <c r="BZ57" s="100"/>
      <c r="CA57" s="100"/>
      <c r="CB57" s="100"/>
      <c r="CC57" s="100"/>
      <c r="CD57" s="100"/>
      <c r="CE57" s="10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100"/>
      <c r="CX57" s="100"/>
      <c r="CY57" s="100"/>
      <c r="CZ57" s="100"/>
      <c r="DA57" s="100"/>
      <c r="DB57" s="100"/>
      <c r="DC57" s="100"/>
      <c r="DD57" s="100"/>
      <c r="DE57" s="100"/>
      <c r="DF57" s="100"/>
      <c r="DG57" s="100"/>
      <c r="DH57" s="100"/>
      <c r="DI57" s="100"/>
      <c r="DJ57" s="100"/>
      <c r="DK57" s="100"/>
      <c r="DL57" s="100"/>
      <c r="DM57" s="100"/>
      <c r="DN57" s="100"/>
      <c r="DO57" s="100"/>
      <c r="DP57" s="100"/>
      <c r="DQ57" s="100"/>
      <c r="DR57" s="100"/>
      <c r="DS57" s="100"/>
      <c r="DT57" s="100"/>
      <c r="DU57" s="100"/>
      <c r="DV57" s="100"/>
      <c r="DW57" s="100"/>
      <c r="DX57" s="100"/>
      <c r="DY57" s="100"/>
      <c r="DZ57" s="100"/>
      <c r="EA57" s="100"/>
      <c r="EB57" s="100"/>
      <c r="EC57" s="100"/>
      <c r="ED57" s="100"/>
      <c r="EE57" s="100"/>
      <c r="EF57" s="100"/>
      <c r="EG57" s="100"/>
      <c r="EH57" s="100"/>
      <c r="EI57" s="100"/>
      <c r="EJ57" s="100"/>
      <c r="EK57" s="100"/>
      <c r="EL57" s="100"/>
      <c r="EM57" s="100"/>
      <c r="EN57" s="100"/>
      <c r="EO57" s="100"/>
      <c r="EP57" s="100"/>
      <c r="EQ57" s="100"/>
      <c r="ER57" s="100"/>
      <c r="ES57" s="100"/>
      <c r="ET57" s="100"/>
      <c r="EU57" s="100"/>
      <c r="EV57" s="100"/>
      <c r="EW57" s="100"/>
      <c r="EX57" s="100"/>
      <c r="EY57" s="100"/>
      <c r="EZ57" s="100"/>
      <c r="FA57" s="100"/>
      <c r="FB57" s="100"/>
      <c r="FC57" s="100"/>
      <c r="FD57" s="100"/>
      <c r="FE57" s="100"/>
      <c r="FF57" s="100"/>
      <c r="FG57" s="100"/>
      <c r="FH57" s="100"/>
      <c r="FI57" s="100"/>
      <c r="FJ57" s="100"/>
      <c r="FK57" s="100"/>
      <c r="FL57" s="100"/>
      <c r="FM57" s="100"/>
      <c r="FN57" s="100"/>
      <c r="FO57" s="100"/>
      <c r="FP57" s="100"/>
      <c r="FQ57" s="100"/>
      <c r="FR57" s="100"/>
      <c r="FS57" s="100"/>
      <c r="FT57" s="100"/>
      <c r="FU57" s="100"/>
      <c r="FV57" s="100"/>
      <c r="FW57" s="100"/>
      <c r="FX57" s="100"/>
      <c r="FY57" s="100"/>
      <c r="FZ57" s="100"/>
      <c r="GA57" s="100"/>
      <c r="GB57" s="100"/>
      <c r="GC57" s="100"/>
      <c r="GD57" s="100"/>
      <c r="GE57" s="100"/>
      <c r="GF57" s="100"/>
      <c r="GG57" s="100"/>
      <c r="GH57" s="100"/>
      <c r="GI57" s="100"/>
      <c r="GJ57" s="100"/>
      <c r="GK57" s="100"/>
      <c r="GL57" s="100"/>
      <c r="GM57" s="100"/>
      <c r="GN57" s="100"/>
      <c r="GO57" s="100"/>
      <c r="GP57" s="100"/>
      <c r="GQ57" s="100"/>
      <c r="GR57" s="100"/>
      <c r="GS57" s="100"/>
      <c r="GT57" s="100"/>
      <c r="GU57" s="100"/>
      <c r="GV57" s="100"/>
      <c r="GW57" s="100"/>
      <c r="GX57" s="100"/>
      <c r="GY57" s="100"/>
      <c r="GZ57" s="100"/>
      <c r="HA57" s="100"/>
      <c r="HB57" s="100"/>
      <c r="HC57" s="100"/>
      <c r="HD57" s="100"/>
      <c r="HE57" s="100"/>
      <c r="HF57" s="100"/>
      <c r="HG57" s="100"/>
      <c r="HH57" s="100"/>
      <c r="HI57" s="100"/>
      <c r="HJ57" s="100"/>
      <c r="HK57" s="100"/>
      <c r="HL57" s="100"/>
      <c r="HM57" s="100"/>
      <c r="HN57" s="100"/>
      <c r="HO57" s="100"/>
      <c r="HP57" s="100"/>
      <c r="HQ57" s="100"/>
      <c r="HR57" s="100"/>
      <c r="HS57" s="100"/>
      <c r="HT57" s="100"/>
      <c r="HU57" s="100"/>
      <c r="HV57" s="100"/>
      <c r="HW57" s="100"/>
      <c r="HX57" s="100"/>
      <c r="HY57" s="100"/>
      <c r="HZ57" s="100"/>
      <c r="IA57" s="100"/>
      <c r="IB57" s="100"/>
      <c r="IC57" s="100"/>
      <c r="ID57" s="100"/>
      <c r="IE57" s="100"/>
      <c r="IF57" s="100"/>
      <c r="IG57" s="100"/>
      <c r="IH57" s="100"/>
      <c r="II57" s="100"/>
      <c r="IJ57" s="100"/>
      <c r="IK57" s="100"/>
      <c r="IL57" s="100"/>
      <c r="IM57" s="100"/>
      <c r="IN57" s="100"/>
      <c r="IO57" s="100"/>
      <c r="IP57" s="100"/>
      <c r="IQ57" s="100"/>
      <c r="IR57" s="100"/>
      <c r="IS57" s="100"/>
      <c r="IT57" s="100"/>
      <c r="IU57" s="100"/>
      <c r="IV57" s="100"/>
      <c r="IW57" s="100"/>
      <c r="IX57" s="100"/>
      <c r="IY57" s="100"/>
      <c r="IZ57" s="100"/>
      <c r="JA57" s="100"/>
      <c r="JB57" s="100"/>
      <c r="JC57" s="100"/>
      <c r="JD57" s="100"/>
      <c r="JE57" s="100"/>
      <c r="JF57" s="100"/>
      <c r="JG57" s="100"/>
      <c r="JH57" s="100"/>
      <c r="JI57" s="100"/>
      <c r="JJ57" s="100"/>
      <c r="JK57" s="100"/>
      <c r="JL57" s="100"/>
      <c r="JM57" s="100"/>
      <c r="JN57" s="100"/>
      <c r="JO57" s="100"/>
      <c r="JP57" s="100"/>
      <c r="JQ57" s="100"/>
      <c r="JR57" s="100"/>
      <c r="JS57" s="100"/>
      <c r="JT57" s="100"/>
      <c r="JU57" s="100"/>
      <c r="JV57" s="100"/>
      <c r="JW57" s="100"/>
      <c r="JX57" s="100"/>
      <c r="JY57" s="100"/>
      <c r="JZ57" s="100"/>
      <c r="KA57" s="100"/>
      <c r="KB57" s="100"/>
      <c r="KC57" s="100"/>
      <c r="KD57" s="100"/>
      <c r="KE57" s="100"/>
      <c r="KF57" s="100"/>
      <c r="KG57" s="100"/>
      <c r="KH57" s="100"/>
      <c r="KI57" s="100"/>
      <c r="KJ57" s="100"/>
    </row>
    <row r="58" spans="1:296" s="28" customFormat="1" x14ac:dyDescent="0.3">
      <c r="B58" s="28" t="s">
        <v>120</v>
      </c>
      <c r="C58" s="83">
        <f>+'DIS. PRENDAS'!L12</f>
        <v>25.279583333333335</v>
      </c>
      <c r="D58" s="114">
        <v>5.5</v>
      </c>
      <c r="E58" s="83">
        <f>-(+C58*D58)</f>
        <v>-139.03770833333334</v>
      </c>
      <c r="F58" s="117"/>
      <c r="G58" s="83"/>
      <c r="J58" s="39"/>
      <c r="K58" s="70"/>
      <c r="L58" s="75"/>
      <c r="M58" s="127"/>
      <c r="N58" s="77"/>
      <c r="O58" s="164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K58" s="100"/>
      <c r="BL58" s="100"/>
      <c r="BM58" s="100"/>
      <c r="BN58" s="100"/>
      <c r="BO58" s="100"/>
      <c r="BP58" s="100"/>
      <c r="BQ58" s="100"/>
      <c r="BR58" s="100"/>
      <c r="BS58" s="100"/>
      <c r="BT58" s="100"/>
      <c r="BU58" s="100"/>
      <c r="BV58" s="100"/>
      <c r="BW58" s="100"/>
      <c r="BX58" s="100"/>
      <c r="BY58" s="100"/>
      <c r="BZ58" s="100"/>
      <c r="CA58" s="100"/>
      <c r="CB58" s="100"/>
      <c r="CC58" s="100"/>
      <c r="CD58" s="100"/>
      <c r="CE58" s="100"/>
      <c r="CF58" s="100"/>
      <c r="CG58" s="100"/>
      <c r="CH58" s="100"/>
      <c r="CI58" s="100"/>
      <c r="CJ58" s="100"/>
      <c r="CK58" s="100"/>
      <c r="CL58" s="100"/>
      <c r="CM58" s="100"/>
      <c r="CN58" s="100"/>
      <c r="CO58" s="100"/>
      <c r="CP58" s="100"/>
      <c r="CQ58" s="100"/>
      <c r="CR58" s="100"/>
      <c r="CS58" s="100"/>
      <c r="CT58" s="100"/>
      <c r="CU58" s="100"/>
      <c r="CV58" s="100"/>
      <c r="CW58" s="100"/>
      <c r="CX58" s="100"/>
      <c r="CY58" s="100"/>
      <c r="CZ58" s="100"/>
      <c r="DA58" s="100"/>
      <c r="DB58" s="100"/>
      <c r="DC58" s="100"/>
      <c r="DD58" s="100"/>
      <c r="DE58" s="100"/>
      <c r="DF58" s="100"/>
      <c r="DG58" s="100"/>
      <c r="DH58" s="100"/>
      <c r="DI58" s="100"/>
      <c r="DJ58" s="100"/>
      <c r="DK58" s="100"/>
      <c r="DL58" s="100"/>
      <c r="DM58" s="100"/>
      <c r="DN58" s="100"/>
      <c r="DO58" s="100"/>
      <c r="DP58" s="100"/>
      <c r="DQ58" s="100"/>
      <c r="DR58" s="100"/>
      <c r="DS58" s="100"/>
      <c r="DT58" s="100"/>
      <c r="DU58" s="100"/>
      <c r="DV58" s="100"/>
      <c r="DW58" s="100"/>
      <c r="DX58" s="100"/>
      <c r="DY58" s="100"/>
      <c r="DZ58" s="100"/>
      <c r="EA58" s="100"/>
      <c r="EB58" s="100"/>
      <c r="EC58" s="100"/>
      <c r="ED58" s="100"/>
      <c r="EE58" s="100"/>
      <c r="EF58" s="100"/>
      <c r="EG58" s="100"/>
      <c r="EH58" s="100"/>
      <c r="EI58" s="100"/>
      <c r="EJ58" s="100"/>
      <c r="EK58" s="100"/>
      <c r="EL58" s="100"/>
      <c r="EM58" s="100"/>
      <c r="EN58" s="100"/>
      <c r="EO58" s="100"/>
      <c r="EP58" s="100"/>
      <c r="EQ58" s="100"/>
      <c r="ER58" s="100"/>
      <c r="ES58" s="100"/>
      <c r="ET58" s="100"/>
      <c r="EU58" s="100"/>
      <c r="EV58" s="100"/>
      <c r="EW58" s="100"/>
      <c r="EX58" s="100"/>
      <c r="EY58" s="100"/>
      <c r="EZ58" s="100"/>
      <c r="FA58" s="100"/>
      <c r="FB58" s="100"/>
      <c r="FC58" s="100"/>
      <c r="FD58" s="100"/>
      <c r="FE58" s="100"/>
      <c r="FF58" s="100"/>
      <c r="FG58" s="100"/>
      <c r="FH58" s="100"/>
      <c r="FI58" s="100"/>
      <c r="FJ58" s="100"/>
      <c r="FK58" s="100"/>
      <c r="FL58" s="100"/>
      <c r="FM58" s="100"/>
      <c r="FN58" s="100"/>
      <c r="FO58" s="100"/>
      <c r="FP58" s="100"/>
      <c r="FQ58" s="100"/>
      <c r="FR58" s="100"/>
      <c r="FS58" s="100"/>
      <c r="FT58" s="100"/>
      <c r="FU58" s="100"/>
      <c r="FV58" s="100"/>
      <c r="FW58" s="100"/>
      <c r="FX58" s="100"/>
      <c r="FY58" s="100"/>
      <c r="FZ58" s="100"/>
      <c r="GA58" s="100"/>
      <c r="GB58" s="100"/>
      <c r="GC58" s="100"/>
      <c r="GD58" s="100"/>
      <c r="GE58" s="100"/>
      <c r="GF58" s="100"/>
      <c r="GG58" s="100"/>
      <c r="GH58" s="100"/>
      <c r="GI58" s="100"/>
      <c r="GJ58" s="100"/>
      <c r="GK58" s="100"/>
      <c r="GL58" s="100"/>
      <c r="GM58" s="100"/>
      <c r="GN58" s="100"/>
      <c r="GO58" s="100"/>
      <c r="GP58" s="100"/>
      <c r="GQ58" s="100"/>
      <c r="GR58" s="100"/>
      <c r="GS58" s="100"/>
      <c r="GT58" s="100"/>
      <c r="GU58" s="100"/>
      <c r="GV58" s="100"/>
      <c r="GW58" s="100"/>
      <c r="GX58" s="100"/>
      <c r="GY58" s="100"/>
      <c r="GZ58" s="100"/>
      <c r="HA58" s="100"/>
      <c r="HB58" s="100"/>
      <c r="HC58" s="100"/>
      <c r="HD58" s="100"/>
      <c r="HE58" s="100"/>
      <c r="HF58" s="100"/>
      <c r="HG58" s="100"/>
      <c r="HH58" s="100"/>
      <c r="HI58" s="100"/>
      <c r="HJ58" s="100"/>
      <c r="HK58" s="100"/>
      <c r="HL58" s="100"/>
      <c r="HM58" s="100"/>
      <c r="HN58" s="100"/>
      <c r="HO58" s="100"/>
      <c r="HP58" s="100"/>
      <c r="HQ58" s="100"/>
      <c r="HR58" s="100"/>
      <c r="HS58" s="100"/>
      <c r="HT58" s="100"/>
      <c r="HU58" s="100"/>
      <c r="HV58" s="100"/>
      <c r="HW58" s="100"/>
      <c r="HX58" s="100"/>
      <c r="HY58" s="100"/>
      <c r="HZ58" s="100"/>
      <c r="IA58" s="100"/>
      <c r="IB58" s="100"/>
      <c r="IC58" s="100"/>
      <c r="ID58" s="100"/>
      <c r="IE58" s="100"/>
      <c r="IF58" s="100"/>
      <c r="IG58" s="100"/>
      <c r="IH58" s="100"/>
      <c r="II58" s="100"/>
      <c r="IJ58" s="100"/>
      <c r="IK58" s="100"/>
      <c r="IL58" s="100"/>
      <c r="IM58" s="100"/>
      <c r="IN58" s="100"/>
      <c r="IO58" s="100"/>
      <c r="IP58" s="100"/>
      <c r="IQ58" s="100"/>
      <c r="IR58" s="100"/>
      <c r="IS58" s="100"/>
      <c r="IT58" s="100"/>
      <c r="IU58" s="100"/>
      <c r="IV58" s="100"/>
      <c r="IW58" s="100"/>
      <c r="IX58" s="100"/>
      <c r="IY58" s="100"/>
      <c r="IZ58" s="100"/>
      <c r="JA58" s="100"/>
      <c r="JB58" s="100"/>
      <c r="JC58" s="100"/>
      <c r="JD58" s="100"/>
      <c r="JE58" s="100"/>
      <c r="JF58" s="100"/>
      <c r="JG58" s="100"/>
      <c r="JH58" s="100"/>
      <c r="JI58" s="100"/>
      <c r="JJ58" s="100"/>
      <c r="JK58" s="100"/>
      <c r="JL58" s="100"/>
      <c r="JM58" s="100"/>
      <c r="JN58" s="100"/>
      <c r="JO58" s="100"/>
      <c r="JP58" s="100"/>
      <c r="JQ58" s="100"/>
      <c r="JR58" s="100"/>
      <c r="JS58" s="100"/>
      <c r="JT58" s="100"/>
      <c r="JU58" s="100"/>
      <c r="JV58" s="100"/>
      <c r="JW58" s="100"/>
      <c r="JX58" s="100"/>
      <c r="JY58" s="100"/>
      <c r="JZ58" s="100"/>
      <c r="KA58" s="100"/>
      <c r="KB58" s="100"/>
      <c r="KC58" s="100"/>
      <c r="KD58" s="100"/>
      <c r="KE58" s="100"/>
      <c r="KF58" s="100"/>
      <c r="KG58" s="100"/>
      <c r="KH58" s="100"/>
      <c r="KI58" s="100"/>
      <c r="KJ58" s="100"/>
    </row>
    <row r="59" spans="1:296" s="43" customFormat="1" x14ac:dyDescent="0.3">
      <c r="B59" s="43" t="s">
        <v>9</v>
      </c>
      <c r="C59" s="119">
        <f>+'DIS. PRENDAS'!L12</f>
        <v>25.279583333333335</v>
      </c>
      <c r="D59" s="120">
        <v>3</v>
      </c>
      <c r="E59" s="119">
        <f t="shared" si="1"/>
        <v>-75.838750000000005</v>
      </c>
      <c r="F59" s="121"/>
      <c r="G59" s="119"/>
      <c r="I59" s="28"/>
      <c r="J59" s="39"/>
      <c r="K59" s="70"/>
      <c r="L59" s="75"/>
      <c r="M59" s="127"/>
      <c r="N59" s="77"/>
      <c r="O59" s="164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00"/>
      <c r="BV59" s="100"/>
      <c r="BW59" s="100"/>
      <c r="BX59" s="100"/>
      <c r="BY59" s="100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100"/>
      <c r="CX59" s="100"/>
      <c r="CY59" s="100"/>
      <c r="CZ59" s="100"/>
      <c r="DA59" s="100"/>
      <c r="DB59" s="100"/>
      <c r="DC59" s="100"/>
      <c r="DD59" s="100"/>
      <c r="DE59" s="100"/>
      <c r="DF59" s="100"/>
      <c r="DG59" s="100"/>
      <c r="DH59" s="100"/>
      <c r="DI59" s="100"/>
      <c r="DJ59" s="100"/>
      <c r="DK59" s="100"/>
      <c r="DL59" s="100"/>
      <c r="DM59" s="100"/>
      <c r="DN59" s="100"/>
      <c r="DO59" s="100"/>
      <c r="DP59" s="100"/>
      <c r="DQ59" s="100"/>
      <c r="DR59" s="100"/>
      <c r="DS59" s="100"/>
      <c r="DT59" s="100"/>
      <c r="DU59" s="100"/>
      <c r="DV59" s="100"/>
      <c r="DW59" s="100"/>
      <c r="DX59" s="100"/>
      <c r="DY59" s="100"/>
      <c r="DZ59" s="100"/>
      <c r="EA59" s="100"/>
      <c r="EB59" s="100"/>
      <c r="EC59" s="100"/>
      <c r="ED59" s="100"/>
      <c r="EE59" s="100"/>
      <c r="EF59" s="100"/>
      <c r="EG59" s="100"/>
      <c r="EH59" s="100"/>
      <c r="EI59" s="100"/>
      <c r="EJ59" s="100"/>
      <c r="EK59" s="100"/>
      <c r="EL59" s="100"/>
      <c r="EM59" s="100"/>
      <c r="EN59" s="100"/>
      <c r="EO59" s="100"/>
      <c r="EP59" s="100"/>
      <c r="EQ59" s="100"/>
      <c r="ER59" s="100"/>
      <c r="ES59" s="100"/>
      <c r="ET59" s="100"/>
      <c r="EU59" s="100"/>
      <c r="EV59" s="100"/>
      <c r="EW59" s="100"/>
      <c r="EX59" s="100"/>
      <c r="EY59" s="100"/>
      <c r="EZ59" s="100"/>
      <c r="FA59" s="100"/>
      <c r="FB59" s="100"/>
      <c r="FC59" s="100"/>
      <c r="FD59" s="100"/>
      <c r="FE59" s="100"/>
      <c r="FF59" s="100"/>
      <c r="FG59" s="100"/>
      <c r="FH59" s="100"/>
      <c r="FI59" s="100"/>
      <c r="FJ59" s="100"/>
      <c r="FK59" s="100"/>
      <c r="FL59" s="100"/>
      <c r="FM59" s="100"/>
      <c r="FN59" s="100"/>
      <c r="FO59" s="100"/>
      <c r="FP59" s="100"/>
      <c r="FQ59" s="100"/>
      <c r="FR59" s="100"/>
      <c r="FS59" s="100"/>
      <c r="FT59" s="100"/>
      <c r="FU59" s="100"/>
      <c r="FV59" s="100"/>
      <c r="FW59" s="100"/>
      <c r="FX59" s="100"/>
      <c r="FY59" s="100"/>
      <c r="FZ59" s="100"/>
      <c r="GA59" s="100"/>
      <c r="GB59" s="100"/>
      <c r="GC59" s="100"/>
      <c r="GD59" s="100"/>
      <c r="GE59" s="100"/>
      <c r="GF59" s="100"/>
      <c r="GG59" s="100"/>
      <c r="GH59" s="100"/>
      <c r="GI59" s="100"/>
      <c r="GJ59" s="100"/>
      <c r="GK59" s="100"/>
      <c r="GL59" s="100"/>
      <c r="GM59" s="100"/>
      <c r="GN59" s="100"/>
      <c r="GO59" s="100"/>
      <c r="GP59" s="100"/>
      <c r="GQ59" s="100"/>
      <c r="GR59" s="100"/>
      <c r="GS59" s="100"/>
      <c r="GT59" s="100"/>
      <c r="GU59" s="100"/>
      <c r="GV59" s="100"/>
      <c r="GW59" s="100"/>
      <c r="GX59" s="100"/>
      <c r="GY59" s="100"/>
      <c r="GZ59" s="100"/>
      <c r="HA59" s="100"/>
      <c r="HB59" s="100"/>
      <c r="HC59" s="100"/>
      <c r="HD59" s="100"/>
      <c r="HE59" s="100"/>
      <c r="HF59" s="100"/>
      <c r="HG59" s="100"/>
      <c r="HH59" s="100"/>
      <c r="HI59" s="100"/>
      <c r="HJ59" s="100"/>
      <c r="HK59" s="100"/>
      <c r="HL59" s="100"/>
      <c r="HM59" s="100"/>
      <c r="HN59" s="100"/>
      <c r="HO59" s="100"/>
      <c r="HP59" s="100"/>
      <c r="HQ59" s="100"/>
      <c r="HR59" s="100"/>
      <c r="HS59" s="100"/>
      <c r="HT59" s="100"/>
      <c r="HU59" s="100"/>
      <c r="HV59" s="100"/>
      <c r="HW59" s="100"/>
      <c r="HX59" s="100"/>
      <c r="HY59" s="100"/>
      <c r="HZ59" s="100"/>
      <c r="IA59" s="100"/>
      <c r="IB59" s="100"/>
      <c r="IC59" s="100"/>
      <c r="ID59" s="100"/>
      <c r="IE59" s="100"/>
      <c r="IF59" s="100"/>
      <c r="IG59" s="100"/>
      <c r="IH59" s="100"/>
      <c r="II59" s="100"/>
      <c r="IJ59" s="100"/>
      <c r="IK59" s="100"/>
      <c r="IL59" s="100"/>
      <c r="IM59" s="100"/>
      <c r="IN59" s="100"/>
      <c r="IO59" s="100"/>
      <c r="IP59" s="100"/>
      <c r="IQ59" s="100"/>
      <c r="IR59" s="100"/>
      <c r="IS59" s="100"/>
      <c r="IT59" s="100"/>
      <c r="IU59" s="100"/>
      <c r="IV59" s="100"/>
      <c r="IW59" s="100"/>
      <c r="IX59" s="100"/>
      <c r="IY59" s="100"/>
      <c r="IZ59" s="100"/>
      <c r="JA59" s="100"/>
      <c r="JB59" s="100"/>
      <c r="JC59" s="100"/>
      <c r="JD59" s="100"/>
      <c r="JE59" s="100"/>
      <c r="JF59" s="100"/>
      <c r="JG59" s="100"/>
      <c r="JH59" s="100"/>
      <c r="JI59" s="100"/>
      <c r="JJ59" s="100"/>
      <c r="JK59" s="100"/>
      <c r="JL59" s="100"/>
      <c r="JM59" s="100"/>
      <c r="JN59" s="100"/>
      <c r="JO59" s="100"/>
      <c r="JP59" s="100"/>
      <c r="JQ59" s="100"/>
      <c r="JR59" s="100"/>
      <c r="JS59" s="100"/>
      <c r="JT59" s="100"/>
      <c r="JU59" s="100"/>
      <c r="JV59" s="100"/>
      <c r="JW59" s="100"/>
      <c r="JX59" s="100"/>
      <c r="JY59" s="100"/>
      <c r="JZ59" s="100"/>
      <c r="KA59" s="100"/>
      <c r="KB59" s="100"/>
      <c r="KC59" s="100"/>
      <c r="KD59" s="100"/>
      <c r="KE59" s="100"/>
      <c r="KF59" s="100"/>
      <c r="KG59" s="100"/>
      <c r="KH59" s="100"/>
      <c r="KI59" s="100"/>
      <c r="KJ59" s="100"/>
    </row>
    <row r="60" spans="1:296" s="43" customFormat="1" x14ac:dyDescent="0.3">
      <c r="B60" s="43" t="s">
        <v>122</v>
      </c>
      <c r="C60" s="119">
        <v>20</v>
      </c>
      <c r="D60" s="120">
        <v>0</v>
      </c>
      <c r="E60" s="119">
        <f>-(+C60*D60)</f>
        <v>0</v>
      </c>
      <c r="F60" s="121"/>
      <c r="G60" s="119"/>
      <c r="I60" s="28"/>
      <c r="J60" s="39"/>
      <c r="K60" s="70"/>
      <c r="L60" s="75"/>
      <c r="M60" s="127"/>
      <c r="N60" s="77"/>
      <c r="O60" s="164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00"/>
      <c r="BV60" s="100"/>
      <c r="BW60" s="100"/>
      <c r="BX60" s="100"/>
      <c r="BY60" s="100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100"/>
      <c r="CX60" s="100"/>
      <c r="CY60" s="100"/>
      <c r="CZ60" s="100"/>
      <c r="DA60" s="100"/>
      <c r="DB60" s="100"/>
      <c r="DC60" s="100"/>
      <c r="DD60" s="100"/>
      <c r="DE60" s="100"/>
      <c r="DF60" s="100"/>
      <c r="DG60" s="100"/>
      <c r="DH60" s="100"/>
      <c r="DI60" s="100"/>
      <c r="DJ60" s="100"/>
      <c r="DK60" s="100"/>
      <c r="DL60" s="100"/>
      <c r="DM60" s="100"/>
      <c r="DN60" s="100"/>
      <c r="DO60" s="100"/>
      <c r="DP60" s="100"/>
      <c r="DQ60" s="100"/>
      <c r="DR60" s="100"/>
      <c r="DS60" s="100"/>
      <c r="DT60" s="100"/>
      <c r="DU60" s="100"/>
      <c r="DV60" s="100"/>
      <c r="DW60" s="100"/>
      <c r="DX60" s="100"/>
      <c r="DY60" s="100"/>
      <c r="DZ60" s="100"/>
      <c r="EA60" s="100"/>
      <c r="EB60" s="100"/>
      <c r="EC60" s="100"/>
      <c r="ED60" s="100"/>
      <c r="EE60" s="100"/>
      <c r="EF60" s="100"/>
      <c r="EG60" s="100"/>
      <c r="EH60" s="100"/>
      <c r="EI60" s="100"/>
      <c r="EJ60" s="100"/>
      <c r="EK60" s="100"/>
      <c r="EL60" s="100"/>
      <c r="EM60" s="100"/>
      <c r="EN60" s="100"/>
      <c r="EO60" s="100"/>
      <c r="EP60" s="100"/>
      <c r="EQ60" s="100"/>
      <c r="ER60" s="100"/>
      <c r="ES60" s="100"/>
      <c r="ET60" s="100"/>
      <c r="EU60" s="100"/>
      <c r="EV60" s="100"/>
      <c r="EW60" s="100"/>
      <c r="EX60" s="100"/>
      <c r="EY60" s="100"/>
      <c r="EZ60" s="100"/>
      <c r="FA60" s="100"/>
      <c r="FB60" s="100"/>
      <c r="FC60" s="100"/>
      <c r="FD60" s="100"/>
      <c r="FE60" s="100"/>
      <c r="FF60" s="100"/>
      <c r="FG60" s="100"/>
      <c r="FH60" s="100"/>
      <c r="FI60" s="100"/>
      <c r="FJ60" s="100"/>
      <c r="FK60" s="100"/>
      <c r="FL60" s="100"/>
      <c r="FM60" s="100"/>
      <c r="FN60" s="100"/>
      <c r="FO60" s="100"/>
      <c r="FP60" s="100"/>
      <c r="FQ60" s="100"/>
      <c r="FR60" s="100"/>
      <c r="FS60" s="100"/>
      <c r="FT60" s="100"/>
      <c r="FU60" s="100"/>
      <c r="FV60" s="100"/>
      <c r="FW60" s="100"/>
      <c r="FX60" s="100"/>
      <c r="FY60" s="100"/>
      <c r="FZ60" s="100"/>
      <c r="GA60" s="100"/>
      <c r="GB60" s="100"/>
      <c r="GC60" s="100"/>
      <c r="GD60" s="100"/>
      <c r="GE60" s="100"/>
      <c r="GF60" s="100"/>
      <c r="GG60" s="100"/>
      <c r="GH60" s="100"/>
      <c r="GI60" s="100"/>
      <c r="GJ60" s="100"/>
      <c r="GK60" s="100"/>
      <c r="GL60" s="100"/>
      <c r="GM60" s="100"/>
      <c r="GN60" s="100"/>
      <c r="GO60" s="100"/>
      <c r="GP60" s="100"/>
      <c r="GQ60" s="100"/>
      <c r="GR60" s="100"/>
      <c r="GS60" s="100"/>
      <c r="GT60" s="100"/>
      <c r="GU60" s="100"/>
      <c r="GV60" s="100"/>
      <c r="GW60" s="100"/>
      <c r="GX60" s="100"/>
      <c r="GY60" s="100"/>
      <c r="GZ60" s="100"/>
      <c r="HA60" s="100"/>
      <c r="HB60" s="100"/>
      <c r="HC60" s="100"/>
      <c r="HD60" s="100"/>
      <c r="HE60" s="100"/>
      <c r="HF60" s="100"/>
      <c r="HG60" s="100"/>
      <c r="HH60" s="100"/>
      <c r="HI60" s="100"/>
      <c r="HJ60" s="100"/>
      <c r="HK60" s="100"/>
      <c r="HL60" s="100"/>
      <c r="HM60" s="100"/>
      <c r="HN60" s="100"/>
      <c r="HO60" s="100"/>
      <c r="HP60" s="100"/>
      <c r="HQ60" s="100"/>
      <c r="HR60" s="100"/>
      <c r="HS60" s="100"/>
      <c r="HT60" s="100"/>
      <c r="HU60" s="100"/>
      <c r="HV60" s="100"/>
      <c r="HW60" s="100"/>
      <c r="HX60" s="100"/>
      <c r="HY60" s="100"/>
      <c r="HZ60" s="100"/>
      <c r="IA60" s="100"/>
      <c r="IB60" s="100"/>
      <c r="IC60" s="100"/>
      <c r="ID60" s="100"/>
      <c r="IE60" s="100"/>
      <c r="IF60" s="100"/>
      <c r="IG60" s="100"/>
      <c r="IH60" s="100"/>
      <c r="II60" s="100"/>
      <c r="IJ60" s="100"/>
      <c r="IK60" s="100"/>
      <c r="IL60" s="100"/>
      <c r="IM60" s="100"/>
      <c r="IN60" s="100"/>
      <c r="IO60" s="100"/>
      <c r="IP60" s="100"/>
      <c r="IQ60" s="100"/>
      <c r="IR60" s="100"/>
      <c r="IS60" s="100"/>
      <c r="IT60" s="100"/>
      <c r="IU60" s="100"/>
      <c r="IV60" s="100"/>
      <c r="IW60" s="100"/>
      <c r="IX60" s="100"/>
      <c r="IY60" s="100"/>
      <c r="IZ60" s="100"/>
      <c r="JA60" s="100"/>
      <c r="JB60" s="100"/>
      <c r="JC60" s="100"/>
      <c r="JD60" s="100"/>
      <c r="JE60" s="100"/>
      <c r="JF60" s="100"/>
      <c r="JG60" s="100"/>
      <c r="JH60" s="100"/>
      <c r="JI60" s="100"/>
      <c r="JJ60" s="100"/>
      <c r="JK60" s="100"/>
      <c r="JL60" s="100"/>
      <c r="JM60" s="100"/>
      <c r="JN60" s="100"/>
      <c r="JO60" s="100"/>
      <c r="JP60" s="100"/>
      <c r="JQ60" s="100"/>
      <c r="JR60" s="100"/>
      <c r="JS60" s="100"/>
      <c r="JT60" s="100"/>
      <c r="JU60" s="100"/>
      <c r="JV60" s="100"/>
      <c r="JW60" s="100"/>
      <c r="JX60" s="100"/>
      <c r="JY60" s="100"/>
      <c r="JZ60" s="100"/>
      <c r="KA60" s="100"/>
      <c r="KB60" s="100"/>
      <c r="KC60" s="100"/>
      <c r="KD60" s="100"/>
      <c r="KE60" s="100"/>
      <c r="KF60" s="100"/>
      <c r="KG60" s="100"/>
      <c r="KH60" s="100"/>
      <c r="KI60" s="100"/>
      <c r="KJ60" s="100"/>
    </row>
    <row r="61" spans="1:296" x14ac:dyDescent="0.3">
      <c r="B61" t="s">
        <v>117</v>
      </c>
      <c r="C61" s="5">
        <v>15</v>
      </c>
      <c r="D61" s="111">
        <v>0</v>
      </c>
      <c r="E61" s="5">
        <f t="shared" ref="E61:E62" si="2">-(+C61*D61)</f>
        <v>0</v>
      </c>
      <c r="F61" s="98"/>
    </row>
    <row r="62" spans="1:296" x14ac:dyDescent="0.3">
      <c r="B62" t="s">
        <v>126</v>
      </c>
      <c r="C62" s="5">
        <f>+'DIS. PRENDAS'!L12</f>
        <v>25.279583333333335</v>
      </c>
      <c r="D62" s="111">
        <v>0</v>
      </c>
      <c r="E62" s="5">
        <f t="shared" si="2"/>
        <v>0</v>
      </c>
    </row>
    <row r="63" spans="1:296" s="43" customFormat="1" x14ac:dyDescent="0.3">
      <c r="B63" s="43" t="s">
        <v>123</v>
      </c>
      <c r="C63" s="119">
        <v>20</v>
      </c>
      <c r="D63" s="120">
        <v>0</v>
      </c>
      <c r="E63" s="119">
        <f>-(+C63*D63)</f>
        <v>0</v>
      </c>
      <c r="F63" s="121"/>
      <c r="G63" s="119"/>
      <c r="I63" s="28"/>
      <c r="J63" s="39"/>
      <c r="K63" s="70"/>
      <c r="L63" s="75"/>
      <c r="M63" s="127"/>
      <c r="N63" s="77"/>
      <c r="O63" s="164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00"/>
      <c r="BU63" s="100"/>
      <c r="BV63" s="100"/>
      <c r="BW63" s="100"/>
      <c r="BX63" s="100"/>
      <c r="BY63" s="100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100"/>
      <c r="CX63" s="100"/>
      <c r="CY63" s="100"/>
      <c r="CZ63" s="100"/>
      <c r="DA63" s="100"/>
      <c r="DB63" s="100"/>
      <c r="DC63" s="100"/>
      <c r="DD63" s="100"/>
      <c r="DE63" s="100"/>
      <c r="DF63" s="100"/>
      <c r="DG63" s="100"/>
      <c r="DH63" s="100"/>
      <c r="DI63" s="100"/>
      <c r="DJ63" s="100"/>
      <c r="DK63" s="100"/>
      <c r="DL63" s="100"/>
      <c r="DM63" s="100"/>
      <c r="DN63" s="100"/>
      <c r="DO63" s="100"/>
      <c r="DP63" s="100"/>
      <c r="DQ63" s="100"/>
      <c r="DR63" s="100"/>
      <c r="DS63" s="100"/>
      <c r="DT63" s="100"/>
      <c r="DU63" s="100"/>
      <c r="DV63" s="100"/>
      <c r="DW63" s="100"/>
      <c r="DX63" s="100"/>
      <c r="DY63" s="100"/>
      <c r="DZ63" s="100"/>
      <c r="EA63" s="100"/>
      <c r="EB63" s="100"/>
      <c r="EC63" s="100"/>
      <c r="ED63" s="100"/>
      <c r="EE63" s="100"/>
      <c r="EF63" s="100"/>
      <c r="EG63" s="100"/>
      <c r="EH63" s="100"/>
      <c r="EI63" s="100"/>
      <c r="EJ63" s="100"/>
      <c r="EK63" s="100"/>
      <c r="EL63" s="100"/>
      <c r="EM63" s="100"/>
      <c r="EN63" s="100"/>
      <c r="EO63" s="100"/>
      <c r="EP63" s="100"/>
      <c r="EQ63" s="100"/>
      <c r="ER63" s="100"/>
      <c r="ES63" s="100"/>
      <c r="ET63" s="100"/>
      <c r="EU63" s="100"/>
      <c r="EV63" s="100"/>
      <c r="EW63" s="100"/>
      <c r="EX63" s="100"/>
      <c r="EY63" s="100"/>
      <c r="EZ63" s="100"/>
      <c r="FA63" s="100"/>
      <c r="FB63" s="100"/>
      <c r="FC63" s="100"/>
      <c r="FD63" s="100"/>
      <c r="FE63" s="100"/>
      <c r="FF63" s="100"/>
      <c r="FG63" s="100"/>
      <c r="FH63" s="100"/>
      <c r="FI63" s="100"/>
      <c r="FJ63" s="100"/>
      <c r="FK63" s="100"/>
      <c r="FL63" s="100"/>
      <c r="FM63" s="100"/>
      <c r="FN63" s="100"/>
      <c r="FO63" s="100"/>
      <c r="FP63" s="100"/>
      <c r="FQ63" s="100"/>
      <c r="FR63" s="100"/>
      <c r="FS63" s="100"/>
      <c r="FT63" s="100"/>
      <c r="FU63" s="100"/>
      <c r="FV63" s="100"/>
      <c r="FW63" s="100"/>
      <c r="FX63" s="100"/>
      <c r="FY63" s="100"/>
      <c r="FZ63" s="100"/>
      <c r="GA63" s="100"/>
      <c r="GB63" s="100"/>
      <c r="GC63" s="100"/>
      <c r="GD63" s="100"/>
      <c r="GE63" s="100"/>
      <c r="GF63" s="100"/>
      <c r="GG63" s="100"/>
      <c r="GH63" s="100"/>
      <c r="GI63" s="100"/>
      <c r="GJ63" s="100"/>
      <c r="GK63" s="100"/>
      <c r="GL63" s="100"/>
      <c r="GM63" s="100"/>
      <c r="GN63" s="100"/>
      <c r="GO63" s="100"/>
      <c r="GP63" s="100"/>
      <c r="GQ63" s="100"/>
      <c r="GR63" s="100"/>
      <c r="GS63" s="100"/>
      <c r="GT63" s="100"/>
      <c r="GU63" s="100"/>
      <c r="GV63" s="100"/>
      <c r="GW63" s="100"/>
      <c r="GX63" s="100"/>
      <c r="GY63" s="100"/>
      <c r="GZ63" s="100"/>
      <c r="HA63" s="100"/>
      <c r="HB63" s="100"/>
      <c r="HC63" s="100"/>
      <c r="HD63" s="100"/>
      <c r="HE63" s="100"/>
      <c r="HF63" s="100"/>
      <c r="HG63" s="100"/>
      <c r="HH63" s="100"/>
      <c r="HI63" s="100"/>
      <c r="HJ63" s="100"/>
      <c r="HK63" s="100"/>
      <c r="HL63" s="100"/>
      <c r="HM63" s="100"/>
      <c r="HN63" s="100"/>
      <c r="HO63" s="100"/>
      <c r="HP63" s="100"/>
      <c r="HQ63" s="100"/>
      <c r="HR63" s="100"/>
      <c r="HS63" s="100"/>
      <c r="HT63" s="100"/>
      <c r="HU63" s="100"/>
      <c r="HV63" s="100"/>
      <c r="HW63" s="100"/>
      <c r="HX63" s="100"/>
      <c r="HY63" s="100"/>
      <c r="HZ63" s="100"/>
      <c r="IA63" s="100"/>
      <c r="IB63" s="100"/>
      <c r="IC63" s="100"/>
      <c r="ID63" s="100"/>
      <c r="IE63" s="100"/>
      <c r="IF63" s="100"/>
      <c r="IG63" s="100"/>
      <c r="IH63" s="100"/>
      <c r="II63" s="100"/>
      <c r="IJ63" s="100"/>
      <c r="IK63" s="100"/>
      <c r="IL63" s="100"/>
      <c r="IM63" s="100"/>
      <c r="IN63" s="100"/>
      <c r="IO63" s="100"/>
      <c r="IP63" s="100"/>
      <c r="IQ63" s="100"/>
      <c r="IR63" s="100"/>
      <c r="IS63" s="100"/>
      <c r="IT63" s="100"/>
      <c r="IU63" s="100"/>
      <c r="IV63" s="100"/>
      <c r="IW63" s="100"/>
      <c r="IX63" s="100"/>
      <c r="IY63" s="100"/>
      <c r="IZ63" s="100"/>
      <c r="JA63" s="100"/>
      <c r="JB63" s="100"/>
      <c r="JC63" s="100"/>
      <c r="JD63" s="100"/>
      <c r="JE63" s="100"/>
      <c r="JF63" s="100"/>
      <c r="JG63" s="100"/>
      <c r="JH63" s="100"/>
      <c r="JI63" s="100"/>
      <c r="JJ63" s="100"/>
      <c r="JK63" s="100"/>
      <c r="JL63" s="100"/>
      <c r="JM63" s="100"/>
      <c r="JN63" s="100"/>
      <c r="JO63" s="100"/>
      <c r="JP63" s="100"/>
      <c r="JQ63" s="100"/>
      <c r="JR63" s="100"/>
      <c r="JS63" s="100"/>
      <c r="JT63" s="100"/>
      <c r="JU63" s="100"/>
      <c r="JV63" s="100"/>
      <c r="JW63" s="100"/>
      <c r="JX63" s="100"/>
      <c r="JY63" s="100"/>
      <c r="JZ63" s="100"/>
      <c r="KA63" s="100"/>
      <c r="KB63" s="100"/>
      <c r="KC63" s="100"/>
      <c r="KD63" s="100"/>
      <c r="KE63" s="100"/>
      <c r="KF63" s="100"/>
      <c r="KG63" s="100"/>
      <c r="KH63" s="100"/>
      <c r="KI63" s="100"/>
      <c r="KJ63" s="100"/>
    </row>
    <row r="64" spans="1:296" s="43" customFormat="1" x14ac:dyDescent="0.3">
      <c r="B64" s="43" t="s">
        <v>130</v>
      </c>
      <c r="C64" s="119">
        <v>20</v>
      </c>
      <c r="D64" s="120">
        <v>0</v>
      </c>
      <c r="E64" s="119">
        <f>-(+C64*D64)</f>
        <v>0</v>
      </c>
      <c r="F64" s="121"/>
      <c r="G64" s="119"/>
      <c r="I64" s="28"/>
      <c r="J64" s="39"/>
      <c r="K64" s="70"/>
      <c r="L64" s="75"/>
      <c r="M64" s="127"/>
      <c r="N64" s="77"/>
      <c r="O64" s="164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00"/>
      <c r="BR64" s="100"/>
      <c r="BS64" s="100"/>
      <c r="BT64" s="100"/>
      <c r="BU64" s="100"/>
      <c r="BV64" s="100"/>
      <c r="BW64" s="100"/>
      <c r="BX64" s="100"/>
      <c r="BY64" s="100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100"/>
      <c r="CX64" s="100"/>
      <c r="CY64" s="100"/>
      <c r="CZ64" s="100"/>
      <c r="DA64" s="100"/>
      <c r="DB64" s="100"/>
      <c r="DC64" s="100"/>
      <c r="DD64" s="100"/>
      <c r="DE64" s="100"/>
      <c r="DF64" s="100"/>
      <c r="DG64" s="100"/>
      <c r="DH64" s="100"/>
      <c r="DI64" s="100"/>
      <c r="DJ64" s="100"/>
      <c r="DK64" s="100"/>
      <c r="DL64" s="100"/>
      <c r="DM64" s="100"/>
      <c r="DN64" s="100"/>
      <c r="DO64" s="100"/>
      <c r="DP64" s="100"/>
      <c r="DQ64" s="100"/>
      <c r="DR64" s="100"/>
      <c r="DS64" s="100"/>
      <c r="DT64" s="100"/>
      <c r="DU64" s="100"/>
      <c r="DV64" s="100"/>
      <c r="DW64" s="100"/>
      <c r="DX64" s="100"/>
      <c r="DY64" s="100"/>
      <c r="DZ64" s="100"/>
      <c r="EA64" s="100"/>
      <c r="EB64" s="100"/>
      <c r="EC64" s="100"/>
      <c r="ED64" s="100"/>
      <c r="EE64" s="100"/>
      <c r="EF64" s="100"/>
      <c r="EG64" s="100"/>
      <c r="EH64" s="100"/>
      <c r="EI64" s="100"/>
      <c r="EJ64" s="100"/>
      <c r="EK64" s="100"/>
      <c r="EL64" s="100"/>
      <c r="EM64" s="100"/>
      <c r="EN64" s="100"/>
      <c r="EO64" s="100"/>
      <c r="EP64" s="100"/>
      <c r="EQ64" s="100"/>
      <c r="ER64" s="100"/>
      <c r="ES64" s="100"/>
      <c r="ET64" s="100"/>
      <c r="EU64" s="100"/>
      <c r="EV64" s="100"/>
      <c r="EW64" s="100"/>
      <c r="EX64" s="100"/>
      <c r="EY64" s="100"/>
      <c r="EZ64" s="100"/>
      <c r="FA64" s="100"/>
      <c r="FB64" s="100"/>
      <c r="FC64" s="100"/>
      <c r="FD64" s="100"/>
      <c r="FE64" s="100"/>
      <c r="FF64" s="100"/>
      <c r="FG64" s="100"/>
      <c r="FH64" s="100"/>
      <c r="FI64" s="100"/>
      <c r="FJ64" s="100"/>
      <c r="FK64" s="100"/>
      <c r="FL64" s="100"/>
      <c r="FM64" s="100"/>
      <c r="FN64" s="100"/>
      <c r="FO64" s="100"/>
      <c r="FP64" s="100"/>
      <c r="FQ64" s="100"/>
      <c r="FR64" s="100"/>
      <c r="FS64" s="100"/>
      <c r="FT64" s="100"/>
      <c r="FU64" s="100"/>
      <c r="FV64" s="100"/>
      <c r="FW64" s="100"/>
      <c r="FX64" s="100"/>
      <c r="FY64" s="100"/>
      <c r="FZ64" s="100"/>
      <c r="GA64" s="100"/>
      <c r="GB64" s="100"/>
      <c r="GC64" s="100"/>
      <c r="GD64" s="100"/>
      <c r="GE64" s="100"/>
      <c r="GF64" s="100"/>
      <c r="GG64" s="100"/>
      <c r="GH64" s="100"/>
      <c r="GI64" s="100"/>
      <c r="GJ64" s="100"/>
      <c r="GK64" s="100"/>
      <c r="GL64" s="100"/>
      <c r="GM64" s="100"/>
      <c r="GN64" s="100"/>
      <c r="GO64" s="100"/>
      <c r="GP64" s="100"/>
      <c r="GQ64" s="100"/>
      <c r="GR64" s="100"/>
      <c r="GS64" s="100"/>
      <c r="GT64" s="100"/>
      <c r="GU64" s="100"/>
      <c r="GV64" s="100"/>
      <c r="GW64" s="100"/>
      <c r="GX64" s="100"/>
      <c r="GY64" s="100"/>
      <c r="GZ64" s="100"/>
      <c r="HA64" s="100"/>
      <c r="HB64" s="100"/>
      <c r="HC64" s="100"/>
      <c r="HD64" s="100"/>
      <c r="HE64" s="100"/>
      <c r="HF64" s="100"/>
      <c r="HG64" s="100"/>
      <c r="HH64" s="100"/>
      <c r="HI64" s="100"/>
      <c r="HJ64" s="100"/>
      <c r="HK64" s="100"/>
      <c r="HL64" s="100"/>
      <c r="HM64" s="100"/>
      <c r="HN64" s="100"/>
      <c r="HO64" s="100"/>
      <c r="HP64" s="100"/>
      <c r="HQ64" s="100"/>
      <c r="HR64" s="100"/>
      <c r="HS64" s="100"/>
      <c r="HT64" s="100"/>
      <c r="HU64" s="100"/>
      <c r="HV64" s="100"/>
      <c r="HW64" s="100"/>
      <c r="HX64" s="100"/>
      <c r="HY64" s="100"/>
      <c r="HZ64" s="100"/>
      <c r="IA64" s="100"/>
      <c r="IB64" s="100"/>
      <c r="IC64" s="100"/>
      <c r="ID64" s="100"/>
      <c r="IE64" s="100"/>
      <c r="IF64" s="100"/>
      <c r="IG64" s="100"/>
      <c r="IH64" s="100"/>
      <c r="II64" s="100"/>
      <c r="IJ64" s="100"/>
      <c r="IK64" s="100"/>
      <c r="IL64" s="100"/>
      <c r="IM64" s="100"/>
      <c r="IN64" s="100"/>
      <c r="IO64" s="100"/>
      <c r="IP64" s="100"/>
      <c r="IQ64" s="100"/>
      <c r="IR64" s="100"/>
      <c r="IS64" s="100"/>
      <c r="IT64" s="100"/>
      <c r="IU64" s="100"/>
      <c r="IV64" s="100"/>
      <c r="IW64" s="100"/>
      <c r="IX64" s="100"/>
      <c r="IY64" s="100"/>
      <c r="IZ64" s="100"/>
      <c r="JA64" s="100"/>
      <c r="JB64" s="100"/>
      <c r="JC64" s="100"/>
      <c r="JD64" s="100"/>
      <c r="JE64" s="100"/>
      <c r="JF64" s="100"/>
      <c r="JG64" s="100"/>
      <c r="JH64" s="100"/>
      <c r="JI64" s="100"/>
      <c r="JJ64" s="100"/>
      <c r="JK64" s="100"/>
      <c r="JL64" s="100"/>
      <c r="JM64" s="100"/>
      <c r="JN64" s="100"/>
      <c r="JO64" s="100"/>
      <c r="JP64" s="100"/>
      <c r="JQ64" s="100"/>
      <c r="JR64" s="100"/>
      <c r="JS64" s="100"/>
      <c r="JT64" s="100"/>
      <c r="JU64" s="100"/>
      <c r="JV64" s="100"/>
      <c r="JW64" s="100"/>
      <c r="JX64" s="100"/>
      <c r="JY64" s="100"/>
      <c r="JZ64" s="100"/>
      <c r="KA64" s="100"/>
      <c r="KB64" s="100"/>
      <c r="KC64" s="100"/>
      <c r="KD64" s="100"/>
      <c r="KE64" s="100"/>
      <c r="KF64" s="100"/>
      <c r="KG64" s="100"/>
      <c r="KH64" s="100"/>
      <c r="KI64" s="100"/>
      <c r="KJ64" s="100"/>
    </row>
    <row r="65" spans="1:296" s="43" customFormat="1" x14ac:dyDescent="0.3">
      <c r="B65" s="130" t="s">
        <v>127</v>
      </c>
      <c r="C65" s="119">
        <v>25</v>
      </c>
      <c r="D65" s="120">
        <v>1</v>
      </c>
      <c r="E65" s="119">
        <f>-(+C65*D65)</f>
        <v>-25</v>
      </c>
      <c r="F65" s="121" t="s">
        <v>173</v>
      </c>
      <c r="G65" s="119"/>
      <c r="I65" s="28"/>
      <c r="J65" s="39"/>
      <c r="K65" s="70"/>
      <c r="L65" s="75"/>
      <c r="M65" s="127"/>
      <c r="N65" s="77"/>
      <c r="O65" s="164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100"/>
      <c r="BS65" s="100"/>
      <c r="BT65" s="100"/>
      <c r="BU65" s="100"/>
      <c r="BV65" s="100"/>
      <c r="BW65" s="100"/>
      <c r="BX65" s="100"/>
      <c r="BY65" s="100"/>
      <c r="BZ65" s="100"/>
      <c r="CA65" s="100"/>
      <c r="CB65" s="100"/>
      <c r="CC65" s="100"/>
      <c r="CD65" s="100"/>
      <c r="CE65" s="10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  <c r="CU65" s="100"/>
      <c r="CV65" s="100"/>
      <c r="CW65" s="100"/>
      <c r="CX65" s="100"/>
      <c r="CY65" s="100"/>
      <c r="CZ65" s="100"/>
      <c r="DA65" s="100"/>
      <c r="DB65" s="100"/>
      <c r="DC65" s="100"/>
      <c r="DD65" s="100"/>
      <c r="DE65" s="100"/>
      <c r="DF65" s="100"/>
      <c r="DG65" s="100"/>
      <c r="DH65" s="100"/>
      <c r="DI65" s="100"/>
      <c r="DJ65" s="100"/>
      <c r="DK65" s="100"/>
      <c r="DL65" s="100"/>
      <c r="DM65" s="100"/>
      <c r="DN65" s="100"/>
      <c r="DO65" s="100"/>
      <c r="DP65" s="100"/>
      <c r="DQ65" s="100"/>
      <c r="DR65" s="100"/>
      <c r="DS65" s="100"/>
      <c r="DT65" s="100"/>
      <c r="DU65" s="100"/>
      <c r="DV65" s="100"/>
      <c r="DW65" s="100"/>
      <c r="DX65" s="100"/>
      <c r="DY65" s="100"/>
      <c r="DZ65" s="100"/>
      <c r="EA65" s="100"/>
      <c r="EB65" s="100"/>
      <c r="EC65" s="100"/>
      <c r="ED65" s="100"/>
      <c r="EE65" s="100"/>
      <c r="EF65" s="100"/>
      <c r="EG65" s="100"/>
      <c r="EH65" s="100"/>
      <c r="EI65" s="100"/>
      <c r="EJ65" s="100"/>
      <c r="EK65" s="100"/>
      <c r="EL65" s="100"/>
      <c r="EM65" s="100"/>
      <c r="EN65" s="100"/>
      <c r="EO65" s="100"/>
      <c r="EP65" s="100"/>
      <c r="EQ65" s="100"/>
      <c r="ER65" s="100"/>
      <c r="ES65" s="100"/>
      <c r="ET65" s="100"/>
      <c r="EU65" s="100"/>
      <c r="EV65" s="100"/>
      <c r="EW65" s="100"/>
      <c r="EX65" s="100"/>
      <c r="EY65" s="100"/>
      <c r="EZ65" s="100"/>
      <c r="FA65" s="100"/>
      <c r="FB65" s="100"/>
      <c r="FC65" s="100"/>
      <c r="FD65" s="100"/>
      <c r="FE65" s="100"/>
      <c r="FF65" s="100"/>
      <c r="FG65" s="100"/>
      <c r="FH65" s="100"/>
      <c r="FI65" s="100"/>
      <c r="FJ65" s="100"/>
      <c r="FK65" s="100"/>
      <c r="FL65" s="100"/>
      <c r="FM65" s="100"/>
      <c r="FN65" s="100"/>
      <c r="FO65" s="100"/>
      <c r="FP65" s="100"/>
      <c r="FQ65" s="100"/>
      <c r="FR65" s="100"/>
      <c r="FS65" s="100"/>
      <c r="FT65" s="100"/>
      <c r="FU65" s="100"/>
      <c r="FV65" s="100"/>
      <c r="FW65" s="100"/>
      <c r="FX65" s="100"/>
      <c r="FY65" s="100"/>
      <c r="FZ65" s="100"/>
      <c r="GA65" s="100"/>
      <c r="GB65" s="100"/>
      <c r="GC65" s="100"/>
      <c r="GD65" s="100"/>
      <c r="GE65" s="100"/>
      <c r="GF65" s="100"/>
      <c r="GG65" s="100"/>
      <c r="GH65" s="100"/>
      <c r="GI65" s="100"/>
      <c r="GJ65" s="100"/>
      <c r="GK65" s="100"/>
      <c r="GL65" s="100"/>
      <c r="GM65" s="100"/>
      <c r="GN65" s="100"/>
      <c r="GO65" s="100"/>
      <c r="GP65" s="100"/>
      <c r="GQ65" s="100"/>
      <c r="GR65" s="100"/>
      <c r="GS65" s="100"/>
      <c r="GT65" s="100"/>
      <c r="GU65" s="100"/>
      <c r="GV65" s="100"/>
      <c r="GW65" s="100"/>
      <c r="GX65" s="100"/>
      <c r="GY65" s="100"/>
      <c r="GZ65" s="100"/>
      <c r="HA65" s="100"/>
      <c r="HB65" s="100"/>
      <c r="HC65" s="100"/>
      <c r="HD65" s="100"/>
      <c r="HE65" s="100"/>
      <c r="HF65" s="100"/>
      <c r="HG65" s="100"/>
      <c r="HH65" s="100"/>
      <c r="HI65" s="100"/>
      <c r="HJ65" s="100"/>
      <c r="HK65" s="100"/>
      <c r="HL65" s="100"/>
      <c r="HM65" s="100"/>
      <c r="HN65" s="100"/>
      <c r="HO65" s="100"/>
      <c r="HP65" s="100"/>
      <c r="HQ65" s="100"/>
      <c r="HR65" s="100"/>
      <c r="HS65" s="100"/>
      <c r="HT65" s="100"/>
      <c r="HU65" s="100"/>
      <c r="HV65" s="100"/>
      <c r="HW65" s="100"/>
      <c r="HX65" s="100"/>
      <c r="HY65" s="100"/>
      <c r="HZ65" s="100"/>
      <c r="IA65" s="100"/>
      <c r="IB65" s="100"/>
      <c r="IC65" s="100"/>
      <c r="ID65" s="100"/>
      <c r="IE65" s="100"/>
      <c r="IF65" s="100"/>
      <c r="IG65" s="100"/>
      <c r="IH65" s="100"/>
      <c r="II65" s="100"/>
      <c r="IJ65" s="100"/>
      <c r="IK65" s="100"/>
      <c r="IL65" s="100"/>
      <c r="IM65" s="100"/>
      <c r="IN65" s="100"/>
      <c r="IO65" s="100"/>
      <c r="IP65" s="100"/>
      <c r="IQ65" s="100"/>
      <c r="IR65" s="100"/>
      <c r="IS65" s="100"/>
      <c r="IT65" s="100"/>
      <c r="IU65" s="100"/>
      <c r="IV65" s="100"/>
      <c r="IW65" s="100"/>
      <c r="IX65" s="100"/>
      <c r="IY65" s="100"/>
      <c r="IZ65" s="100"/>
      <c r="JA65" s="100"/>
      <c r="JB65" s="100"/>
      <c r="JC65" s="100"/>
      <c r="JD65" s="100"/>
      <c r="JE65" s="100"/>
      <c r="JF65" s="100"/>
      <c r="JG65" s="100"/>
      <c r="JH65" s="100"/>
      <c r="JI65" s="100"/>
      <c r="JJ65" s="100"/>
      <c r="JK65" s="100"/>
      <c r="JL65" s="100"/>
      <c r="JM65" s="100"/>
      <c r="JN65" s="100"/>
      <c r="JO65" s="100"/>
      <c r="JP65" s="100"/>
      <c r="JQ65" s="100"/>
      <c r="JR65" s="100"/>
      <c r="JS65" s="100"/>
      <c r="JT65" s="100"/>
      <c r="JU65" s="100"/>
      <c r="JV65" s="100"/>
      <c r="JW65" s="100"/>
      <c r="JX65" s="100"/>
      <c r="JY65" s="100"/>
      <c r="JZ65" s="100"/>
      <c r="KA65" s="100"/>
      <c r="KB65" s="100"/>
      <c r="KC65" s="100"/>
      <c r="KD65" s="100"/>
      <c r="KE65" s="100"/>
      <c r="KF65" s="100"/>
      <c r="KG65" s="100"/>
      <c r="KH65" s="100"/>
      <c r="KI65" s="100"/>
      <c r="KJ65" s="100"/>
    </row>
    <row r="66" spans="1:296" x14ac:dyDescent="0.3">
      <c r="C66" s="5"/>
      <c r="D66" s="112"/>
      <c r="E66" s="94">
        <f>SUM(E51:E65)</f>
        <v>-1108.8560416666664</v>
      </c>
    </row>
    <row r="67" spans="1:296" s="100" customFormat="1" x14ac:dyDescent="0.3">
      <c r="C67" s="116"/>
      <c r="D67" s="124"/>
      <c r="E67" s="125"/>
      <c r="F67" s="96"/>
      <c r="G67" s="116"/>
      <c r="I67" s="28"/>
      <c r="J67" s="39"/>
      <c r="K67" s="70"/>
      <c r="L67" s="75"/>
      <c r="M67" s="127"/>
      <c r="N67" s="77"/>
      <c r="O67" s="164"/>
    </row>
    <row r="68" spans="1:296" x14ac:dyDescent="0.3">
      <c r="C68" s="5"/>
      <c r="D68" s="112"/>
      <c r="E68" s="27"/>
    </row>
    <row r="69" spans="1:296" ht="25.8" x14ac:dyDescent="0.3">
      <c r="F69" s="174" t="s">
        <v>22</v>
      </c>
      <c r="G69" s="174"/>
      <c r="H69" s="174"/>
      <c r="I69" s="85"/>
    </row>
    <row r="70" spans="1:296" ht="28.8" x14ac:dyDescent="0.3">
      <c r="B70" s="3" t="s">
        <v>2</v>
      </c>
      <c r="C70" s="12" t="s">
        <v>12</v>
      </c>
      <c r="D70" s="175" t="s">
        <v>17</v>
      </c>
      <c r="E70" s="176"/>
      <c r="F70" s="11" t="s">
        <v>15</v>
      </c>
      <c r="G70" s="14" t="s">
        <v>16</v>
      </c>
      <c r="H70" s="13" t="s">
        <v>138</v>
      </c>
      <c r="I70" s="86" t="s">
        <v>41</v>
      </c>
      <c r="J70" s="40" t="s">
        <v>42</v>
      </c>
      <c r="K70" s="149" t="s">
        <v>95</v>
      </c>
      <c r="L70" s="76" t="s">
        <v>96</v>
      </c>
      <c r="M70" s="128" t="s">
        <v>125</v>
      </c>
      <c r="N70" s="78" t="s">
        <v>94</v>
      </c>
      <c r="O70" s="162" t="s">
        <v>161</v>
      </c>
    </row>
    <row r="71" spans="1:296" ht="13.8" customHeight="1" x14ac:dyDescent="0.3">
      <c r="B71" s="3"/>
      <c r="C71" s="67">
        <f>SUM(C72:C300)</f>
        <v>0</v>
      </c>
      <c r="D71" s="122" t="s">
        <v>20</v>
      </c>
      <c r="E71" s="67">
        <f>SUM(E72:E300)</f>
        <v>720.92</v>
      </c>
      <c r="F71" s="67">
        <f t="shared" ref="F71:O71" si="3">SUM(F72:F300)</f>
        <v>25</v>
      </c>
      <c r="G71" s="67">
        <f t="shared" si="3"/>
        <v>0</v>
      </c>
      <c r="H71" s="67">
        <f t="shared" si="3"/>
        <v>0</v>
      </c>
      <c r="I71" s="67">
        <f t="shared" si="3"/>
        <v>0</v>
      </c>
      <c r="J71" s="67">
        <f t="shared" si="3"/>
        <v>0</v>
      </c>
      <c r="K71" s="67">
        <f t="shared" si="3"/>
        <v>4</v>
      </c>
      <c r="L71" s="67">
        <f t="shared" si="3"/>
        <v>4</v>
      </c>
      <c r="M71" s="67">
        <f t="shared" si="3"/>
        <v>7.5</v>
      </c>
      <c r="N71" s="67">
        <f t="shared" si="3"/>
        <v>0</v>
      </c>
      <c r="O71" s="67">
        <f t="shared" si="3"/>
        <v>13.5</v>
      </c>
    </row>
    <row r="72" spans="1:296" ht="13.8" customHeight="1" x14ac:dyDescent="0.3">
      <c r="B72" s="169" t="s">
        <v>175</v>
      </c>
      <c r="C72" s="118"/>
      <c r="D72" s="122" t="s">
        <v>176</v>
      </c>
      <c r="E72" s="67">
        <v>49.72</v>
      </c>
      <c r="F72" s="67"/>
      <c r="G72" s="118"/>
      <c r="H72" s="118"/>
      <c r="I72" s="118"/>
      <c r="J72" s="118"/>
      <c r="K72" s="118"/>
      <c r="L72" s="118"/>
      <c r="M72" s="118"/>
      <c r="N72" s="118"/>
      <c r="O72" s="168"/>
    </row>
    <row r="73" spans="1:296" ht="13.8" customHeight="1" x14ac:dyDescent="0.3">
      <c r="B73" s="169" t="s">
        <v>177</v>
      </c>
      <c r="C73" s="118"/>
      <c r="D73" s="122" t="s">
        <v>176</v>
      </c>
      <c r="E73" s="67">
        <v>38.6</v>
      </c>
      <c r="F73" s="67"/>
      <c r="G73" s="118"/>
      <c r="H73" s="118"/>
      <c r="I73" s="118"/>
      <c r="J73" s="118"/>
      <c r="K73" s="118"/>
      <c r="L73" s="118"/>
      <c r="M73" s="118"/>
      <c r="N73" s="118"/>
      <c r="O73" s="168"/>
    </row>
    <row r="74" spans="1:296" ht="13.8" customHeight="1" x14ac:dyDescent="0.3">
      <c r="B74" s="146" t="s">
        <v>178</v>
      </c>
      <c r="C74" s="99"/>
      <c r="D74" s="122" t="s">
        <v>133</v>
      </c>
      <c r="E74" s="67"/>
      <c r="F74" s="67"/>
      <c r="G74" s="118"/>
      <c r="H74" s="118"/>
      <c r="I74" s="118"/>
      <c r="J74" s="118"/>
      <c r="K74" s="118"/>
      <c r="L74" s="118"/>
      <c r="M74" s="118">
        <v>2</v>
      </c>
      <c r="N74" s="118"/>
    </row>
    <row r="75" spans="1:296" ht="13.8" customHeight="1" x14ac:dyDescent="0.3">
      <c r="B75" s="146" t="s">
        <v>181</v>
      </c>
      <c r="C75" s="99"/>
      <c r="D75" s="122" t="s">
        <v>133</v>
      </c>
      <c r="E75" s="67"/>
      <c r="F75" s="67"/>
      <c r="G75" s="118"/>
      <c r="H75" s="118"/>
      <c r="I75" s="118"/>
      <c r="J75" s="118"/>
      <c r="K75" s="118"/>
      <c r="L75" s="118"/>
      <c r="M75" s="118"/>
      <c r="N75" s="118"/>
      <c r="O75" s="164">
        <v>8</v>
      </c>
    </row>
    <row r="76" spans="1:296" ht="13.8" customHeight="1" x14ac:dyDescent="0.3">
      <c r="B76" s="146" t="s">
        <v>182</v>
      </c>
      <c r="C76" s="99"/>
      <c r="D76" s="122" t="s">
        <v>133</v>
      </c>
      <c r="E76" s="67"/>
      <c r="F76" s="67"/>
      <c r="G76" s="118"/>
      <c r="H76" s="118"/>
      <c r="I76" s="118"/>
      <c r="J76" s="118"/>
      <c r="K76" s="118"/>
      <c r="L76" s="118"/>
      <c r="M76" s="118">
        <v>3.5</v>
      </c>
      <c r="N76" s="118"/>
    </row>
    <row r="77" spans="1:296" ht="13.8" customHeight="1" x14ac:dyDescent="0.3">
      <c r="B77" s="146" t="s">
        <v>183</v>
      </c>
      <c r="C77" s="99"/>
      <c r="D77" s="122" t="s">
        <v>133</v>
      </c>
      <c r="E77" s="67"/>
      <c r="F77" s="67"/>
      <c r="G77" s="118"/>
      <c r="H77" s="118"/>
      <c r="I77" s="118"/>
      <c r="J77" s="118"/>
      <c r="K77" s="118"/>
      <c r="L77" s="118"/>
      <c r="M77" s="118">
        <v>2</v>
      </c>
      <c r="N77" s="118"/>
      <c r="O77" s="164">
        <v>5.5</v>
      </c>
    </row>
    <row r="78" spans="1:296" s="5" customFormat="1" x14ac:dyDescent="0.3">
      <c r="A78"/>
      <c r="B78" t="s">
        <v>13</v>
      </c>
      <c r="C78"/>
      <c r="D78" s="147">
        <v>5429</v>
      </c>
      <c r="E78" s="95">
        <v>0</v>
      </c>
      <c r="F78" s="97" t="s">
        <v>142</v>
      </c>
      <c r="H78"/>
      <c r="I78" s="28"/>
      <c r="J78" s="39"/>
      <c r="K78" s="70"/>
      <c r="L78" s="75"/>
      <c r="M78" s="127"/>
      <c r="N78" s="77"/>
      <c r="O78" s="165"/>
    </row>
    <row r="79" spans="1:296" s="100" customFormat="1" x14ac:dyDescent="0.3">
      <c r="A79"/>
      <c r="B79" s="126" t="s">
        <v>13</v>
      </c>
      <c r="D79" s="147">
        <v>6070</v>
      </c>
      <c r="E79" s="24"/>
      <c r="F79" s="132" t="s">
        <v>131</v>
      </c>
      <c r="G79" s="5"/>
      <c r="H79"/>
      <c r="I79" s="28"/>
      <c r="J79" s="39"/>
      <c r="K79" s="70"/>
      <c r="L79" s="75"/>
      <c r="M79" s="127"/>
      <c r="N79" s="77"/>
      <c r="O79" s="164"/>
    </row>
    <row r="80" spans="1:296" s="100" customFormat="1" x14ac:dyDescent="0.3">
      <c r="A80"/>
      <c r="B80" s="123" t="s">
        <v>13</v>
      </c>
      <c r="D80" s="147">
        <v>6119</v>
      </c>
      <c r="E80" s="24">
        <v>0</v>
      </c>
      <c r="F80" s="132" t="s">
        <v>132</v>
      </c>
      <c r="G80" s="5"/>
      <c r="H80"/>
      <c r="I80" s="28"/>
      <c r="J80" s="39"/>
      <c r="K80" s="70"/>
      <c r="L80" s="75"/>
      <c r="M80" s="127"/>
      <c r="N80" s="77"/>
      <c r="O80" s="164"/>
    </row>
    <row r="81" spans="1:15" s="100" customFormat="1" x14ac:dyDescent="0.3">
      <c r="A81"/>
      <c r="B81" s="126" t="s">
        <v>13</v>
      </c>
      <c r="C81"/>
      <c r="D81" s="147">
        <v>6150</v>
      </c>
      <c r="E81" s="24"/>
      <c r="F81" s="132" t="s">
        <v>151</v>
      </c>
      <c r="G81" s="5"/>
      <c r="H81"/>
      <c r="I81" s="28"/>
      <c r="J81" s="39"/>
      <c r="K81" s="70"/>
      <c r="L81" s="75"/>
      <c r="M81" s="127"/>
      <c r="N81" s="77"/>
      <c r="O81" s="164"/>
    </row>
    <row r="82" spans="1:15" s="100" customFormat="1" x14ac:dyDescent="0.3">
      <c r="A82"/>
      <c r="B82" s="126" t="s">
        <v>13</v>
      </c>
      <c r="C82"/>
      <c r="D82" s="167">
        <v>6183</v>
      </c>
      <c r="E82" s="151">
        <v>0</v>
      </c>
      <c r="F82" s="157" t="s">
        <v>174</v>
      </c>
      <c r="G82" s="5"/>
      <c r="H82"/>
      <c r="I82" s="28"/>
      <c r="J82" s="39"/>
      <c r="K82" s="70"/>
      <c r="L82" s="75"/>
      <c r="M82" s="127"/>
      <c r="N82" s="77"/>
      <c r="O82" s="164"/>
    </row>
    <row r="83" spans="1:15" x14ac:dyDescent="0.3">
      <c r="B83" s="137" t="s">
        <v>13</v>
      </c>
      <c r="D83" s="113">
        <v>6264</v>
      </c>
      <c r="E83" s="24">
        <v>10</v>
      </c>
      <c r="F83" s="30"/>
      <c r="K83" s="70">
        <v>2</v>
      </c>
      <c r="L83" s="75">
        <v>2</v>
      </c>
    </row>
    <row r="84" spans="1:15" x14ac:dyDescent="0.3">
      <c r="B84" s="126" t="s">
        <v>13</v>
      </c>
      <c r="D84" s="113">
        <v>6265</v>
      </c>
      <c r="E84" s="24">
        <v>24</v>
      </c>
      <c r="F84" s="30"/>
    </row>
    <row r="85" spans="1:15" x14ac:dyDescent="0.3">
      <c r="B85" s="126" t="s">
        <v>13</v>
      </c>
      <c r="D85" s="113">
        <v>6266</v>
      </c>
      <c r="E85" s="24">
        <v>15</v>
      </c>
      <c r="F85" s="7">
        <v>1</v>
      </c>
      <c r="G85" s="170" t="s">
        <v>179</v>
      </c>
    </row>
    <row r="86" spans="1:15" x14ac:dyDescent="0.3">
      <c r="B86" s="126" t="s">
        <v>13</v>
      </c>
      <c r="D86" s="113">
        <v>6267</v>
      </c>
      <c r="E86" s="24">
        <v>22</v>
      </c>
      <c r="F86" s="30"/>
      <c r="K86" s="70">
        <v>2</v>
      </c>
      <c r="L86" s="75">
        <v>2</v>
      </c>
    </row>
    <row r="87" spans="1:15" x14ac:dyDescent="0.3">
      <c r="B87" s="126" t="s">
        <v>13</v>
      </c>
      <c r="D87" s="113">
        <v>6268</v>
      </c>
      <c r="E87" s="24">
        <v>30</v>
      </c>
      <c r="F87" s="30"/>
    </row>
    <row r="88" spans="1:15" x14ac:dyDescent="0.3">
      <c r="B88" s="126" t="s">
        <v>13</v>
      </c>
      <c r="D88" s="113">
        <v>6269</v>
      </c>
      <c r="E88" s="24">
        <v>187.5</v>
      </c>
      <c r="F88" s="30">
        <v>16</v>
      </c>
    </row>
    <row r="89" spans="1:15" x14ac:dyDescent="0.3">
      <c r="B89" s="126" t="s">
        <v>13</v>
      </c>
      <c r="D89" s="113">
        <v>6270</v>
      </c>
      <c r="E89" s="24">
        <v>72</v>
      </c>
      <c r="F89" s="30"/>
    </row>
    <row r="90" spans="1:15" x14ac:dyDescent="0.3">
      <c r="B90" s="126" t="s">
        <v>13</v>
      </c>
      <c r="D90" s="113">
        <v>6271</v>
      </c>
      <c r="E90" s="24">
        <v>20</v>
      </c>
      <c r="F90" s="30">
        <v>1</v>
      </c>
    </row>
    <row r="91" spans="1:15" x14ac:dyDescent="0.3">
      <c r="B91" s="126" t="s">
        <v>13</v>
      </c>
      <c r="D91" s="113">
        <v>6272</v>
      </c>
      <c r="E91" s="24">
        <v>8</v>
      </c>
      <c r="F91" s="30"/>
    </row>
    <row r="92" spans="1:15" x14ac:dyDescent="0.3">
      <c r="B92" s="126" t="s">
        <v>13</v>
      </c>
      <c r="D92" s="113">
        <v>6273</v>
      </c>
      <c r="E92" s="24">
        <v>64.099999999999994</v>
      </c>
      <c r="F92" s="30"/>
    </row>
    <row r="93" spans="1:15" x14ac:dyDescent="0.3">
      <c r="B93" s="126" t="s">
        <v>13</v>
      </c>
      <c r="D93" s="113">
        <v>6274</v>
      </c>
      <c r="E93" s="24">
        <v>32</v>
      </c>
      <c r="F93" s="30">
        <v>2</v>
      </c>
    </row>
    <row r="94" spans="1:15" x14ac:dyDescent="0.3">
      <c r="B94" s="126" t="s">
        <v>13</v>
      </c>
      <c r="D94" s="113">
        <v>6275</v>
      </c>
      <c r="E94" s="24">
        <v>34</v>
      </c>
      <c r="F94" s="30">
        <v>2</v>
      </c>
    </row>
    <row r="95" spans="1:15" x14ac:dyDescent="0.3">
      <c r="B95" s="126" t="s">
        <v>13</v>
      </c>
      <c r="D95" s="113">
        <v>6276</v>
      </c>
      <c r="E95" s="24">
        <v>16</v>
      </c>
      <c r="F95" s="30">
        <v>1</v>
      </c>
    </row>
    <row r="96" spans="1:15" x14ac:dyDescent="0.3">
      <c r="B96" s="126" t="s">
        <v>13</v>
      </c>
      <c r="D96" s="113">
        <v>6277</v>
      </c>
      <c r="E96" s="24">
        <v>31</v>
      </c>
      <c r="F96" s="30">
        <v>2</v>
      </c>
    </row>
    <row r="97" spans="2:6" x14ac:dyDescent="0.3">
      <c r="B97" s="126" t="s">
        <v>13</v>
      </c>
      <c r="D97" s="113">
        <v>6278</v>
      </c>
      <c r="E97" s="24">
        <v>37</v>
      </c>
      <c r="F97" s="30"/>
    </row>
    <row r="98" spans="2:6" x14ac:dyDescent="0.3">
      <c r="B98" s="126" t="s">
        <v>13</v>
      </c>
      <c r="D98" s="113">
        <v>6279</v>
      </c>
      <c r="E98" s="24"/>
      <c r="F98" s="171" t="s">
        <v>180</v>
      </c>
    </row>
    <row r="99" spans="2:6" x14ac:dyDescent="0.3">
      <c r="B99" s="126" t="s">
        <v>13</v>
      </c>
      <c r="D99" s="113">
        <v>6280</v>
      </c>
      <c r="E99" s="24"/>
      <c r="F99" s="171" t="s">
        <v>180</v>
      </c>
    </row>
    <row r="100" spans="2:6" x14ac:dyDescent="0.3">
      <c r="B100" s="126" t="s">
        <v>13</v>
      </c>
      <c r="D100" s="113">
        <v>6281</v>
      </c>
      <c r="E100" s="24">
        <v>30</v>
      </c>
      <c r="F100" s="30"/>
    </row>
  </sheetData>
  <mergeCells count="3">
    <mergeCell ref="B49:E49"/>
    <mergeCell ref="F69:H69"/>
    <mergeCell ref="D70:E70"/>
  </mergeCells>
  <pageMargins left="0.70866141732283472" right="0.70866141732283472" top="0.74803149606299213" bottom="0.74803149606299213" header="0.31496062992125984" footer="0.31496062992125984"/>
  <pageSetup paperSize="9" scale="68" fitToHeight="0" orientation="landscape" horizontalDpi="360" verticalDpi="360" r:id="rId1"/>
  <headerFooter>
    <oddFooter>&amp;RSEMANA &amp;A                 &amp;P de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D169-7683-497B-9BB5-055F58B53794}">
  <sheetPr>
    <pageSetUpPr fitToPage="1"/>
  </sheetPr>
  <dimension ref="A2:KJ103"/>
  <sheetViews>
    <sheetView zoomScaleNormal="100" workbookViewId="0">
      <selection activeCell="H18" sqref="H18"/>
    </sheetView>
  </sheetViews>
  <sheetFormatPr baseColWidth="10" defaultRowHeight="14.4" x14ac:dyDescent="0.3"/>
  <cols>
    <col min="1" max="1" width="5.5546875" bestFit="1" customWidth="1"/>
    <col min="2" max="2" width="51.6640625" bestFit="1" customWidth="1"/>
    <col min="3" max="3" width="11" customWidth="1"/>
    <col min="4" max="4" width="10.109375" style="55" customWidth="1"/>
    <col min="5" max="5" width="11.33203125" style="5" customWidth="1"/>
    <col min="6" max="6" width="9.88671875" style="7" bestFit="1" customWidth="1"/>
    <col min="7" max="7" width="10.88671875" style="5" bestFit="1" customWidth="1"/>
    <col min="9" max="9" width="11.5546875" style="28"/>
    <col min="10" max="10" width="11.5546875" style="39"/>
    <col min="11" max="11" width="11.5546875" style="70"/>
    <col min="12" max="12" width="11.5546875" style="75"/>
    <col min="13" max="13" width="11.5546875" style="127"/>
    <col min="14" max="14" width="11.5546875" style="77"/>
    <col min="15" max="15" width="11.5546875" style="164"/>
    <col min="16" max="296" width="11.5546875" style="100"/>
  </cols>
  <sheetData>
    <row r="2" spans="1:296" ht="31.5" customHeight="1" x14ac:dyDescent="0.3">
      <c r="B2" s="17" t="s">
        <v>184</v>
      </c>
      <c r="C2" s="17"/>
      <c r="D2" s="101"/>
      <c r="E2" s="25"/>
      <c r="F2" s="17"/>
      <c r="G2" s="17"/>
      <c r="H2" s="17"/>
      <c r="I2" s="79"/>
    </row>
    <row r="3" spans="1:296" s="39" customFormat="1" ht="18.75" customHeight="1" x14ac:dyDescent="0.3">
      <c r="A3"/>
      <c r="B3" s="9" t="s">
        <v>185</v>
      </c>
      <c r="C3" s="9"/>
      <c r="D3" s="102"/>
      <c r="E3" s="26"/>
      <c r="F3" s="9"/>
      <c r="G3" s="9"/>
      <c r="H3" s="9"/>
      <c r="I3" s="80"/>
      <c r="K3" s="70"/>
      <c r="L3" s="75"/>
      <c r="M3" s="127"/>
      <c r="N3" s="77"/>
      <c r="O3" s="164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100"/>
      <c r="CL3" s="100"/>
      <c r="CM3" s="100"/>
      <c r="CN3" s="100"/>
      <c r="CO3" s="100"/>
      <c r="CP3" s="100"/>
      <c r="CQ3" s="100"/>
      <c r="CR3" s="100"/>
      <c r="CS3" s="100"/>
      <c r="CT3" s="100"/>
      <c r="CU3" s="100"/>
      <c r="CV3" s="100"/>
      <c r="CW3" s="100"/>
      <c r="CX3" s="100"/>
      <c r="CY3" s="100"/>
      <c r="CZ3" s="100"/>
      <c r="DA3" s="100"/>
      <c r="DB3" s="100"/>
      <c r="DC3" s="100"/>
      <c r="DD3" s="100"/>
      <c r="DE3" s="100"/>
      <c r="DF3" s="100"/>
      <c r="DG3" s="100"/>
      <c r="DH3" s="100"/>
      <c r="DI3" s="100"/>
      <c r="DJ3" s="100"/>
      <c r="DK3" s="100"/>
      <c r="DL3" s="100"/>
      <c r="DM3" s="100"/>
      <c r="DN3" s="100"/>
      <c r="DO3" s="100"/>
      <c r="DP3" s="100"/>
      <c r="DQ3" s="100"/>
      <c r="DR3" s="100"/>
      <c r="DS3" s="100"/>
      <c r="DT3" s="100"/>
      <c r="DU3" s="100"/>
      <c r="DV3" s="100"/>
      <c r="DW3" s="100"/>
      <c r="DX3" s="100"/>
      <c r="DY3" s="100"/>
      <c r="DZ3" s="100"/>
      <c r="EA3" s="100"/>
      <c r="EB3" s="100"/>
      <c r="EC3" s="100"/>
      <c r="ED3" s="100"/>
      <c r="EE3" s="100"/>
      <c r="EF3" s="100"/>
      <c r="EG3" s="100"/>
      <c r="EH3" s="100"/>
      <c r="EI3" s="100"/>
      <c r="EJ3" s="100"/>
      <c r="EK3" s="100"/>
      <c r="EL3" s="100"/>
      <c r="EM3" s="100"/>
      <c r="EN3" s="100"/>
      <c r="EO3" s="100"/>
      <c r="EP3" s="100"/>
      <c r="EQ3" s="100"/>
      <c r="ER3" s="100"/>
      <c r="ES3" s="100"/>
      <c r="ET3" s="100"/>
      <c r="EU3" s="100"/>
      <c r="EV3" s="100"/>
      <c r="EW3" s="100"/>
      <c r="EX3" s="100"/>
      <c r="EY3" s="100"/>
      <c r="EZ3" s="100"/>
      <c r="FA3" s="100"/>
      <c r="FB3" s="100"/>
      <c r="FC3" s="100"/>
      <c r="FD3" s="100"/>
      <c r="FE3" s="100"/>
      <c r="FF3" s="100"/>
      <c r="FG3" s="100"/>
      <c r="FH3" s="100"/>
      <c r="FI3" s="100"/>
      <c r="FJ3" s="100"/>
      <c r="FK3" s="100"/>
      <c r="FL3" s="100"/>
      <c r="FM3" s="100"/>
      <c r="FN3" s="100"/>
      <c r="FO3" s="100"/>
      <c r="FP3" s="100"/>
      <c r="FQ3" s="100"/>
      <c r="FR3" s="100"/>
      <c r="FS3" s="100"/>
      <c r="FT3" s="100"/>
      <c r="FU3" s="100"/>
      <c r="FV3" s="100"/>
      <c r="FW3" s="100"/>
      <c r="FX3" s="100"/>
      <c r="FY3" s="100"/>
      <c r="FZ3" s="100"/>
      <c r="GA3" s="100"/>
      <c r="GB3" s="100"/>
      <c r="GC3" s="100"/>
      <c r="GD3" s="100"/>
      <c r="GE3" s="100"/>
      <c r="GF3" s="100"/>
      <c r="GG3" s="100"/>
      <c r="GH3" s="100"/>
      <c r="GI3" s="100"/>
      <c r="GJ3" s="100"/>
      <c r="GK3" s="100"/>
      <c r="GL3" s="100"/>
      <c r="GM3" s="100"/>
      <c r="GN3" s="100"/>
      <c r="GO3" s="100"/>
      <c r="GP3" s="100"/>
      <c r="GQ3" s="100"/>
      <c r="GR3" s="100"/>
      <c r="GS3" s="100"/>
      <c r="GT3" s="100"/>
      <c r="GU3" s="100"/>
      <c r="GV3" s="100"/>
      <c r="GW3" s="100"/>
      <c r="GX3" s="100"/>
      <c r="GY3" s="100"/>
      <c r="GZ3" s="100"/>
      <c r="HA3" s="100"/>
      <c r="HB3" s="100"/>
      <c r="HC3" s="100"/>
      <c r="HD3" s="100"/>
      <c r="HE3" s="100"/>
      <c r="HF3" s="100"/>
      <c r="HG3" s="100"/>
      <c r="HH3" s="100"/>
      <c r="HI3" s="100"/>
      <c r="HJ3" s="100"/>
      <c r="HK3" s="100"/>
      <c r="HL3" s="100"/>
      <c r="HM3" s="100"/>
      <c r="HN3" s="100"/>
      <c r="HO3" s="100"/>
      <c r="HP3" s="100"/>
      <c r="HQ3" s="100"/>
      <c r="HR3" s="100"/>
      <c r="HS3" s="100"/>
      <c r="HT3" s="100"/>
      <c r="HU3" s="100"/>
      <c r="HV3" s="100"/>
      <c r="HW3" s="100"/>
      <c r="HX3" s="100"/>
      <c r="HY3" s="100"/>
      <c r="HZ3" s="100"/>
      <c r="IA3" s="100"/>
      <c r="IB3" s="100"/>
      <c r="IC3" s="100"/>
      <c r="ID3" s="100"/>
      <c r="IE3" s="100"/>
      <c r="IF3" s="100"/>
      <c r="IG3" s="100"/>
      <c r="IH3" s="100"/>
      <c r="II3" s="100"/>
      <c r="IJ3" s="100"/>
      <c r="IK3" s="100"/>
      <c r="IL3" s="100"/>
      <c r="IM3" s="100"/>
      <c r="IN3" s="100"/>
      <c r="IO3" s="100"/>
      <c r="IP3" s="100"/>
      <c r="IQ3" s="100"/>
      <c r="IR3" s="100"/>
      <c r="IS3" s="100"/>
      <c r="IT3" s="100"/>
      <c r="IU3" s="100"/>
      <c r="IV3" s="100"/>
      <c r="IW3" s="100"/>
      <c r="IX3" s="100"/>
      <c r="IY3" s="100"/>
      <c r="IZ3" s="100"/>
      <c r="JA3" s="100"/>
      <c r="JB3" s="100"/>
      <c r="JC3" s="100"/>
      <c r="JD3" s="100"/>
      <c r="JE3" s="100"/>
      <c r="JF3" s="100"/>
      <c r="JG3" s="100"/>
      <c r="JH3" s="100"/>
      <c r="JI3" s="100"/>
      <c r="JJ3" s="100"/>
      <c r="JK3" s="100"/>
      <c r="JL3" s="100"/>
      <c r="JM3" s="100"/>
      <c r="JN3" s="100"/>
      <c r="JO3" s="100"/>
      <c r="JP3" s="100"/>
      <c r="JQ3" s="100"/>
      <c r="JR3" s="100"/>
      <c r="JS3" s="100"/>
      <c r="JT3" s="100"/>
      <c r="JU3" s="100"/>
      <c r="JV3" s="100"/>
      <c r="JW3" s="100"/>
      <c r="JX3" s="100"/>
      <c r="JY3" s="100"/>
      <c r="JZ3" s="100"/>
      <c r="KA3" s="100"/>
      <c r="KB3" s="100"/>
      <c r="KC3" s="100"/>
      <c r="KD3" s="100"/>
      <c r="KE3" s="100"/>
      <c r="KF3" s="100"/>
      <c r="KG3" s="100"/>
      <c r="KH3" s="100"/>
      <c r="KI3" s="100"/>
      <c r="KJ3" s="100"/>
    </row>
    <row r="4" spans="1:296" ht="18" x14ac:dyDescent="0.35">
      <c r="B4" s="10" t="s">
        <v>17</v>
      </c>
      <c r="C4" s="10"/>
      <c r="D4" s="103"/>
      <c r="E4" s="23">
        <f>+E71</f>
        <v>0</v>
      </c>
      <c r="F4" s="16"/>
      <c r="G4" s="16"/>
      <c r="H4" s="8"/>
      <c r="I4" s="81"/>
    </row>
    <row r="5" spans="1:296" x14ac:dyDescent="0.3">
      <c r="B5" s="88" t="s">
        <v>10</v>
      </c>
      <c r="C5" s="89"/>
      <c r="D5" s="104"/>
      <c r="E5" s="89"/>
      <c r="F5" s="90">
        <f>SUM(E8:E47)</f>
        <v>-1002.804971970774</v>
      </c>
    </row>
    <row r="6" spans="1:296" x14ac:dyDescent="0.3">
      <c r="B6" s="87" t="s">
        <v>109</v>
      </c>
      <c r="C6" s="87"/>
      <c r="D6" s="105"/>
      <c r="E6" s="29">
        <f>+E4+F5</f>
        <v>-1002.804971970774</v>
      </c>
      <c r="H6" s="91" t="e">
        <f>+E6/E4</f>
        <v>#DIV/0!</v>
      </c>
      <c r="I6" s="84"/>
    </row>
    <row r="7" spans="1:296" s="39" customFormat="1" x14ac:dyDescent="0.3">
      <c r="A7" s="92" t="s">
        <v>97</v>
      </c>
      <c r="B7" s="92" t="s">
        <v>10</v>
      </c>
      <c r="C7" s="92" t="s">
        <v>19</v>
      </c>
      <c r="D7" s="106" t="s">
        <v>3</v>
      </c>
      <c r="E7" s="92"/>
      <c r="F7" s="7"/>
      <c r="G7" s="5"/>
      <c r="H7" s="1"/>
      <c r="I7" s="82"/>
      <c r="K7" s="70"/>
      <c r="L7" s="75"/>
      <c r="M7" s="127"/>
      <c r="N7" s="77"/>
      <c r="O7" s="164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  <c r="CU7" s="100"/>
      <c r="CV7" s="100"/>
      <c r="CW7" s="100"/>
      <c r="CX7" s="100"/>
      <c r="CY7" s="100"/>
      <c r="CZ7" s="100"/>
      <c r="DA7" s="100"/>
      <c r="DB7" s="100"/>
      <c r="DC7" s="100"/>
      <c r="DD7" s="100"/>
      <c r="DE7" s="100"/>
      <c r="DF7" s="100"/>
      <c r="DG7" s="100"/>
      <c r="DH7" s="100"/>
      <c r="DI7" s="100"/>
      <c r="DJ7" s="100"/>
      <c r="DK7" s="100"/>
      <c r="DL7" s="100"/>
      <c r="DM7" s="100"/>
      <c r="DN7" s="100"/>
      <c r="DO7" s="100"/>
      <c r="DP7" s="100"/>
      <c r="DQ7" s="100"/>
      <c r="DR7" s="100"/>
      <c r="DS7" s="100"/>
      <c r="DT7" s="100"/>
      <c r="DU7" s="100"/>
      <c r="DV7" s="100"/>
      <c r="DW7" s="100"/>
      <c r="DX7" s="100"/>
      <c r="DY7" s="100"/>
      <c r="DZ7" s="100"/>
      <c r="EA7" s="100"/>
      <c r="EB7" s="100"/>
      <c r="EC7" s="100"/>
      <c r="ED7" s="100"/>
      <c r="EE7" s="100"/>
      <c r="EF7" s="100"/>
      <c r="EG7" s="100"/>
      <c r="EH7" s="100"/>
      <c r="EI7" s="100"/>
      <c r="EJ7" s="100"/>
      <c r="EK7" s="100"/>
      <c r="EL7" s="100"/>
      <c r="EM7" s="100"/>
      <c r="EN7" s="100"/>
      <c r="EO7" s="100"/>
      <c r="EP7" s="100"/>
      <c r="EQ7" s="100"/>
      <c r="ER7" s="100"/>
      <c r="ES7" s="100"/>
      <c r="ET7" s="100"/>
      <c r="EU7" s="100"/>
      <c r="EV7" s="100"/>
      <c r="EW7" s="100"/>
      <c r="EX7" s="100"/>
      <c r="EY7" s="100"/>
      <c r="EZ7" s="100"/>
      <c r="FA7" s="100"/>
      <c r="FB7" s="100"/>
      <c r="FC7" s="100"/>
      <c r="FD7" s="100"/>
      <c r="FE7" s="100"/>
      <c r="FF7" s="100"/>
      <c r="FG7" s="100"/>
      <c r="FH7" s="100"/>
      <c r="FI7" s="100"/>
      <c r="FJ7" s="100"/>
      <c r="FK7" s="100"/>
      <c r="FL7" s="100"/>
      <c r="FM7" s="100"/>
      <c r="FN7" s="100"/>
      <c r="FO7" s="100"/>
      <c r="FP7" s="100"/>
      <c r="FQ7" s="100"/>
      <c r="FR7" s="100"/>
      <c r="FS7" s="100"/>
      <c r="FT7" s="100"/>
      <c r="FU7" s="100"/>
      <c r="FV7" s="100"/>
      <c r="FW7" s="100"/>
      <c r="FX7" s="100"/>
      <c r="FY7" s="100"/>
      <c r="FZ7" s="100"/>
      <c r="GA7" s="100"/>
      <c r="GB7" s="100"/>
      <c r="GC7" s="100"/>
      <c r="GD7" s="100"/>
      <c r="GE7" s="100"/>
      <c r="GF7" s="100"/>
      <c r="GG7" s="100"/>
      <c r="GH7" s="100"/>
      <c r="GI7" s="100"/>
      <c r="GJ7" s="100"/>
      <c r="GK7" s="100"/>
      <c r="GL7" s="100"/>
      <c r="GM7" s="100"/>
      <c r="GN7" s="100"/>
      <c r="GO7" s="100"/>
      <c r="GP7" s="100"/>
      <c r="GQ7" s="100"/>
      <c r="GR7" s="100"/>
      <c r="GS7" s="100"/>
      <c r="GT7" s="100"/>
      <c r="GU7" s="100"/>
      <c r="GV7" s="100"/>
      <c r="GW7" s="100"/>
      <c r="GX7" s="100"/>
      <c r="GY7" s="100"/>
      <c r="GZ7" s="100"/>
      <c r="HA7" s="100"/>
      <c r="HB7" s="100"/>
      <c r="HC7" s="100"/>
      <c r="HD7" s="100"/>
      <c r="HE7" s="100"/>
      <c r="HF7" s="100"/>
      <c r="HG7" s="100"/>
      <c r="HH7" s="100"/>
      <c r="HI7" s="100"/>
      <c r="HJ7" s="100"/>
      <c r="HK7" s="100"/>
      <c r="HL7" s="100"/>
      <c r="HM7" s="100"/>
      <c r="HN7" s="100"/>
      <c r="HO7" s="100"/>
      <c r="HP7" s="100"/>
      <c r="HQ7" s="100"/>
      <c r="HR7" s="100"/>
      <c r="HS7" s="100"/>
      <c r="HT7" s="100"/>
      <c r="HU7" s="100"/>
      <c r="HV7" s="100"/>
      <c r="HW7" s="100"/>
      <c r="HX7" s="100"/>
      <c r="HY7" s="100"/>
      <c r="HZ7" s="100"/>
      <c r="IA7" s="100"/>
      <c r="IB7" s="100"/>
      <c r="IC7" s="100"/>
      <c r="ID7" s="100"/>
      <c r="IE7" s="100"/>
      <c r="IF7" s="100"/>
      <c r="IG7" s="100"/>
      <c r="IH7" s="100"/>
      <c r="II7" s="100"/>
      <c r="IJ7" s="100"/>
      <c r="IK7" s="100"/>
      <c r="IL7" s="100"/>
      <c r="IM7" s="100"/>
      <c r="IN7" s="100"/>
      <c r="IO7" s="100"/>
      <c r="IP7" s="100"/>
      <c r="IQ7" s="100"/>
      <c r="IR7" s="100"/>
      <c r="IS7" s="100"/>
      <c r="IT7" s="100"/>
      <c r="IU7" s="100"/>
      <c r="IV7" s="100"/>
      <c r="IW7" s="100"/>
      <c r="IX7" s="100"/>
      <c r="IY7" s="100"/>
      <c r="IZ7" s="100"/>
      <c r="JA7" s="100"/>
      <c r="JB7" s="100"/>
      <c r="JC7" s="100"/>
      <c r="JD7" s="100"/>
      <c r="JE7" s="100"/>
      <c r="JF7" s="100"/>
      <c r="JG7" s="100"/>
      <c r="JH7" s="100"/>
      <c r="JI7" s="100"/>
      <c r="JJ7" s="100"/>
      <c r="JK7" s="100"/>
      <c r="JL7" s="100"/>
      <c r="JM7" s="100"/>
      <c r="JN7" s="100"/>
      <c r="JO7" s="100"/>
      <c r="JP7" s="100"/>
      <c r="JQ7" s="100"/>
      <c r="JR7" s="100"/>
      <c r="JS7" s="100"/>
      <c r="JT7" s="100"/>
      <c r="JU7" s="100"/>
      <c r="JV7" s="100"/>
      <c r="JW7" s="100"/>
      <c r="JX7" s="100"/>
      <c r="JY7" s="100"/>
      <c r="JZ7" s="100"/>
      <c r="KA7" s="100"/>
      <c r="KB7" s="100"/>
      <c r="KC7" s="100"/>
      <c r="KD7" s="100"/>
      <c r="KE7" s="100"/>
      <c r="KF7" s="100"/>
      <c r="KG7" s="100"/>
      <c r="KH7" s="100"/>
      <c r="KI7" s="100"/>
      <c r="KJ7" s="100"/>
    </row>
    <row r="8" spans="1:296" s="39" customFormat="1" x14ac:dyDescent="0.3">
      <c r="A8" s="71" t="str">
        <f>IF('[1]PRODUCTO NACIONAL'!A14&lt;&gt;"",'[1]PRODUCTO NACIONAL'!A14,"")</f>
        <v>M11</v>
      </c>
      <c r="B8" s="72" t="str">
        <f>VLOOKUP(A8,'[1]PRODUCTO NACIONAL'!$A$4:$R$161,6,FALSE)</f>
        <v>IMPRESIÓN SIN DISEÑO, ANCHO 1.8X90gsm</v>
      </c>
      <c r="C8" s="73">
        <f>IFERROR(HLOOKUP(A8,[4]dimensiones_pdfs!$C$3:$Z$5,3,FALSE),0)</f>
        <v>59.833518688060579</v>
      </c>
      <c r="D8" s="107">
        <f>VLOOKUP(A8,'[1]PRODUCTO NACIONAL'!$A$4:$R$161,18,FALSE)</f>
        <v>1.387984064708671</v>
      </c>
      <c r="E8" s="5">
        <f>-(+C8*D8)</f>
        <v>-83.047970474476543</v>
      </c>
      <c r="F8" s="7"/>
      <c r="G8" s="5"/>
      <c r="H8"/>
      <c r="I8" s="28"/>
      <c r="K8" s="70"/>
      <c r="L8" s="75"/>
      <c r="M8" s="127"/>
      <c r="N8" s="77"/>
      <c r="O8" s="164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0"/>
      <c r="CJ8" s="100"/>
      <c r="CK8" s="100"/>
      <c r="CL8" s="100"/>
      <c r="CM8" s="100"/>
      <c r="CN8" s="100"/>
      <c r="CO8" s="100"/>
      <c r="CP8" s="100"/>
      <c r="CQ8" s="100"/>
      <c r="CR8" s="100"/>
      <c r="CS8" s="100"/>
      <c r="CT8" s="100"/>
      <c r="CU8" s="100"/>
      <c r="CV8" s="100"/>
      <c r="CW8" s="100"/>
      <c r="CX8" s="100"/>
      <c r="CY8" s="100"/>
      <c r="CZ8" s="100"/>
      <c r="DA8" s="100"/>
      <c r="DB8" s="100"/>
      <c r="DC8" s="100"/>
      <c r="DD8" s="100"/>
      <c r="DE8" s="100"/>
      <c r="DF8" s="100"/>
      <c r="DG8" s="100"/>
      <c r="DH8" s="100"/>
      <c r="DI8" s="100"/>
      <c r="DJ8" s="100"/>
      <c r="DK8" s="100"/>
      <c r="DL8" s="100"/>
      <c r="DM8" s="100"/>
      <c r="DN8" s="100"/>
      <c r="DO8" s="100"/>
      <c r="DP8" s="100"/>
      <c r="DQ8" s="100"/>
      <c r="DR8" s="100"/>
      <c r="DS8" s="100"/>
      <c r="DT8" s="100"/>
      <c r="DU8" s="100"/>
      <c r="DV8" s="100"/>
      <c r="DW8" s="100"/>
      <c r="DX8" s="100"/>
      <c r="DY8" s="100"/>
      <c r="DZ8" s="100"/>
      <c r="EA8" s="100"/>
      <c r="EB8" s="100"/>
      <c r="EC8" s="100"/>
      <c r="ED8" s="100"/>
      <c r="EE8" s="100"/>
      <c r="EF8" s="100"/>
      <c r="EG8" s="100"/>
      <c r="EH8" s="100"/>
      <c r="EI8" s="100"/>
      <c r="EJ8" s="100"/>
      <c r="EK8" s="100"/>
      <c r="EL8" s="100"/>
      <c r="EM8" s="100"/>
      <c r="EN8" s="100"/>
      <c r="EO8" s="100"/>
      <c r="EP8" s="100"/>
      <c r="EQ8" s="100"/>
      <c r="ER8" s="100"/>
      <c r="ES8" s="100"/>
      <c r="ET8" s="100"/>
      <c r="EU8" s="100"/>
      <c r="EV8" s="100"/>
      <c r="EW8" s="100"/>
      <c r="EX8" s="100"/>
      <c r="EY8" s="100"/>
      <c r="EZ8" s="100"/>
      <c r="FA8" s="100"/>
      <c r="FB8" s="100"/>
      <c r="FC8" s="100"/>
      <c r="FD8" s="100"/>
      <c r="FE8" s="100"/>
      <c r="FF8" s="100"/>
      <c r="FG8" s="100"/>
      <c r="FH8" s="100"/>
      <c r="FI8" s="100"/>
      <c r="FJ8" s="100"/>
      <c r="FK8" s="100"/>
      <c r="FL8" s="100"/>
      <c r="FM8" s="100"/>
      <c r="FN8" s="100"/>
      <c r="FO8" s="100"/>
      <c r="FP8" s="100"/>
      <c r="FQ8" s="100"/>
      <c r="FR8" s="100"/>
      <c r="FS8" s="100"/>
      <c r="FT8" s="100"/>
      <c r="FU8" s="100"/>
      <c r="FV8" s="100"/>
      <c r="FW8" s="100"/>
      <c r="FX8" s="100"/>
      <c r="FY8" s="100"/>
      <c r="FZ8" s="100"/>
      <c r="GA8" s="100"/>
      <c r="GB8" s="100"/>
      <c r="GC8" s="100"/>
      <c r="GD8" s="100"/>
      <c r="GE8" s="100"/>
      <c r="GF8" s="100"/>
      <c r="GG8" s="100"/>
      <c r="GH8" s="100"/>
      <c r="GI8" s="100"/>
      <c r="GJ8" s="100"/>
      <c r="GK8" s="100"/>
      <c r="GL8" s="100"/>
      <c r="GM8" s="100"/>
      <c r="GN8" s="100"/>
      <c r="GO8" s="100"/>
      <c r="GP8" s="100"/>
      <c r="GQ8" s="100"/>
      <c r="GR8" s="100"/>
      <c r="GS8" s="100"/>
      <c r="GT8" s="100"/>
      <c r="GU8" s="100"/>
      <c r="GV8" s="100"/>
      <c r="GW8" s="100"/>
      <c r="GX8" s="100"/>
      <c r="GY8" s="100"/>
      <c r="GZ8" s="100"/>
      <c r="HA8" s="100"/>
      <c r="HB8" s="100"/>
      <c r="HC8" s="100"/>
      <c r="HD8" s="100"/>
      <c r="HE8" s="100"/>
      <c r="HF8" s="100"/>
      <c r="HG8" s="100"/>
      <c r="HH8" s="100"/>
      <c r="HI8" s="100"/>
      <c r="HJ8" s="100"/>
      <c r="HK8" s="100"/>
      <c r="HL8" s="100"/>
      <c r="HM8" s="100"/>
      <c r="HN8" s="100"/>
      <c r="HO8" s="100"/>
      <c r="HP8" s="100"/>
      <c r="HQ8" s="100"/>
      <c r="HR8" s="100"/>
      <c r="HS8" s="100"/>
      <c r="HT8" s="100"/>
      <c r="HU8" s="100"/>
      <c r="HV8" s="100"/>
      <c r="HW8" s="100"/>
      <c r="HX8" s="100"/>
      <c r="HY8" s="100"/>
      <c r="HZ8" s="100"/>
      <c r="IA8" s="100"/>
      <c r="IB8" s="100"/>
      <c r="IC8" s="100"/>
      <c r="ID8" s="100"/>
      <c r="IE8" s="100"/>
      <c r="IF8" s="100"/>
      <c r="IG8" s="100"/>
      <c r="IH8" s="100"/>
      <c r="II8" s="100"/>
      <c r="IJ8" s="100"/>
      <c r="IK8" s="100"/>
      <c r="IL8" s="100"/>
      <c r="IM8" s="100"/>
      <c r="IN8" s="100"/>
      <c r="IO8" s="100"/>
      <c r="IP8" s="100"/>
      <c r="IQ8" s="100"/>
      <c r="IR8" s="100"/>
      <c r="IS8" s="100"/>
      <c r="IT8" s="100"/>
      <c r="IU8" s="100"/>
      <c r="IV8" s="100"/>
      <c r="IW8" s="100"/>
      <c r="IX8" s="100"/>
      <c r="IY8" s="100"/>
      <c r="IZ8" s="100"/>
      <c r="JA8" s="100"/>
      <c r="JB8" s="100"/>
      <c r="JC8" s="100"/>
      <c r="JD8" s="100"/>
      <c r="JE8" s="100"/>
      <c r="JF8" s="100"/>
      <c r="JG8" s="100"/>
      <c r="JH8" s="100"/>
      <c r="JI8" s="100"/>
      <c r="JJ8" s="100"/>
      <c r="JK8" s="100"/>
      <c r="JL8" s="100"/>
      <c r="JM8" s="100"/>
      <c r="JN8" s="100"/>
      <c r="JO8" s="100"/>
      <c r="JP8" s="100"/>
      <c r="JQ8" s="100"/>
      <c r="JR8" s="100"/>
      <c r="JS8" s="100"/>
      <c r="JT8" s="100"/>
      <c r="JU8" s="100"/>
      <c r="JV8" s="100"/>
      <c r="JW8" s="100"/>
      <c r="JX8" s="100"/>
      <c r="JY8" s="100"/>
      <c r="JZ8" s="100"/>
      <c r="KA8" s="100"/>
      <c r="KB8" s="100"/>
      <c r="KC8" s="100"/>
      <c r="KD8" s="100"/>
      <c r="KE8" s="100"/>
      <c r="KF8" s="100"/>
      <c r="KG8" s="100"/>
      <c r="KH8" s="100"/>
      <c r="KI8" s="100"/>
      <c r="KJ8" s="100"/>
    </row>
    <row r="9" spans="1:296" s="39" customFormat="1" x14ac:dyDescent="0.3">
      <c r="A9" s="71" t="str">
        <f>IF('[1]PRODUCTO NACIONAL'!A18&lt;&gt;"",'[1]PRODUCTO NACIONAL'!A18,"")</f>
        <v>M15</v>
      </c>
      <c r="B9" s="72" t="str">
        <f>VLOOKUP(A9,'[1]PRODUCTO NACIONAL'!$A$4:$R$161,6,FALSE)</f>
        <v>D2006 Rollo Panal 1.70m x 160gr</v>
      </c>
      <c r="C9" s="73">
        <f>IFERROR(HLOOKUP(A9,[4]dimensiones_pdfs!$C$3:$Z$5,3,FALSE),0)</f>
        <v>11.213983298866689</v>
      </c>
      <c r="D9" s="107">
        <f>VLOOKUP(A9,'[1]PRODUCTO NACIONAL'!$A$4:$R$161,18,FALSE)</f>
        <v>1.6348773841961852</v>
      </c>
      <c r="E9" s="5">
        <f>-(+C9*D9)</f>
        <v>-18.333487682070881</v>
      </c>
      <c r="F9" s="7"/>
      <c r="G9" s="5"/>
      <c r="H9" s="5"/>
      <c r="I9" s="83"/>
      <c r="K9" s="70"/>
      <c r="L9" s="75"/>
      <c r="M9" s="127"/>
      <c r="N9" s="77"/>
      <c r="O9" s="164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00"/>
      <c r="CX9" s="100"/>
      <c r="CY9" s="100"/>
      <c r="CZ9" s="100"/>
      <c r="DA9" s="100"/>
      <c r="DB9" s="100"/>
      <c r="DC9" s="100"/>
      <c r="DD9" s="100"/>
      <c r="DE9" s="100"/>
      <c r="DF9" s="100"/>
      <c r="DG9" s="100"/>
      <c r="DH9" s="100"/>
      <c r="DI9" s="100"/>
      <c r="DJ9" s="100"/>
      <c r="DK9" s="100"/>
      <c r="DL9" s="100"/>
      <c r="DM9" s="100"/>
      <c r="DN9" s="100"/>
      <c r="DO9" s="100"/>
      <c r="DP9" s="100"/>
      <c r="DQ9" s="100"/>
      <c r="DR9" s="100"/>
      <c r="DS9" s="100"/>
      <c r="DT9" s="100"/>
      <c r="DU9" s="100"/>
      <c r="DV9" s="100"/>
      <c r="DW9" s="100"/>
      <c r="DX9" s="100"/>
      <c r="DY9" s="100"/>
      <c r="DZ9" s="100"/>
      <c r="EA9" s="100"/>
      <c r="EB9" s="100"/>
      <c r="EC9" s="100"/>
      <c r="ED9" s="100"/>
      <c r="EE9" s="100"/>
      <c r="EF9" s="100"/>
      <c r="EG9" s="100"/>
      <c r="EH9" s="100"/>
      <c r="EI9" s="100"/>
      <c r="EJ9" s="100"/>
      <c r="EK9" s="100"/>
      <c r="EL9" s="100"/>
      <c r="EM9" s="100"/>
      <c r="EN9" s="100"/>
      <c r="EO9" s="100"/>
      <c r="EP9" s="100"/>
      <c r="EQ9" s="100"/>
      <c r="ER9" s="100"/>
      <c r="ES9" s="100"/>
      <c r="ET9" s="100"/>
      <c r="EU9" s="100"/>
      <c r="EV9" s="100"/>
      <c r="EW9" s="100"/>
      <c r="EX9" s="100"/>
      <c r="EY9" s="100"/>
      <c r="EZ9" s="100"/>
      <c r="FA9" s="100"/>
      <c r="FB9" s="100"/>
      <c r="FC9" s="100"/>
      <c r="FD9" s="100"/>
      <c r="FE9" s="100"/>
      <c r="FF9" s="100"/>
      <c r="FG9" s="100"/>
      <c r="FH9" s="100"/>
      <c r="FI9" s="100"/>
      <c r="FJ9" s="100"/>
      <c r="FK9" s="100"/>
      <c r="FL9" s="100"/>
      <c r="FM9" s="100"/>
      <c r="FN9" s="100"/>
      <c r="FO9" s="100"/>
      <c r="FP9" s="100"/>
      <c r="FQ9" s="100"/>
      <c r="FR9" s="100"/>
      <c r="FS9" s="100"/>
      <c r="FT9" s="100"/>
      <c r="FU9" s="100"/>
      <c r="FV9" s="100"/>
      <c r="FW9" s="100"/>
      <c r="FX9" s="100"/>
      <c r="FY9" s="100"/>
      <c r="FZ9" s="100"/>
      <c r="GA9" s="100"/>
      <c r="GB9" s="100"/>
      <c r="GC9" s="100"/>
      <c r="GD9" s="100"/>
      <c r="GE9" s="100"/>
      <c r="GF9" s="100"/>
      <c r="GG9" s="100"/>
      <c r="GH9" s="100"/>
      <c r="GI9" s="100"/>
      <c r="GJ9" s="100"/>
      <c r="GK9" s="100"/>
      <c r="GL9" s="100"/>
      <c r="GM9" s="100"/>
      <c r="GN9" s="100"/>
      <c r="GO9" s="100"/>
      <c r="GP9" s="100"/>
      <c r="GQ9" s="100"/>
      <c r="GR9" s="100"/>
      <c r="GS9" s="100"/>
      <c r="GT9" s="100"/>
      <c r="GU9" s="100"/>
      <c r="GV9" s="100"/>
      <c r="GW9" s="100"/>
      <c r="GX9" s="100"/>
      <c r="GY9" s="100"/>
      <c r="GZ9" s="100"/>
      <c r="HA9" s="100"/>
      <c r="HB9" s="100"/>
      <c r="HC9" s="100"/>
      <c r="HD9" s="100"/>
      <c r="HE9" s="100"/>
      <c r="HF9" s="100"/>
      <c r="HG9" s="100"/>
      <c r="HH9" s="100"/>
      <c r="HI9" s="100"/>
      <c r="HJ9" s="100"/>
      <c r="HK9" s="100"/>
      <c r="HL9" s="100"/>
      <c r="HM9" s="100"/>
      <c r="HN9" s="100"/>
      <c r="HO9" s="100"/>
      <c r="HP9" s="100"/>
      <c r="HQ9" s="100"/>
      <c r="HR9" s="100"/>
      <c r="HS9" s="100"/>
      <c r="HT9" s="100"/>
      <c r="HU9" s="100"/>
      <c r="HV9" s="100"/>
      <c r="HW9" s="100"/>
      <c r="HX9" s="100"/>
      <c r="HY9" s="100"/>
      <c r="HZ9" s="100"/>
      <c r="IA9" s="100"/>
      <c r="IB9" s="100"/>
      <c r="IC9" s="100"/>
      <c r="ID9" s="100"/>
      <c r="IE9" s="100"/>
      <c r="IF9" s="100"/>
      <c r="IG9" s="100"/>
      <c r="IH9" s="100"/>
      <c r="II9" s="100"/>
      <c r="IJ9" s="100"/>
      <c r="IK9" s="100"/>
      <c r="IL9" s="100"/>
      <c r="IM9" s="100"/>
      <c r="IN9" s="100"/>
      <c r="IO9" s="100"/>
      <c r="IP9" s="100"/>
      <c r="IQ9" s="100"/>
      <c r="IR9" s="100"/>
      <c r="IS9" s="100"/>
      <c r="IT9" s="100"/>
      <c r="IU9" s="100"/>
      <c r="IV9" s="100"/>
      <c r="IW9" s="100"/>
      <c r="IX9" s="100"/>
      <c r="IY9" s="100"/>
      <c r="IZ9" s="100"/>
      <c r="JA9" s="100"/>
      <c r="JB9" s="100"/>
      <c r="JC9" s="100"/>
      <c r="JD9" s="100"/>
      <c r="JE9" s="100"/>
      <c r="JF9" s="100"/>
      <c r="JG9" s="100"/>
      <c r="JH9" s="100"/>
      <c r="JI9" s="100"/>
      <c r="JJ9" s="100"/>
      <c r="JK9" s="100"/>
      <c r="JL9" s="100"/>
      <c r="JM9" s="100"/>
      <c r="JN9" s="100"/>
      <c r="JO9" s="100"/>
      <c r="JP9" s="100"/>
      <c r="JQ9" s="100"/>
      <c r="JR9" s="100"/>
      <c r="JS9" s="100"/>
      <c r="JT9" s="100"/>
      <c r="JU9" s="100"/>
      <c r="JV9" s="100"/>
      <c r="JW9" s="100"/>
      <c r="JX9" s="100"/>
      <c r="JY9" s="100"/>
      <c r="JZ9" s="100"/>
      <c r="KA9" s="100"/>
      <c r="KB9" s="100"/>
      <c r="KC9" s="100"/>
      <c r="KD9" s="100"/>
      <c r="KE9" s="100"/>
      <c r="KF9" s="100"/>
      <c r="KG9" s="100"/>
      <c r="KH9" s="100"/>
      <c r="KI9" s="100"/>
      <c r="KJ9" s="100"/>
    </row>
    <row r="10" spans="1:296" s="39" customFormat="1" x14ac:dyDescent="0.3">
      <c r="A10" s="71" t="str">
        <f>IF('[1]PRODUCTO NACIONAL'!A27&lt;&gt;"",'[1]PRODUCTO NACIONAL'!A27,"")</f>
        <v>M24</v>
      </c>
      <c r="B10" s="71" t="str">
        <f>IF('[1]PRODUCTO NACIONAL'!F27&lt;&gt;"",'[1]PRODUCTO NACIONAL'!F27,"")</f>
        <v>POLIN GUTMAN T8-10 | T10-12</v>
      </c>
      <c r="C10" s="67">
        <f>F71</f>
        <v>0</v>
      </c>
      <c r="D10" s="108">
        <f>IF('[1]PRODUCTO NACIONAL'!R27&lt;&gt;"",'[1]PRODUCTO NACIONAL'!R27,"")</f>
        <v>1.925065</v>
      </c>
      <c r="E10" s="5">
        <f>-(+C10*D10)</f>
        <v>0</v>
      </c>
      <c r="F10" s="7"/>
      <c r="G10" s="5"/>
      <c r="H10"/>
      <c r="I10" s="28"/>
      <c r="K10" s="70"/>
      <c r="L10" s="75"/>
      <c r="M10" s="127"/>
      <c r="N10" s="77"/>
      <c r="O10" s="164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00"/>
      <c r="CX10" s="100"/>
      <c r="CY10" s="100"/>
      <c r="CZ10" s="100"/>
      <c r="DA10" s="100"/>
      <c r="DB10" s="100"/>
      <c r="DC10" s="100"/>
      <c r="DD10" s="100"/>
      <c r="DE10" s="100"/>
      <c r="DF10" s="100"/>
      <c r="DG10" s="100"/>
      <c r="DH10" s="100"/>
      <c r="DI10" s="100"/>
      <c r="DJ10" s="100"/>
      <c r="DK10" s="100"/>
      <c r="DL10" s="100"/>
      <c r="DM10" s="100"/>
      <c r="DN10" s="100"/>
      <c r="DO10" s="100"/>
      <c r="DP10" s="100"/>
      <c r="DQ10" s="100"/>
      <c r="DR10" s="100"/>
      <c r="DS10" s="100"/>
      <c r="DT10" s="100"/>
      <c r="DU10" s="100"/>
      <c r="DV10" s="100"/>
      <c r="DW10" s="100"/>
      <c r="DX10" s="100"/>
      <c r="DY10" s="100"/>
      <c r="DZ10" s="100"/>
      <c r="EA10" s="100"/>
      <c r="EB10" s="100"/>
      <c r="EC10" s="100"/>
      <c r="ED10" s="100"/>
      <c r="EE10" s="100"/>
      <c r="EF10" s="100"/>
      <c r="EG10" s="100"/>
      <c r="EH10" s="100"/>
      <c r="EI10" s="100"/>
      <c r="EJ10" s="100"/>
      <c r="EK10" s="100"/>
      <c r="EL10" s="100"/>
      <c r="EM10" s="100"/>
      <c r="EN10" s="100"/>
      <c r="EO10" s="100"/>
      <c r="EP10" s="100"/>
      <c r="EQ10" s="100"/>
      <c r="ER10" s="100"/>
      <c r="ES10" s="100"/>
      <c r="ET10" s="100"/>
      <c r="EU10" s="100"/>
      <c r="EV10" s="100"/>
      <c r="EW10" s="100"/>
      <c r="EX10" s="100"/>
      <c r="EY10" s="100"/>
      <c r="EZ10" s="100"/>
      <c r="FA10" s="100"/>
      <c r="FB10" s="100"/>
      <c r="FC10" s="100"/>
      <c r="FD10" s="100"/>
      <c r="FE10" s="100"/>
      <c r="FF10" s="100"/>
      <c r="FG10" s="100"/>
      <c r="FH10" s="100"/>
      <c r="FI10" s="100"/>
      <c r="FJ10" s="100"/>
      <c r="FK10" s="100"/>
      <c r="FL10" s="100"/>
      <c r="FM10" s="100"/>
      <c r="FN10" s="100"/>
      <c r="FO10" s="100"/>
      <c r="FP10" s="100"/>
      <c r="FQ10" s="100"/>
      <c r="FR10" s="100"/>
      <c r="FS10" s="100"/>
      <c r="FT10" s="100"/>
      <c r="FU10" s="100"/>
      <c r="FV10" s="100"/>
      <c r="FW10" s="100"/>
      <c r="FX10" s="100"/>
      <c r="FY10" s="100"/>
      <c r="FZ10" s="100"/>
      <c r="GA10" s="100"/>
      <c r="GB10" s="100"/>
      <c r="GC10" s="100"/>
      <c r="GD10" s="100"/>
      <c r="GE10" s="100"/>
      <c r="GF10" s="100"/>
      <c r="GG10" s="100"/>
      <c r="GH10" s="100"/>
      <c r="GI10" s="100"/>
      <c r="GJ10" s="100"/>
      <c r="GK10" s="100"/>
      <c r="GL10" s="100"/>
      <c r="GM10" s="100"/>
      <c r="GN10" s="100"/>
      <c r="GO10" s="100"/>
      <c r="GP10" s="100"/>
      <c r="GQ10" s="100"/>
      <c r="GR10" s="100"/>
      <c r="GS10" s="100"/>
      <c r="GT10" s="100"/>
      <c r="GU10" s="100"/>
      <c r="GV10" s="100"/>
      <c r="GW10" s="100"/>
      <c r="GX10" s="100"/>
      <c r="GY10" s="100"/>
      <c r="GZ10" s="100"/>
      <c r="HA10" s="100"/>
      <c r="HB10" s="100"/>
      <c r="HC10" s="100"/>
      <c r="HD10" s="100"/>
      <c r="HE10" s="100"/>
      <c r="HF10" s="100"/>
      <c r="HG10" s="100"/>
      <c r="HH10" s="100"/>
      <c r="HI10" s="100"/>
      <c r="HJ10" s="100"/>
      <c r="HK10" s="100"/>
      <c r="HL10" s="100"/>
      <c r="HM10" s="100"/>
      <c r="HN10" s="100"/>
      <c r="HO10" s="100"/>
      <c r="HP10" s="100"/>
      <c r="HQ10" s="100"/>
      <c r="HR10" s="100"/>
      <c r="HS10" s="100"/>
      <c r="HT10" s="100"/>
      <c r="HU10" s="100"/>
      <c r="HV10" s="100"/>
      <c r="HW10" s="100"/>
      <c r="HX10" s="100"/>
      <c r="HY10" s="100"/>
      <c r="HZ10" s="100"/>
      <c r="IA10" s="100"/>
      <c r="IB10" s="100"/>
      <c r="IC10" s="100"/>
      <c r="ID10" s="100"/>
      <c r="IE10" s="100"/>
      <c r="IF10" s="100"/>
      <c r="IG10" s="100"/>
      <c r="IH10" s="100"/>
      <c r="II10" s="100"/>
      <c r="IJ10" s="100"/>
      <c r="IK10" s="100"/>
      <c r="IL10" s="100"/>
      <c r="IM10" s="100"/>
      <c r="IN10" s="100"/>
      <c r="IO10" s="100"/>
      <c r="IP10" s="100"/>
      <c r="IQ10" s="100"/>
      <c r="IR10" s="100"/>
      <c r="IS10" s="100"/>
      <c r="IT10" s="100"/>
      <c r="IU10" s="100"/>
      <c r="IV10" s="100"/>
      <c r="IW10" s="100"/>
      <c r="IX10" s="100"/>
      <c r="IY10" s="100"/>
      <c r="IZ10" s="100"/>
      <c r="JA10" s="100"/>
      <c r="JB10" s="100"/>
      <c r="JC10" s="100"/>
      <c r="JD10" s="100"/>
      <c r="JE10" s="100"/>
      <c r="JF10" s="100"/>
      <c r="JG10" s="100"/>
      <c r="JH10" s="100"/>
      <c r="JI10" s="100"/>
      <c r="JJ10" s="100"/>
      <c r="JK10" s="100"/>
      <c r="JL10" s="100"/>
      <c r="JM10" s="100"/>
      <c r="JN10" s="100"/>
      <c r="JO10" s="100"/>
      <c r="JP10" s="100"/>
      <c r="JQ10" s="100"/>
      <c r="JR10" s="100"/>
      <c r="JS10" s="100"/>
      <c r="JT10" s="100"/>
      <c r="JU10" s="100"/>
      <c r="JV10" s="100"/>
      <c r="JW10" s="100"/>
      <c r="JX10" s="100"/>
      <c r="JY10" s="100"/>
      <c r="JZ10" s="100"/>
      <c r="KA10" s="100"/>
      <c r="KB10" s="100"/>
      <c r="KC10" s="100"/>
      <c r="KD10" s="100"/>
      <c r="KE10" s="100"/>
      <c r="KF10" s="100"/>
      <c r="KG10" s="100"/>
      <c r="KH10" s="100"/>
      <c r="KI10" s="100"/>
      <c r="KJ10" s="100"/>
    </row>
    <row r="11" spans="1:296" s="39" customFormat="1" x14ac:dyDescent="0.3">
      <c r="A11" s="71"/>
      <c r="B11" s="22" t="str">
        <f>+G70</f>
        <v>BORDADO</v>
      </c>
      <c r="C11" s="67">
        <f>G71</f>
        <v>0</v>
      </c>
      <c r="D11" s="55">
        <v>1</v>
      </c>
      <c r="E11" s="5">
        <f t="shared" ref="E11:E38" si="0">-(+C11*D11)</f>
        <v>0</v>
      </c>
      <c r="F11" s="7"/>
      <c r="G11" s="5"/>
      <c r="H11"/>
      <c r="I11" s="28"/>
      <c r="K11" s="70"/>
      <c r="L11" s="75"/>
      <c r="M11" s="127"/>
      <c r="N11" s="77"/>
      <c r="O11" s="164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  <c r="CY11" s="100"/>
      <c r="CZ11" s="100"/>
      <c r="DA11" s="100"/>
      <c r="DB11" s="100"/>
      <c r="DC11" s="100"/>
      <c r="DD11" s="100"/>
      <c r="DE11" s="100"/>
      <c r="DF11" s="100"/>
      <c r="DG11" s="100"/>
      <c r="DH11" s="100"/>
      <c r="DI11" s="100"/>
      <c r="DJ11" s="100"/>
      <c r="DK11" s="100"/>
      <c r="DL11" s="100"/>
      <c r="DM11" s="100"/>
      <c r="DN11" s="100"/>
      <c r="DO11" s="100"/>
      <c r="DP11" s="100"/>
      <c r="DQ11" s="100"/>
      <c r="DR11" s="100"/>
      <c r="DS11" s="100"/>
      <c r="DT11" s="100"/>
      <c r="DU11" s="100"/>
      <c r="DV11" s="100"/>
      <c r="DW11" s="100"/>
      <c r="DX11" s="100"/>
      <c r="DY11" s="100"/>
      <c r="DZ11" s="100"/>
      <c r="EA11" s="100"/>
      <c r="EB11" s="100"/>
      <c r="EC11" s="100"/>
      <c r="ED11" s="100"/>
      <c r="EE11" s="100"/>
      <c r="EF11" s="100"/>
      <c r="EG11" s="100"/>
      <c r="EH11" s="100"/>
      <c r="EI11" s="100"/>
      <c r="EJ11" s="100"/>
      <c r="EK11" s="100"/>
      <c r="EL11" s="100"/>
      <c r="EM11" s="100"/>
      <c r="EN11" s="100"/>
      <c r="EO11" s="100"/>
      <c r="EP11" s="100"/>
      <c r="EQ11" s="100"/>
      <c r="ER11" s="100"/>
      <c r="ES11" s="100"/>
      <c r="ET11" s="100"/>
      <c r="EU11" s="100"/>
      <c r="EV11" s="100"/>
      <c r="EW11" s="100"/>
      <c r="EX11" s="100"/>
      <c r="EY11" s="100"/>
      <c r="EZ11" s="100"/>
      <c r="FA11" s="100"/>
      <c r="FB11" s="100"/>
      <c r="FC11" s="100"/>
      <c r="FD11" s="100"/>
      <c r="FE11" s="100"/>
      <c r="FF11" s="100"/>
      <c r="FG11" s="100"/>
      <c r="FH11" s="100"/>
      <c r="FI11" s="100"/>
      <c r="FJ11" s="100"/>
      <c r="FK11" s="100"/>
      <c r="FL11" s="100"/>
      <c r="FM11" s="100"/>
      <c r="FN11" s="100"/>
      <c r="FO11" s="100"/>
      <c r="FP11" s="100"/>
      <c r="FQ11" s="100"/>
      <c r="FR11" s="100"/>
      <c r="FS11" s="100"/>
      <c r="FT11" s="100"/>
      <c r="FU11" s="100"/>
      <c r="FV11" s="100"/>
      <c r="FW11" s="100"/>
      <c r="FX11" s="100"/>
      <c r="FY11" s="100"/>
      <c r="FZ11" s="100"/>
      <c r="GA11" s="100"/>
      <c r="GB11" s="100"/>
      <c r="GC11" s="100"/>
      <c r="GD11" s="100"/>
      <c r="GE11" s="100"/>
      <c r="GF11" s="100"/>
      <c r="GG11" s="100"/>
      <c r="GH11" s="100"/>
      <c r="GI11" s="100"/>
      <c r="GJ11" s="100"/>
      <c r="GK11" s="100"/>
      <c r="GL11" s="100"/>
      <c r="GM11" s="100"/>
      <c r="GN11" s="100"/>
      <c r="GO11" s="100"/>
      <c r="GP11" s="100"/>
      <c r="GQ11" s="100"/>
      <c r="GR11" s="100"/>
      <c r="GS11" s="100"/>
      <c r="GT11" s="100"/>
      <c r="GU11" s="100"/>
      <c r="GV11" s="100"/>
      <c r="GW11" s="100"/>
      <c r="GX11" s="100"/>
      <c r="GY11" s="100"/>
      <c r="GZ11" s="100"/>
      <c r="HA11" s="100"/>
      <c r="HB11" s="100"/>
      <c r="HC11" s="100"/>
      <c r="HD11" s="100"/>
      <c r="HE11" s="100"/>
      <c r="HF11" s="100"/>
      <c r="HG11" s="100"/>
      <c r="HH11" s="100"/>
      <c r="HI11" s="100"/>
      <c r="HJ11" s="100"/>
      <c r="HK11" s="100"/>
      <c r="HL11" s="100"/>
      <c r="HM11" s="100"/>
      <c r="HN11" s="100"/>
      <c r="HO11" s="100"/>
      <c r="HP11" s="100"/>
      <c r="HQ11" s="100"/>
      <c r="HR11" s="100"/>
      <c r="HS11" s="100"/>
      <c r="HT11" s="100"/>
      <c r="HU11" s="100"/>
      <c r="HV11" s="100"/>
      <c r="HW11" s="100"/>
      <c r="HX11" s="100"/>
      <c r="HY11" s="100"/>
      <c r="HZ11" s="100"/>
      <c r="IA11" s="100"/>
      <c r="IB11" s="100"/>
      <c r="IC11" s="100"/>
      <c r="ID11" s="100"/>
      <c r="IE11" s="100"/>
      <c r="IF11" s="100"/>
      <c r="IG11" s="100"/>
      <c r="IH11" s="100"/>
      <c r="II11" s="100"/>
      <c r="IJ11" s="100"/>
      <c r="IK11" s="100"/>
      <c r="IL11" s="100"/>
      <c r="IM11" s="100"/>
      <c r="IN11" s="100"/>
      <c r="IO11" s="100"/>
      <c r="IP11" s="100"/>
      <c r="IQ11" s="100"/>
      <c r="IR11" s="100"/>
      <c r="IS11" s="100"/>
      <c r="IT11" s="100"/>
      <c r="IU11" s="100"/>
      <c r="IV11" s="100"/>
      <c r="IW11" s="100"/>
      <c r="IX11" s="100"/>
      <c r="IY11" s="100"/>
      <c r="IZ11" s="100"/>
      <c r="JA11" s="100"/>
      <c r="JB11" s="100"/>
      <c r="JC11" s="100"/>
      <c r="JD11" s="100"/>
      <c r="JE11" s="100"/>
      <c r="JF11" s="100"/>
      <c r="JG11" s="100"/>
      <c r="JH11" s="100"/>
      <c r="JI11" s="100"/>
      <c r="JJ11" s="100"/>
      <c r="JK11" s="100"/>
      <c r="JL11" s="100"/>
      <c r="JM11" s="100"/>
      <c r="JN11" s="100"/>
      <c r="JO11" s="100"/>
      <c r="JP11" s="100"/>
      <c r="JQ11" s="100"/>
      <c r="JR11" s="100"/>
      <c r="JS11" s="100"/>
      <c r="JT11" s="100"/>
      <c r="JU11" s="100"/>
      <c r="JV11" s="100"/>
      <c r="JW11" s="100"/>
      <c r="JX11" s="100"/>
      <c r="JY11" s="100"/>
      <c r="JZ11" s="100"/>
      <c r="KA11" s="100"/>
      <c r="KB11" s="100"/>
      <c r="KC11" s="100"/>
      <c r="KD11" s="100"/>
      <c r="KE11" s="100"/>
      <c r="KF11" s="100"/>
      <c r="KG11" s="100"/>
      <c r="KH11" s="100"/>
      <c r="KI11" s="100"/>
      <c r="KJ11" s="100"/>
    </row>
    <row r="12" spans="1:296" s="39" customFormat="1" x14ac:dyDescent="0.3">
      <c r="A12" s="71"/>
      <c r="B12" s="2" t="str">
        <f>+H70</f>
        <v>DTF/TPU</v>
      </c>
      <c r="C12" s="67">
        <f>H71</f>
        <v>0</v>
      </c>
      <c r="D12" s="55">
        <v>1</v>
      </c>
      <c r="E12" s="5">
        <f t="shared" si="0"/>
        <v>0</v>
      </c>
      <c r="F12" s="7"/>
      <c r="G12" s="5"/>
      <c r="H12"/>
      <c r="I12" s="28"/>
      <c r="K12" s="70"/>
      <c r="L12" s="75"/>
      <c r="M12" s="127"/>
      <c r="N12" s="77"/>
      <c r="O12" s="164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100"/>
      <c r="CR12" s="100"/>
      <c r="CS12" s="100"/>
      <c r="CT12" s="100"/>
      <c r="CU12" s="100"/>
      <c r="CV12" s="100"/>
      <c r="CW12" s="100"/>
      <c r="CX12" s="100"/>
      <c r="CY12" s="100"/>
      <c r="CZ12" s="100"/>
      <c r="DA12" s="100"/>
      <c r="DB12" s="100"/>
      <c r="DC12" s="100"/>
      <c r="DD12" s="100"/>
      <c r="DE12" s="100"/>
      <c r="DF12" s="100"/>
      <c r="DG12" s="100"/>
      <c r="DH12" s="100"/>
      <c r="DI12" s="100"/>
      <c r="DJ12" s="100"/>
      <c r="DK12" s="100"/>
      <c r="DL12" s="100"/>
      <c r="DM12" s="100"/>
      <c r="DN12" s="100"/>
      <c r="DO12" s="100"/>
      <c r="DP12" s="100"/>
      <c r="DQ12" s="100"/>
      <c r="DR12" s="100"/>
      <c r="DS12" s="100"/>
      <c r="DT12" s="100"/>
      <c r="DU12" s="100"/>
      <c r="DV12" s="100"/>
      <c r="DW12" s="100"/>
      <c r="DX12" s="100"/>
      <c r="DY12" s="100"/>
      <c r="DZ12" s="100"/>
      <c r="EA12" s="100"/>
      <c r="EB12" s="100"/>
      <c r="EC12" s="100"/>
      <c r="ED12" s="100"/>
      <c r="EE12" s="100"/>
      <c r="EF12" s="100"/>
      <c r="EG12" s="100"/>
      <c r="EH12" s="100"/>
      <c r="EI12" s="100"/>
      <c r="EJ12" s="100"/>
      <c r="EK12" s="100"/>
      <c r="EL12" s="100"/>
      <c r="EM12" s="100"/>
      <c r="EN12" s="100"/>
      <c r="EO12" s="100"/>
      <c r="EP12" s="100"/>
      <c r="EQ12" s="100"/>
      <c r="ER12" s="100"/>
      <c r="ES12" s="100"/>
      <c r="ET12" s="100"/>
      <c r="EU12" s="100"/>
      <c r="EV12" s="100"/>
      <c r="EW12" s="100"/>
      <c r="EX12" s="100"/>
      <c r="EY12" s="100"/>
      <c r="EZ12" s="100"/>
      <c r="FA12" s="100"/>
      <c r="FB12" s="100"/>
      <c r="FC12" s="100"/>
      <c r="FD12" s="100"/>
      <c r="FE12" s="100"/>
      <c r="FF12" s="100"/>
      <c r="FG12" s="100"/>
      <c r="FH12" s="100"/>
      <c r="FI12" s="100"/>
      <c r="FJ12" s="100"/>
      <c r="FK12" s="100"/>
      <c r="FL12" s="100"/>
      <c r="FM12" s="100"/>
      <c r="FN12" s="100"/>
      <c r="FO12" s="100"/>
      <c r="FP12" s="100"/>
      <c r="FQ12" s="100"/>
      <c r="FR12" s="100"/>
      <c r="FS12" s="100"/>
      <c r="FT12" s="100"/>
      <c r="FU12" s="100"/>
      <c r="FV12" s="100"/>
      <c r="FW12" s="100"/>
      <c r="FX12" s="100"/>
      <c r="FY12" s="100"/>
      <c r="FZ12" s="100"/>
      <c r="GA12" s="100"/>
      <c r="GB12" s="100"/>
      <c r="GC12" s="100"/>
      <c r="GD12" s="100"/>
      <c r="GE12" s="100"/>
      <c r="GF12" s="100"/>
      <c r="GG12" s="100"/>
      <c r="GH12" s="100"/>
      <c r="GI12" s="100"/>
      <c r="GJ12" s="100"/>
      <c r="GK12" s="100"/>
      <c r="GL12" s="100"/>
      <c r="GM12" s="100"/>
      <c r="GN12" s="100"/>
      <c r="GO12" s="100"/>
      <c r="GP12" s="100"/>
      <c r="GQ12" s="100"/>
      <c r="GR12" s="100"/>
      <c r="GS12" s="100"/>
      <c r="GT12" s="100"/>
      <c r="GU12" s="100"/>
      <c r="GV12" s="100"/>
      <c r="GW12" s="100"/>
      <c r="GX12" s="100"/>
      <c r="GY12" s="100"/>
      <c r="GZ12" s="100"/>
      <c r="HA12" s="100"/>
      <c r="HB12" s="100"/>
      <c r="HC12" s="100"/>
      <c r="HD12" s="100"/>
      <c r="HE12" s="100"/>
      <c r="HF12" s="100"/>
      <c r="HG12" s="100"/>
      <c r="HH12" s="100"/>
      <c r="HI12" s="100"/>
      <c r="HJ12" s="100"/>
      <c r="HK12" s="100"/>
      <c r="HL12" s="100"/>
      <c r="HM12" s="100"/>
      <c r="HN12" s="100"/>
      <c r="HO12" s="100"/>
      <c r="HP12" s="100"/>
      <c r="HQ12" s="100"/>
      <c r="HR12" s="100"/>
      <c r="HS12" s="100"/>
      <c r="HT12" s="100"/>
      <c r="HU12" s="100"/>
      <c r="HV12" s="100"/>
      <c r="HW12" s="100"/>
      <c r="HX12" s="100"/>
      <c r="HY12" s="100"/>
      <c r="HZ12" s="100"/>
      <c r="IA12" s="100"/>
      <c r="IB12" s="100"/>
      <c r="IC12" s="100"/>
      <c r="ID12" s="100"/>
      <c r="IE12" s="100"/>
      <c r="IF12" s="100"/>
      <c r="IG12" s="100"/>
      <c r="IH12" s="100"/>
      <c r="II12" s="100"/>
      <c r="IJ12" s="100"/>
      <c r="IK12" s="100"/>
      <c r="IL12" s="100"/>
      <c r="IM12" s="100"/>
      <c r="IN12" s="100"/>
      <c r="IO12" s="100"/>
      <c r="IP12" s="100"/>
      <c r="IQ12" s="100"/>
      <c r="IR12" s="100"/>
      <c r="IS12" s="100"/>
      <c r="IT12" s="100"/>
      <c r="IU12" s="100"/>
      <c r="IV12" s="100"/>
      <c r="IW12" s="100"/>
      <c r="IX12" s="100"/>
      <c r="IY12" s="100"/>
      <c r="IZ12" s="100"/>
      <c r="JA12" s="100"/>
      <c r="JB12" s="100"/>
      <c r="JC12" s="100"/>
      <c r="JD12" s="100"/>
      <c r="JE12" s="100"/>
      <c r="JF12" s="100"/>
      <c r="JG12" s="100"/>
      <c r="JH12" s="100"/>
      <c r="JI12" s="100"/>
      <c r="JJ12" s="100"/>
      <c r="JK12" s="100"/>
      <c r="JL12" s="100"/>
      <c r="JM12" s="100"/>
      <c r="JN12" s="100"/>
      <c r="JO12" s="100"/>
      <c r="JP12" s="100"/>
      <c r="JQ12" s="100"/>
      <c r="JR12" s="100"/>
      <c r="JS12" s="100"/>
      <c r="JT12" s="100"/>
      <c r="JU12" s="100"/>
      <c r="JV12" s="100"/>
      <c r="JW12" s="100"/>
      <c r="JX12" s="100"/>
      <c r="JY12" s="100"/>
      <c r="JZ12" s="100"/>
      <c r="KA12" s="100"/>
      <c r="KB12" s="100"/>
      <c r="KC12" s="100"/>
      <c r="KD12" s="100"/>
      <c r="KE12" s="100"/>
      <c r="KF12" s="100"/>
      <c r="KG12" s="100"/>
      <c r="KH12" s="100"/>
      <c r="KI12" s="100"/>
      <c r="KJ12" s="100"/>
    </row>
    <row r="13" spans="1:296" s="39" customFormat="1" x14ac:dyDescent="0.3">
      <c r="A13" s="71"/>
      <c r="B13" s="2" t="str">
        <f>+I70</f>
        <v>GORRAS</v>
      </c>
      <c r="C13" s="67">
        <f>I71</f>
        <v>0</v>
      </c>
      <c r="D13" s="55">
        <v>2</v>
      </c>
      <c r="E13" s="5">
        <f t="shared" si="0"/>
        <v>0</v>
      </c>
      <c r="F13" s="22"/>
      <c r="G13" s="5"/>
      <c r="H13"/>
      <c r="I13" s="28"/>
      <c r="K13" s="70"/>
      <c r="L13" s="75"/>
      <c r="M13" s="127"/>
      <c r="N13" s="77"/>
      <c r="O13" s="164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100"/>
      <c r="CX13" s="100"/>
      <c r="CY13" s="100"/>
      <c r="CZ13" s="100"/>
      <c r="DA13" s="100"/>
      <c r="DB13" s="100"/>
      <c r="DC13" s="100"/>
      <c r="DD13" s="100"/>
      <c r="DE13" s="100"/>
      <c r="DF13" s="100"/>
      <c r="DG13" s="100"/>
      <c r="DH13" s="100"/>
      <c r="DI13" s="100"/>
      <c r="DJ13" s="100"/>
      <c r="DK13" s="100"/>
      <c r="DL13" s="100"/>
      <c r="DM13" s="100"/>
      <c r="DN13" s="100"/>
      <c r="DO13" s="100"/>
      <c r="DP13" s="100"/>
      <c r="DQ13" s="100"/>
      <c r="DR13" s="100"/>
      <c r="DS13" s="100"/>
      <c r="DT13" s="100"/>
      <c r="DU13" s="100"/>
      <c r="DV13" s="100"/>
      <c r="DW13" s="100"/>
      <c r="DX13" s="100"/>
      <c r="DY13" s="100"/>
      <c r="DZ13" s="100"/>
      <c r="EA13" s="100"/>
      <c r="EB13" s="100"/>
      <c r="EC13" s="100"/>
      <c r="ED13" s="100"/>
      <c r="EE13" s="100"/>
      <c r="EF13" s="100"/>
      <c r="EG13" s="100"/>
      <c r="EH13" s="100"/>
      <c r="EI13" s="100"/>
      <c r="EJ13" s="100"/>
      <c r="EK13" s="100"/>
      <c r="EL13" s="100"/>
      <c r="EM13" s="100"/>
      <c r="EN13" s="100"/>
      <c r="EO13" s="100"/>
      <c r="EP13" s="100"/>
      <c r="EQ13" s="100"/>
      <c r="ER13" s="100"/>
      <c r="ES13" s="100"/>
      <c r="ET13" s="100"/>
      <c r="EU13" s="100"/>
      <c r="EV13" s="100"/>
      <c r="EW13" s="100"/>
      <c r="EX13" s="100"/>
      <c r="EY13" s="100"/>
      <c r="EZ13" s="100"/>
      <c r="FA13" s="100"/>
      <c r="FB13" s="100"/>
      <c r="FC13" s="100"/>
      <c r="FD13" s="100"/>
      <c r="FE13" s="100"/>
      <c r="FF13" s="100"/>
      <c r="FG13" s="100"/>
      <c r="FH13" s="100"/>
      <c r="FI13" s="100"/>
      <c r="FJ13" s="100"/>
      <c r="FK13" s="100"/>
      <c r="FL13" s="100"/>
      <c r="FM13" s="100"/>
      <c r="FN13" s="100"/>
      <c r="FO13" s="100"/>
      <c r="FP13" s="100"/>
      <c r="FQ13" s="100"/>
      <c r="FR13" s="100"/>
      <c r="FS13" s="100"/>
      <c r="FT13" s="100"/>
      <c r="FU13" s="100"/>
      <c r="FV13" s="100"/>
      <c r="FW13" s="100"/>
      <c r="FX13" s="100"/>
      <c r="FY13" s="100"/>
      <c r="FZ13" s="100"/>
      <c r="GA13" s="100"/>
      <c r="GB13" s="100"/>
      <c r="GC13" s="100"/>
      <c r="GD13" s="100"/>
      <c r="GE13" s="100"/>
      <c r="GF13" s="100"/>
      <c r="GG13" s="100"/>
      <c r="GH13" s="100"/>
      <c r="GI13" s="100"/>
      <c r="GJ13" s="100"/>
      <c r="GK13" s="100"/>
      <c r="GL13" s="100"/>
      <c r="GM13" s="100"/>
      <c r="GN13" s="100"/>
      <c r="GO13" s="100"/>
      <c r="GP13" s="100"/>
      <c r="GQ13" s="100"/>
      <c r="GR13" s="100"/>
      <c r="GS13" s="100"/>
      <c r="GT13" s="100"/>
      <c r="GU13" s="100"/>
      <c r="GV13" s="100"/>
      <c r="GW13" s="100"/>
      <c r="GX13" s="100"/>
      <c r="GY13" s="100"/>
      <c r="GZ13" s="100"/>
      <c r="HA13" s="100"/>
      <c r="HB13" s="100"/>
      <c r="HC13" s="100"/>
      <c r="HD13" s="100"/>
      <c r="HE13" s="100"/>
      <c r="HF13" s="100"/>
      <c r="HG13" s="100"/>
      <c r="HH13" s="100"/>
      <c r="HI13" s="100"/>
      <c r="HJ13" s="100"/>
      <c r="HK13" s="100"/>
      <c r="HL13" s="100"/>
      <c r="HM13" s="100"/>
      <c r="HN13" s="100"/>
      <c r="HO13" s="100"/>
      <c r="HP13" s="100"/>
      <c r="HQ13" s="100"/>
      <c r="HR13" s="100"/>
      <c r="HS13" s="100"/>
      <c r="HT13" s="100"/>
      <c r="HU13" s="100"/>
      <c r="HV13" s="100"/>
      <c r="HW13" s="100"/>
      <c r="HX13" s="100"/>
      <c r="HY13" s="100"/>
      <c r="HZ13" s="100"/>
      <c r="IA13" s="100"/>
      <c r="IB13" s="100"/>
      <c r="IC13" s="100"/>
      <c r="ID13" s="100"/>
      <c r="IE13" s="100"/>
      <c r="IF13" s="100"/>
      <c r="IG13" s="100"/>
      <c r="IH13" s="100"/>
      <c r="II13" s="100"/>
      <c r="IJ13" s="100"/>
      <c r="IK13" s="100"/>
      <c r="IL13" s="100"/>
      <c r="IM13" s="100"/>
      <c r="IN13" s="100"/>
      <c r="IO13" s="100"/>
      <c r="IP13" s="100"/>
      <c r="IQ13" s="100"/>
      <c r="IR13" s="100"/>
      <c r="IS13" s="100"/>
      <c r="IT13" s="100"/>
      <c r="IU13" s="100"/>
      <c r="IV13" s="100"/>
      <c r="IW13" s="100"/>
      <c r="IX13" s="100"/>
      <c r="IY13" s="100"/>
      <c r="IZ13" s="100"/>
      <c r="JA13" s="100"/>
      <c r="JB13" s="100"/>
      <c r="JC13" s="100"/>
      <c r="JD13" s="100"/>
      <c r="JE13" s="100"/>
      <c r="JF13" s="100"/>
      <c r="JG13" s="100"/>
      <c r="JH13" s="100"/>
      <c r="JI13" s="100"/>
      <c r="JJ13" s="100"/>
      <c r="JK13" s="100"/>
      <c r="JL13" s="100"/>
      <c r="JM13" s="100"/>
      <c r="JN13" s="100"/>
      <c r="JO13" s="100"/>
      <c r="JP13" s="100"/>
      <c r="JQ13" s="100"/>
      <c r="JR13" s="100"/>
      <c r="JS13" s="100"/>
      <c r="JT13" s="100"/>
      <c r="JU13" s="100"/>
      <c r="JV13" s="100"/>
      <c r="JW13" s="100"/>
      <c r="JX13" s="100"/>
      <c r="JY13" s="100"/>
      <c r="JZ13" s="100"/>
      <c r="KA13" s="100"/>
      <c r="KB13" s="100"/>
      <c r="KC13" s="100"/>
      <c r="KD13" s="100"/>
      <c r="KE13" s="100"/>
      <c r="KF13" s="100"/>
      <c r="KG13" s="100"/>
      <c r="KH13" s="100"/>
      <c r="KI13" s="100"/>
      <c r="KJ13" s="100"/>
    </row>
    <row r="14" spans="1:296" s="39" customFormat="1" x14ac:dyDescent="0.3">
      <c r="A14" s="71"/>
      <c r="B14" s="2" t="str">
        <f>+J70</f>
        <v>JARRO</v>
      </c>
      <c r="C14" s="67">
        <f>J71</f>
        <v>0</v>
      </c>
      <c r="D14" s="55"/>
      <c r="E14" s="5">
        <f t="shared" si="0"/>
        <v>0</v>
      </c>
      <c r="F14" s="22"/>
      <c r="G14" s="5"/>
      <c r="H14"/>
      <c r="I14" s="28"/>
      <c r="K14" s="70"/>
      <c r="L14" s="75"/>
      <c r="M14" s="127"/>
      <c r="N14" s="77"/>
      <c r="O14" s="164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00"/>
      <c r="CX14" s="100"/>
      <c r="CY14" s="100"/>
      <c r="CZ14" s="100"/>
      <c r="DA14" s="100"/>
      <c r="DB14" s="100"/>
      <c r="DC14" s="100"/>
      <c r="DD14" s="100"/>
      <c r="DE14" s="100"/>
      <c r="DF14" s="100"/>
      <c r="DG14" s="100"/>
      <c r="DH14" s="100"/>
      <c r="DI14" s="100"/>
      <c r="DJ14" s="100"/>
      <c r="DK14" s="100"/>
      <c r="DL14" s="100"/>
      <c r="DM14" s="100"/>
      <c r="DN14" s="100"/>
      <c r="DO14" s="100"/>
      <c r="DP14" s="100"/>
      <c r="DQ14" s="100"/>
      <c r="DR14" s="100"/>
      <c r="DS14" s="100"/>
      <c r="DT14" s="100"/>
      <c r="DU14" s="100"/>
      <c r="DV14" s="100"/>
      <c r="DW14" s="100"/>
      <c r="DX14" s="100"/>
      <c r="DY14" s="100"/>
      <c r="DZ14" s="100"/>
      <c r="EA14" s="100"/>
      <c r="EB14" s="100"/>
      <c r="EC14" s="100"/>
      <c r="ED14" s="100"/>
      <c r="EE14" s="100"/>
      <c r="EF14" s="100"/>
      <c r="EG14" s="100"/>
      <c r="EH14" s="100"/>
      <c r="EI14" s="100"/>
      <c r="EJ14" s="100"/>
      <c r="EK14" s="100"/>
      <c r="EL14" s="100"/>
      <c r="EM14" s="100"/>
      <c r="EN14" s="100"/>
      <c r="EO14" s="100"/>
      <c r="EP14" s="100"/>
      <c r="EQ14" s="100"/>
      <c r="ER14" s="100"/>
      <c r="ES14" s="100"/>
      <c r="ET14" s="100"/>
      <c r="EU14" s="100"/>
      <c r="EV14" s="100"/>
      <c r="EW14" s="100"/>
      <c r="EX14" s="100"/>
      <c r="EY14" s="100"/>
      <c r="EZ14" s="100"/>
      <c r="FA14" s="100"/>
      <c r="FB14" s="100"/>
      <c r="FC14" s="100"/>
      <c r="FD14" s="100"/>
      <c r="FE14" s="100"/>
      <c r="FF14" s="100"/>
      <c r="FG14" s="100"/>
      <c r="FH14" s="100"/>
      <c r="FI14" s="100"/>
      <c r="FJ14" s="100"/>
      <c r="FK14" s="100"/>
      <c r="FL14" s="100"/>
      <c r="FM14" s="100"/>
      <c r="FN14" s="100"/>
      <c r="FO14" s="100"/>
      <c r="FP14" s="100"/>
      <c r="FQ14" s="100"/>
      <c r="FR14" s="100"/>
      <c r="FS14" s="100"/>
      <c r="FT14" s="100"/>
      <c r="FU14" s="100"/>
      <c r="FV14" s="100"/>
      <c r="FW14" s="100"/>
      <c r="FX14" s="100"/>
      <c r="FY14" s="100"/>
      <c r="FZ14" s="100"/>
      <c r="GA14" s="100"/>
      <c r="GB14" s="100"/>
      <c r="GC14" s="100"/>
      <c r="GD14" s="100"/>
      <c r="GE14" s="100"/>
      <c r="GF14" s="100"/>
      <c r="GG14" s="100"/>
      <c r="GH14" s="100"/>
      <c r="GI14" s="100"/>
      <c r="GJ14" s="100"/>
      <c r="GK14" s="100"/>
      <c r="GL14" s="100"/>
      <c r="GM14" s="100"/>
      <c r="GN14" s="100"/>
      <c r="GO14" s="100"/>
      <c r="GP14" s="100"/>
      <c r="GQ14" s="100"/>
      <c r="GR14" s="100"/>
      <c r="GS14" s="100"/>
      <c r="GT14" s="100"/>
      <c r="GU14" s="100"/>
      <c r="GV14" s="100"/>
      <c r="GW14" s="100"/>
      <c r="GX14" s="100"/>
      <c r="GY14" s="100"/>
      <c r="GZ14" s="100"/>
      <c r="HA14" s="100"/>
      <c r="HB14" s="100"/>
      <c r="HC14" s="100"/>
      <c r="HD14" s="100"/>
      <c r="HE14" s="100"/>
      <c r="HF14" s="100"/>
      <c r="HG14" s="100"/>
      <c r="HH14" s="100"/>
      <c r="HI14" s="100"/>
      <c r="HJ14" s="100"/>
      <c r="HK14" s="100"/>
      <c r="HL14" s="100"/>
      <c r="HM14" s="100"/>
      <c r="HN14" s="100"/>
      <c r="HO14" s="100"/>
      <c r="HP14" s="100"/>
      <c r="HQ14" s="100"/>
      <c r="HR14" s="100"/>
      <c r="HS14" s="100"/>
      <c r="HT14" s="100"/>
      <c r="HU14" s="100"/>
      <c r="HV14" s="100"/>
      <c r="HW14" s="100"/>
      <c r="HX14" s="100"/>
      <c r="HY14" s="100"/>
      <c r="HZ14" s="100"/>
      <c r="IA14" s="100"/>
      <c r="IB14" s="100"/>
      <c r="IC14" s="100"/>
      <c r="ID14" s="100"/>
      <c r="IE14" s="100"/>
      <c r="IF14" s="100"/>
      <c r="IG14" s="100"/>
      <c r="IH14" s="100"/>
      <c r="II14" s="100"/>
      <c r="IJ14" s="100"/>
      <c r="IK14" s="100"/>
      <c r="IL14" s="100"/>
      <c r="IM14" s="100"/>
      <c r="IN14" s="100"/>
      <c r="IO14" s="100"/>
      <c r="IP14" s="100"/>
      <c r="IQ14" s="100"/>
      <c r="IR14" s="100"/>
      <c r="IS14" s="100"/>
      <c r="IT14" s="100"/>
      <c r="IU14" s="100"/>
      <c r="IV14" s="100"/>
      <c r="IW14" s="100"/>
      <c r="IX14" s="100"/>
      <c r="IY14" s="100"/>
      <c r="IZ14" s="100"/>
      <c r="JA14" s="100"/>
      <c r="JB14" s="100"/>
      <c r="JC14" s="100"/>
      <c r="JD14" s="100"/>
      <c r="JE14" s="100"/>
      <c r="JF14" s="100"/>
      <c r="JG14" s="100"/>
      <c r="JH14" s="100"/>
      <c r="JI14" s="100"/>
      <c r="JJ14" s="100"/>
      <c r="JK14" s="100"/>
      <c r="JL14" s="100"/>
      <c r="JM14" s="100"/>
      <c r="JN14" s="100"/>
      <c r="JO14" s="100"/>
      <c r="JP14" s="100"/>
      <c r="JQ14" s="100"/>
      <c r="JR14" s="100"/>
      <c r="JS14" s="100"/>
      <c r="JT14" s="100"/>
      <c r="JU14" s="100"/>
      <c r="JV14" s="100"/>
      <c r="JW14" s="100"/>
      <c r="JX14" s="100"/>
      <c r="JY14" s="100"/>
      <c r="JZ14" s="100"/>
      <c r="KA14" s="100"/>
      <c r="KB14" s="100"/>
      <c r="KC14" s="100"/>
      <c r="KD14" s="100"/>
      <c r="KE14" s="100"/>
      <c r="KF14" s="100"/>
      <c r="KG14" s="100"/>
      <c r="KH14" s="100"/>
      <c r="KI14" s="100"/>
      <c r="KJ14" s="100"/>
    </row>
    <row r="15" spans="1:296" s="39" customFormat="1" x14ac:dyDescent="0.3">
      <c r="A15" s="71" t="str">
        <f>IF('[1]PRODUCTO NACIONAL'!A67&lt;&gt;"",'[1]PRODUCTO NACIONAL'!A67,"")</f>
        <v>M64</v>
      </c>
      <c r="B15" s="71" t="str">
        <f>IF('[1]PRODUCTO NACIONAL'!F67&lt;&gt;"",'[1]PRODUCTO NACIONAL'!F67,"")</f>
        <v>CUELLOS20 PEI|NEGRO AZABACHE Y MAS.</v>
      </c>
      <c r="C15" s="67">
        <f>K71</f>
        <v>0</v>
      </c>
      <c r="D15" s="107">
        <f>VLOOKUP(A15,'[1]PRODUCTO NACIONAL'!$A$4:$R$161,18,FALSE)</f>
        <v>0.4764460606060606</v>
      </c>
      <c r="E15" s="5">
        <f t="shared" si="0"/>
        <v>0</v>
      </c>
      <c r="F15" s="22"/>
      <c r="G15" s="5"/>
      <c r="H15"/>
      <c r="I15" s="28"/>
      <c r="K15" s="70"/>
      <c r="L15" s="75"/>
      <c r="M15" s="127"/>
      <c r="N15" s="77"/>
      <c r="O15" s="164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00"/>
      <c r="CX15" s="100"/>
      <c r="CY15" s="100"/>
      <c r="CZ15" s="100"/>
      <c r="DA15" s="100"/>
      <c r="DB15" s="100"/>
      <c r="DC15" s="100"/>
      <c r="DD15" s="100"/>
      <c r="DE15" s="100"/>
      <c r="DF15" s="100"/>
      <c r="DG15" s="100"/>
      <c r="DH15" s="100"/>
      <c r="DI15" s="100"/>
      <c r="DJ15" s="100"/>
      <c r="DK15" s="100"/>
      <c r="DL15" s="100"/>
      <c r="DM15" s="100"/>
      <c r="DN15" s="100"/>
      <c r="DO15" s="100"/>
      <c r="DP15" s="100"/>
      <c r="DQ15" s="100"/>
      <c r="DR15" s="100"/>
      <c r="DS15" s="100"/>
      <c r="DT15" s="100"/>
      <c r="DU15" s="100"/>
      <c r="DV15" s="100"/>
      <c r="DW15" s="100"/>
      <c r="DX15" s="100"/>
      <c r="DY15" s="100"/>
      <c r="DZ15" s="100"/>
      <c r="EA15" s="100"/>
      <c r="EB15" s="100"/>
      <c r="EC15" s="100"/>
      <c r="ED15" s="100"/>
      <c r="EE15" s="100"/>
      <c r="EF15" s="100"/>
      <c r="EG15" s="100"/>
      <c r="EH15" s="100"/>
      <c r="EI15" s="100"/>
      <c r="EJ15" s="100"/>
      <c r="EK15" s="100"/>
      <c r="EL15" s="100"/>
      <c r="EM15" s="100"/>
      <c r="EN15" s="100"/>
      <c r="EO15" s="100"/>
      <c r="EP15" s="100"/>
      <c r="EQ15" s="100"/>
      <c r="ER15" s="100"/>
      <c r="ES15" s="100"/>
      <c r="ET15" s="100"/>
      <c r="EU15" s="100"/>
      <c r="EV15" s="100"/>
      <c r="EW15" s="100"/>
      <c r="EX15" s="100"/>
      <c r="EY15" s="100"/>
      <c r="EZ15" s="100"/>
      <c r="FA15" s="100"/>
      <c r="FB15" s="100"/>
      <c r="FC15" s="100"/>
      <c r="FD15" s="100"/>
      <c r="FE15" s="100"/>
      <c r="FF15" s="100"/>
      <c r="FG15" s="100"/>
      <c r="FH15" s="100"/>
      <c r="FI15" s="100"/>
      <c r="FJ15" s="100"/>
      <c r="FK15" s="100"/>
      <c r="FL15" s="100"/>
      <c r="FM15" s="100"/>
      <c r="FN15" s="100"/>
      <c r="FO15" s="100"/>
      <c r="FP15" s="100"/>
      <c r="FQ15" s="100"/>
      <c r="FR15" s="100"/>
      <c r="FS15" s="100"/>
      <c r="FT15" s="100"/>
      <c r="FU15" s="100"/>
      <c r="FV15" s="100"/>
      <c r="FW15" s="100"/>
      <c r="FX15" s="100"/>
      <c r="FY15" s="100"/>
      <c r="FZ15" s="100"/>
      <c r="GA15" s="100"/>
      <c r="GB15" s="100"/>
      <c r="GC15" s="100"/>
      <c r="GD15" s="100"/>
      <c r="GE15" s="100"/>
      <c r="GF15" s="100"/>
      <c r="GG15" s="100"/>
      <c r="GH15" s="100"/>
      <c r="GI15" s="100"/>
      <c r="GJ15" s="100"/>
      <c r="GK15" s="100"/>
      <c r="GL15" s="100"/>
      <c r="GM15" s="100"/>
      <c r="GN15" s="100"/>
      <c r="GO15" s="100"/>
      <c r="GP15" s="100"/>
      <c r="GQ15" s="100"/>
      <c r="GR15" s="100"/>
      <c r="GS15" s="100"/>
      <c r="GT15" s="100"/>
      <c r="GU15" s="100"/>
      <c r="GV15" s="100"/>
      <c r="GW15" s="100"/>
      <c r="GX15" s="100"/>
      <c r="GY15" s="100"/>
      <c r="GZ15" s="100"/>
      <c r="HA15" s="100"/>
      <c r="HB15" s="100"/>
      <c r="HC15" s="100"/>
      <c r="HD15" s="100"/>
      <c r="HE15" s="100"/>
      <c r="HF15" s="100"/>
      <c r="HG15" s="100"/>
      <c r="HH15" s="100"/>
      <c r="HI15" s="100"/>
      <c r="HJ15" s="100"/>
      <c r="HK15" s="100"/>
      <c r="HL15" s="100"/>
      <c r="HM15" s="100"/>
      <c r="HN15" s="100"/>
      <c r="HO15" s="100"/>
      <c r="HP15" s="100"/>
      <c r="HQ15" s="100"/>
      <c r="HR15" s="100"/>
      <c r="HS15" s="100"/>
      <c r="HT15" s="100"/>
      <c r="HU15" s="100"/>
      <c r="HV15" s="100"/>
      <c r="HW15" s="100"/>
      <c r="HX15" s="100"/>
      <c r="HY15" s="100"/>
      <c r="HZ15" s="100"/>
      <c r="IA15" s="100"/>
      <c r="IB15" s="100"/>
      <c r="IC15" s="100"/>
      <c r="ID15" s="100"/>
      <c r="IE15" s="100"/>
      <c r="IF15" s="100"/>
      <c r="IG15" s="100"/>
      <c r="IH15" s="100"/>
      <c r="II15" s="100"/>
      <c r="IJ15" s="100"/>
      <c r="IK15" s="100"/>
      <c r="IL15" s="100"/>
      <c r="IM15" s="100"/>
      <c r="IN15" s="100"/>
      <c r="IO15" s="100"/>
      <c r="IP15" s="100"/>
      <c r="IQ15" s="100"/>
      <c r="IR15" s="100"/>
      <c r="IS15" s="100"/>
      <c r="IT15" s="100"/>
      <c r="IU15" s="100"/>
      <c r="IV15" s="100"/>
      <c r="IW15" s="100"/>
      <c r="IX15" s="100"/>
      <c r="IY15" s="100"/>
      <c r="IZ15" s="100"/>
      <c r="JA15" s="100"/>
      <c r="JB15" s="100"/>
      <c r="JC15" s="100"/>
      <c r="JD15" s="100"/>
      <c r="JE15" s="100"/>
      <c r="JF15" s="100"/>
      <c r="JG15" s="100"/>
      <c r="JH15" s="100"/>
      <c r="JI15" s="100"/>
      <c r="JJ15" s="100"/>
      <c r="JK15" s="100"/>
      <c r="JL15" s="100"/>
      <c r="JM15" s="100"/>
      <c r="JN15" s="100"/>
      <c r="JO15" s="100"/>
      <c r="JP15" s="100"/>
      <c r="JQ15" s="100"/>
      <c r="JR15" s="100"/>
      <c r="JS15" s="100"/>
      <c r="JT15" s="100"/>
      <c r="JU15" s="100"/>
      <c r="JV15" s="100"/>
      <c r="JW15" s="100"/>
      <c r="JX15" s="100"/>
      <c r="JY15" s="100"/>
      <c r="JZ15" s="100"/>
      <c r="KA15" s="100"/>
      <c r="KB15" s="100"/>
      <c r="KC15" s="100"/>
      <c r="KD15" s="100"/>
      <c r="KE15" s="100"/>
      <c r="KF15" s="100"/>
      <c r="KG15" s="100"/>
      <c r="KH15" s="100"/>
      <c r="KI15" s="100"/>
      <c r="KJ15" s="100"/>
    </row>
    <row r="16" spans="1:296" s="39" customFormat="1" x14ac:dyDescent="0.3">
      <c r="A16" s="71" t="str">
        <f>IF('[1]PRODUCTO NACIONAL'!A68&lt;&gt;"",'[1]PRODUCTO NACIONAL'!A68,"")</f>
        <v>M65</v>
      </c>
      <c r="B16" s="71" t="str">
        <f>IF('[1]PRODUCTO NACIONAL'!F68&lt;&gt;"",'[1]PRODUCTO NACIONAL'!F68,"")</f>
        <v>PUÑOS20 PEI|NEGRO AZABACHE Y MAS.</v>
      </c>
      <c r="C16" s="67">
        <f>L71</f>
        <v>0</v>
      </c>
      <c r="D16" s="107">
        <f>VLOOKUP(A16,'[1]PRODUCTO NACIONAL'!$A$4:$R$161,18,FALSE)</f>
        <v>0.23822303030303027</v>
      </c>
      <c r="E16" s="5">
        <f t="shared" si="0"/>
        <v>0</v>
      </c>
      <c r="F16" s="22"/>
      <c r="G16" s="5"/>
      <c r="H16"/>
      <c r="I16" s="28"/>
      <c r="K16" s="70"/>
      <c r="L16" s="75"/>
      <c r="M16" s="127"/>
      <c r="N16" s="77"/>
      <c r="O16" s="164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  <c r="CX16" s="100"/>
      <c r="CY16" s="100"/>
      <c r="CZ16" s="100"/>
      <c r="DA16" s="100"/>
      <c r="DB16" s="100"/>
      <c r="DC16" s="100"/>
      <c r="DD16" s="100"/>
      <c r="DE16" s="100"/>
      <c r="DF16" s="100"/>
      <c r="DG16" s="100"/>
      <c r="DH16" s="100"/>
      <c r="DI16" s="100"/>
      <c r="DJ16" s="100"/>
      <c r="DK16" s="100"/>
      <c r="DL16" s="100"/>
      <c r="DM16" s="100"/>
      <c r="DN16" s="100"/>
      <c r="DO16" s="100"/>
      <c r="DP16" s="100"/>
      <c r="DQ16" s="100"/>
      <c r="DR16" s="100"/>
      <c r="DS16" s="100"/>
      <c r="DT16" s="100"/>
      <c r="DU16" s="100"/>
      <c r="DV16" s="100"/>
      <c r="DW16" s="100"/>
      <c r="DX16" s="100"/>
      <c r="DY16" s="100"/>
      <c r="DZ16" s="100"/>
      <c r="EA16" s="100"/>
      <c r="EB16" s="100"/>
      <c r="EC16" s="100"/>
      <c r="ED16" s="100"/>
      <c r="EE16" s="100"/>
      <c r="EF16" s="100"/>
      <c r="EG16" s="100"/>
      <c r="EH16" s="100"/>
      <c r="EI16" s="100"/>
      <c r="EJ16" s="100"/>
      <c r="EK16" s="100"/>
      <c r="EL16" s="100"/>
      <c r="EM16" s="100"/>
      <c r="EN16" s="100"/>
      <c r="EO16" s="100"/>
      <c r="EP16" s="100"/>
      <c r="EQ16" s="100"/>
      <c r="ER16" s="100"/>
      <c r="ES16" s="100"/>
      <c r="ET16" s="100"/>
      <c r="EU16" s="100"/>
      <c r="EV16" s="100"/>
      <c r="EW16" s="100"/>
      <c r="EX16" s="100"/>
      <c r="EY16" s="100"/>
      <c r="EZ16" s="100"/>
      <c r="FA16" s="100"/>
      <c r="FB16" s="100"/>
      <c r="FC16" s="100"/>
      <c r="FD16" s="100"/>
      <c r="FE16" s="100"/>
      <c r="FF16" s="100"/>
      <c r="FG16" s="100"/>
      <c r="FH16" s="100"/>
      <c r="FI16" s="100"/>
      <c r="FJ16" s="100"/>
      <c r="FK16" s="100"/>
      <c r="FL16" s="100"/>
      <c r="FM16" s="100"/>
      <c r="FN16" s="100"/>
      <c r="FO16" s="100"/>
      <c r="FP16" s="100"/>
      <c r="FQ16" s="100"/>
      <c r="FR16" s="100"/>
      <c r="FS16" s="100"/>
      <c r="FT16" s="100"/>
      <c r="FU16" s="100"/>
      <c r="FV16" s="100"/>
      <c r="FW16" s="100"/>
      <c r="FX16" s="100"/>
      <c r="FY16" s="100"/>
      <c r="FZ16" s="100"/>
      <c r="GA16" s="100"/>
      <c r="GB16" s="100"/>
      <c r="GC16" s="100"/>
      <c r="GD16" s="100"/>
      <c r="GE16" s="100"/>
      <c r="GF16" s="100"/>
      <c r="GG16" s="100"/>
      <c r="GH16" s="100"/>
      <c r="GI16" s="100"/>
      <c r="GJ16" s="100"/>
      <c r="GK16" s="100"/>
      <c r="GL16" s="100"/>
      <c r="GM16" s="100"/>
      <c r="GN16" s="100"/>
      <c r="GO16" s="100"/>
      <c r="GP16" s="100"/>
      <c r="GQ16" s="100"/>
      <c r="GR16" s="100"/>
      <c r="GS16" s="100"/>
      <c r="GT16" s="100"/>
      <c r="GU16" s="100"/>
      <c r="GV16" s="100"/>
      <c r="GW16" s="100"/>
      <c r="GX16" s="100"/>
      <c r="GY16" s="100"/>
      <c r="GZ16" s="100"/>
      <c r="HA16" s="100"/>
      <c r="HB16" s="100"/>
      <c r="HC16" s="100"/>
      <c r="HD16" s="100"/>
      <c r="HE16" s="100"/>
      <c r="HF16" s="100"/>
      <c r="HG16" s="100"/>
      <c r="HH16" s="100"/>
      <c r="HI16" s="100"/>
      <c r="HJ16" s="100"/>
      <c r="HK16" s="100"/>
      <c r="HL16" s="100"/>
      <c r="HM16" s="100"/>
      <c r="HN16" s="100"/>
      <c r="HO16" s="100"/>
      <c r="HP16" s="100"/>
      <c r="HQ16" s="100"/>
      <c r="HR16" s="100"/>
      <c r="HS16" s="100"/>
      <c r="HT16" s="100"/>
      <c r="HU16" s="100"/>
      <c r="HV16" s="100"/>
      <c r="HW16" s="100"/>
      <c r="HX16" s="100"/>
      <c r="HY16" s="100"/>
      <c r="HZ16" s="100"/>
      <c r="IA16" s="100"/>
      <c r="IB16" s="100"/>
      <c r="IC16" s="100"/>
      <c r="ID16" s="100"/>
      <c r="IE16" s="100"/>
      <c r="IF16" s="100"/>
      <c r="IG16" s="100"/>
      <c r="IH16" s="100"/>
      <c r="II16" s="100"/>
      <c r="IJ16" s="100"/>
      <c r="IK16" s="100"/>
      <c r="IL16" s="100"/>
      <c r="IM16" s="100"/>
      <c r="IN16" s="100"/>
      <c r="IO16" s="100"/>
      <c r="IP16" s="100"/>
      <c r="IQ16" s="100"/>
      <c r="IR16" s="100"/>
      <c r="IS16" s="100"/>
      <c r="IT16" s="100"/>
      <c r="IU16" s="100"/>
      <c r="IV16" s="100"/>
      <c r="IW16" s="100"/>
      <c r="IX16" s="100"/>
      <c r="IY16" s="100"/>
      <c r="IZ16" s="100"/>
      <c r="JA16" s="100"/>
      <c r="JB16" s="100"/>
      <c r="JC16" s="100"/>
      <c r="JD16" s="100"/>
      <c r="JE16" s="100"/>
      <c r="JF16" s="100"/>
      <c r="JG16" s="100"/>
      <c r="JH16" s="100"/>
      <c r="JI16" s="100"/>
      <c r="JJ16" s="100"/>
      <c r="JK16" s="100"/>
      <c r="JL16" s="100"/>
      <c r="JM16" s="100"/>
      <c r="JN16" s="100"/>
      <c r="JO16" s="100"/>
      <c r="JP16" s="100"/>
      <c r="JQ16" s="100"/>
      <c r="JR16" s="100"/>
      <c r="JS16" s="100"/>
      <c r="JT16" s="100"/>
      <c r="JU16" s="100"/>
      <c r="JV16" s="100"/>
      <c r="JW16" s="100"/>
      <c r="JX16" s="100"/>
      <c r="JY16" s="100"/>
      <c r="JZ16" s="100"/>
      <c r="KA16" s="100"/>
      <c r="KB16" s="100"/>
      <c r="KC16" s="100"/>
      <c r="KD16" s="100"/>
      <c r="KE16" s="100"/>
      <c r="KF16" s="100"/>
      <c r="KG16" s="100"/>
      <c r="KH16" s="100"/>
      <c r="KI16" s="100"/>
      <c r="KJ16" s="100"/>
    </row>
    <row r="17" spans="1:296" s="39" customFormat="1" x14ac:dyDescent="0.3">
      <c r="A17" s="127"/>
      <c r="B17" s="129" t="str">
        <f>+M70</f>
        <v>ENVIOS</v>
      </c>
      <c r="C17" s="67">
        <f>M71</f>
        <v>0</v>
      </c>
      <c r="D17" s="127">
        <v>1</v>
      </c>
      <c r="E17" s="5">
        <f t="shared" si="0"/>
        <v>0</v>
      </c>
      <c r="F17" s="22"/>
      <c r="G17" s="5"/>
      <c r="H17"/>
      <c r="I17" s="28"/>
      <c r="K17" s="70"/>
      <c r="L17" s="75"/>
      <c r="M17" s="127"/>
      <c r="N17" s="77"/>
      <c r="O17" s="164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  <c r="DC17" s="100"/>
      <c r="DD17" s="100"/>
      <c r="DE17" s="100"/>
      <c r="DF17" s="100"/>
      <c r="DG17" s="100"/>
      <c r="DH17" s="100"/>
      <c r="DI17" s="100"/>
      <c r="DJ17" s="100"/>
      <c r="DK17" s="100"/>
      <c r="DL17" s="100"/>
      <c r="DM17" s="100"/>
      <c r="DN17" s="100"/>
      <c r="DO17" s="100"/>
      <c r="DP17" s="100"/>
      <c r="DQ17" s="100"/>
      <c r="DR17" s="100"/>
      <c r="DS17" s="100"/>
      <c r="DT17" s="100"/>
      <c r="DU17" s="100"/>
      <c r="DV17" s="100"/>
      <c r="DW17" s="100"/>
      <c r="DX17" s="100"/>
      <c r="DY17" s="100"/>
      <c r="DZ17" s="100"/>
      <c r="EA17" s="100"/>
      <c r="EB17" s="100"/>
      <c r="EC17" s="100"/>
      <c r="ED17" s="100"/>
      <c r="EE17" s="100"/>
      <c r="EF17" s="100"/>
      <c r="EG17" s="100"/>
      <c r="EH17" s="100"/>
      <c r="EI17" s="100"/>
      <c r="EJ17" s="100"/>
      <c r="EK17" s="100"/>
      <c r="EL17" s="100"/>
      <c r="EM17" s="100"/>
      <c r="EN17" s="100"/>
      <c r="EO17" s="100"/>
      <c r="EP17" s="100"/>
      <c r="EQ17" s="100"/>
      <c r="ER17" s="100"/>
      <c r="ES17" s="100"/>
      <c r="ET17" s="100"/>
      <c r="EU17" s="100"/>
      <c r="EV17" s="100"/>
      <c r="EW17" s="100"/>
      <c r="EX17" s="100"/>
      <c r="EY17" s="100"/>
      <c r="EZ17" s="100"/>
      <c r="FA17" s="100"/>
      <c r="FB17" s="100"/>
      <c r="FC17" s="100"/>
      <c r="FD17" s="100"/>
      <c r="FE17" s="100"/>
      <c r="FF17" s="100"/>
      <c r="FG17" s="100"/>
      <c r="FH17" s="100"/>
      <c r="FI17" s="100"/>
      <c r="FJ17" s="100"/>
      <c r="FK17" s="100"/>
      <c r="FL17" s="100"/>
      <c r="FM17" s="100"/>
      <c r="FN17" s="100"/>
      <c r="FO17" s="100"/>
      <c r="FP17" s="100"/>
      <c r="FQ17" s="100"/>
      <c r="FR17" s="100"/>
      <c r="FS17" s="100"/>
      <c r="FT17" s="100"/>
      <c r="FU17" s="100"/>
      <c r="FV17" s="100"/>
      <c r="FW17" s="100"/>
      <c r="FX17" s="100"/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0"/>
      <c r="GV17" s="100"/>
      <c r="GW17" s="100"/>
      <c r="GX17" s="100"/>
      <c r="GY17" s="100"/>
      <c r="GZ17" s="100"/>
      <c r="HA17" s="100"/>
      <c r="HB17" s="100"/>
      <c r="HC17" s="100"/>
      <c r="HD17" s="100"/>
      <c r="HE17" s="100"/>
      <c r="HF17" s="100"/>
      <c r="HG17" s="100"/>
      <c r="HH17" s="100"/>
      <c r="HI17" s="100"/>
      <c r="HJ17" s="100"/>
      <c r="HK17" s="100"/>
      <c r="HL17" s="100"/>
      <c r="HM17" s="100"/>
      <c r="HN17" s="100"/>
      <c r="HO17" s="100"/>
      <c r="HP17" s="100"/>
      <c r="HQ17" s="100"/>
      <c r="HR17" s="100"/>
      <c r="HS17" s="100"/>
      <c r="HT17" s="100"/>
      <c r="HU17" s="100"/>
      <c r="HV17" s="100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0"/>
      <c r="II17" s="100"/>
      <c r="IJ17" s="100"/>
      <c r="IK17" s="100"/>
      <c r="IL17" s="100"/>
      <c r="IM17" s="100"/>
      <c r="IN17" s="100"/>
      <c r="IO17" s="100"/>
      <c r="IP17" s="100"/>
      <c r="IQ17" s="100"/>
      <c r="IR17" s="100"/>
      <c r="IS17" s="100"/>
      <c r="IT17" s="100"/>
      <c r="IU17" s="100"/>
      <c r="IV17" s="100"/>
      <c r="IW17" s="100"/>
      <c r="IX17" s="100"/>
      <c r="IY17" s="100"/>
      <c r="IZ17" s="100"/>
      <c r="JA17" s="100"/>
      <c r="JB17" s="100"/>
      <c r="JC17" s="100"/>
      <c r="JD17" s="100"/>
      <c r="JE17" s="100"/>
      <c r="JF17" s="100"/>
      <c r="JG17" s="100"/>
      <c r="JH17" s="100"/>
      <c r="JI17" s="100"/>
      <c r="JJ17" s="100"/>
      <c r="JK17" s="100"/>
      <c r="JL17" s="100"/>
      <c r="JM17" s="100"/>
      <c r="JN17" s="100"/>
      <c r="JO17" s="100"/>
      <c r="JP17" s="100"/>
      <c r="JQ17" s="100"/>
      <c r="JR17" s="100"/>
      <c r="JS17" s="100"/>
      <c r="JT17" s="100"/>
      <c r="JU17" s="100"/>
      <c r="JV17" s="100"/>
      <c r="JW17" s="100"/>
      <c r="JX17" s="100"/>
      <c r="JY17" s="100"/>
      <c r="JZ17" s="100"/>
      <c r="KA17" s="100"/>
      <c r="KB17" s="100"/>
      <c r="KC17" s="100"/>
      <c r="KD17" s="100"/>
      <c r="KE17" s="100"/>
      <c r="KF17" s="100"/>
      <c r="KG17" s="100"/>
      <c r="KH17" s="100"/>
      <c r="KI17" s="100"/>
      <c r="KJ17" s="100"/>
    </row>
    <row r="18" spans="1:296" s="5" customFormat="1" x14ac:dyDescent="0.3">
      <c r="A18" s="71" t="str">
        <f>IF('[1]PRODUCTO NACIONAL'!A76&lt;&gt;"",'[1]PRODUCTO NACIONAL'!A76,"")</f>
        <v>M73</v>
      </c>
      <c r="B18" s="71" t="str">
        <f>IF('[1]PRODUCTO NACIONAL'!F76&lt;&gt;"",'[1]PRODUCTO NACIONAL'!F76,"")</f>
        <v>CINTA REFLECTIVA DE 3cm de anchox1m</v>
      </c>
      <c r="C18" s="67">
        <f>N71</f>
        <v>0</v>
      </c>
      <c r="D18" s="107">
        <f>VLOOKUP(A18,'[1]PRODUCTO NACIONAL'!$A$4:$R$161,18,FALSE)</f>
        <v>1.3999945</v>
      </c>
      <c r="E18" s="5">
        <f t="shared" si="0"/>
        <v>0</v>
      </c>
      <c r="F18" s="22"/>
      <c r="H18"/>
      <c r="I18" s="28"/>
      <c r="J18" s="39"/>
      <c r="K18" s="70"/>
      <c r="L18" s="75"/>
      <c r="M18" s="127"/>
      <c r="N18" s="77"/>
      <c r="O18" s="165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  <c r="DM18" s="116"/>
      <c r="DN18" s="116"/>
      <c r="DO18" s="116"/>
      <c r="DP18" s="116"/>
      <c r="DQ18" s="116"/>
      <c r="DR18" s="116"/>
      <c r="DS18" s="116"/>
      <c r="DT18" s="116"/>
      <c r="DU18" s="116"/>
      <c r="DV18" s="116"/>
      <c r="DW18" s="116"/>
      <c r="DX18" s="116"/>
      <c r="DY18" s="116"/>
      <c r="DZ18" s="116"/>
      <c r="EA18" s="116"/>
      <c r="EB18" s="116"/>
      <c r="EC18" s="116"/>
      <c r="ED18" s="116"/>
      <c r="EE18" s="116"/>
      <c r="EF18" s="116"/>
      <c r="EG18" s="116"/>
      <c r="EH18" s="116"/>
      <c r="EI18" s="116"/>
      <c r="EJ18" s="116"/>
      <c r="EK18" s="116"/>
      <c r="EL18" s="116"/>
      <c r="EM18" s="116"/>
      <c r="EN18" s="116"/>
      <c r="EO18" s="116"/>
      <c r="EP18" s="116"/>
      <c r="EQ18" s="116"/>
      <c r="ER18" s="116"/>
      <c r="ES18" s="116"/>
      <c r="ET18" s="116"/>
      <c r="EU18" s="116"/>
      <c r="EV18" s="116"/>
      <c r="EW18" s="116"/>
      <c r="EX18" s="116"/>
      <c r="EY18" s="116"/>
      <c r="EZ18" s="116"/>
      <c r="FA18" s="116"/>
      <c r="FB18" s="116"/>
      <c r="FC18" s="116"/>
      <c r="FD18" s="116"/>
      <c r="FE18" s="116"/>
      <c r="FF18" s="116"/>
      <c r="FG18" s="116"/>
      <c r="FH18" s="116"/>
      <c r="FI18" s="116"/>
      <c r="FJ18" s="116"/>
      <c r="FK18" s="116"/>
      <c r="FL18" s="116"/>
      <c r="FM18" s="116"/>
      <c r="FN18" s="116"/>
      <c r="FO18" s="116"/>
      <c r="FP18" s="116"/>
      <c r="FQ18" s="116"/>
      <c r="FR18" s="116"/>
      <c r="FS18" s="116"/>
      <c r="FT18" s="116"/>
      <c r="FU18" s="116"/>
      <c r="FV18" s="116"/>
      <c r="FW18" s="116"/>
      <c r="FX18" s="116"/>
      <c r="FY18" s="116"/>
      <c r="FZ18" s="116"/>
      <c r="GA18" s="116"/>
      <c r="GB18" s="116"/>
      <c r="GC18" s="116"/>
      <c r="GD18" s="116"/>
      <c r="GE18" s="116"/>
      <c r="GF18" s="116"/>
      <c r="GG18" s="116"/>
      <c r="GH18" s="116"/>
      <c r="GI18" s="116"/>
      <c r="GJ18" s="116"/>
      <c r="GK18" s="116"/>
      <c r="GL18" s="116"/>
      <c r="GM18" s="116"/>
      <c r="GN18" s="116"/>
      <c r="GO18" s="116"/>
      <c r="GP18" s="116"/>
      <c r="GQ18" s="116"/>
      <c r="GR18" s="116"/>
      <c r="GS18" s="116"/>
      <c r="GT18" s="116"/>
      <c r="GU18" s="116"/>
      <c r="GV18" s="116"/>
      <c r="GW18" s="116"/>
      <c r="GX18" s="116"/>
      <c r="GY18" s="116"/>
      <c r="GZ18" s="116"/>
      <c r="HA18" s="116"/>
      <c r="HB18" s="116"/>
      <c r="HC18" s="116"/>
      <c r="HD18" s="116"/>
      <c r="HE18" s="116"/>
      <c r="HF18" s="116"/>
      <c r="HG18" s="116"/>
      <c r="HH18" s="116"/>
      <c r="HI18" s="116"/>
      <c r="HJ18" s="116"/>
      <c r="HK18" s="116"/>
      <c r="HL18" s="116"/>
      <c r="HM18" s="116"/>
      <c r="HN18" s="116"/>
      <c r="HO18" s="116"/>
      <c r="HP18" s="116"/>
      <c r="HQ18" s="116"/>
      <c r="HR18" s="116"/>
      <c r="HS18" s="116"/>
      <c r="HT18" s="116"/>
      <c r="HU18" s="116"/>
      <c r="HV18" s="116"/>
      <c r="HW18" s="116"/>
      <c r="HX18" s="116"/>
      <c r="HY18" s="116"/>
      <c r="HZ18" s="116"/>
      <c r="IA18" s="116"/>
      <c r="IB18" s="116"/>
      <c r="IC18" s="116"/>
      <c r="ID18" s="116"/>
      <c r="IE18" s="116"/>
      <c r="IF18" s="116"/>
      <c r="IG18" s="116"/>
      <c r="IH18" s="116"/>
      <c r="II18" s="116"/>
      <c r="IJ18" s="116"/>
      <c r="IK18" s="116"/>
      <c r="IL18" s="116"/>
      <c r="IM18" s="116"/>
      <c r="IN18" s="116"/>
      <c r="IO18" s="116"/>
      <c r="IP18" s="116"/>
      <c r="IQ18" s="116"/>
      <c r="IR18" s="116"/>
      <c r="IS18" s="116"/>
      <c r="IT18" s="116"/>
      <c r="IU18" s="116"/>
      <c r="IV18" s="116"/>
      <c r="IW18" s="116"/>
      <c r="IX18" s="116"/>
      <c r="IY18" s="116"/>
      <c r="IZ18" s="116"/>
      <c r="JA18" s="116"/>
      <c r="JB18" s="116"/>
      <c r="JC18" s="116"/>
      <c r="JD18" s="116"/>
      <c r="JE18" s="116"/>
      <c r="JF18" s="116"/>
      <c r="JG18" s="116"/>
      <c r="JH18" s="116"/>
      <c r="JI18" s="116"/>
      <c r="JJ18" s="116"/>
      <c r="JK18" s="116"/>
      <c r="JL18" s="116"/>
      <c r="JM18" s="116"/>
      <c r="JN18" s="116"/>
      <c r="JO18" s="116"/>
      <c r="JP18" s="116"/>
      <c r="JQ18" s="116"/>
      <c r="JR18" s="116"/>
      <c r="JS18" s="116"/>
      <c r="JT18" s="116"/>
      <c r="JU18" s="116"/>
      <c r="JV18" s="116"/>
      <c r="JW18" s="116"/>
      <c r="JX18" s="116"/>
      <c r="JY18" s="116"/>
      <c r="JZ18" s="116"/>
      <c r="KA18" s="116"/>
      <c r="KB18" s="116"/>
      <c r="KC18" s="116"/>
      <c r="KD18" s="116"/>
      <c r="KE18" s="116"/>
      <c r="KF18" s="116"/>
      <c r="KG18" s="116"/>
      <c r="KH18" s="116"/>
      <c r="KI18" s="116"/>
      <c r="KJ18" s="116"/>
    </row>
    <row r="19" spans="1:296" s="5" customFormat="1" x14ac:dyDescent="0.3">
      <c r="A19" s="71" t="str">
        <f>IF('[1]PRODUCTO NACIONAL'!A28&lt;&gt;"",'[1]PRODUCTO NACIONAL'!A28,"")</f>
        <v>M25</v>
      </c>
      <c r="B19" s="72" t="str">
        <f>VLOOKUP(A19,'[1]PRODUCTO NACIONAL'!$A$4:$R$161,6,FALSE)</f>
        <v>ALGODÓN ARUBA PEI AZUL MARINO| COLORES| BLANCO</v>
      </c>
      <c r="C19" s="73">
        <f>IFERROR(HLOOKUP(A19,[4]dimensiones_pdfs!$C$3:$Z$5,3,FALSE),0)</f>
        <v>0</v>
      </c>
      <c r="D19" s="107">
        <f>VLOOKUP(A19,'[1]PRODUCTO NACIONAL'!$A$4:$R$161,18,FALSE)</f>
        <v>4.8341953441295544</v>
      </c>
      <c r="E19" s="5">
        <f t="shared" si="0"/>
        <v>0</v>
      </c>
      <c r="F19" s="22"/>
      <c r="H19"/>
      <c r="I19" s="28"/>
      <c r="J19" s="39"/>
      <c r="K19" s="70"/>
      <c r="L19" s="75"/>
      <c r="M19" s="127"/>
      <c r="N19" s="77"/>
      <c r="O19" s="165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  <c r="DA19" s="116"/>
      <c r="DB19" s="116"/>
      <c r="DC19" s="116"/>
      <c r="DD19" s="116"/>
      <c r="DE19" s="116"/>
      <c r="DF19" s="116"/>
      <c r="DG19" s="116"/>
      <c r="DH19" s="116"/>
      <c r="DI19" s="116"/>
      <c r="DJ19" s="116"/>
      <c r="DK19" s="116"/>
      <c r="DL19" s="116"/>
      <c r="DM19" s="116"/>
      <c r="DN19" s="116"/>
      <c r="DO19" s="116"/>
      <c r="DP19" s="116"/>
      <c r="DQ19" s="116"/>
      <c r="DR19" s="116"/>
      <c r="DS19" s="116"/>
      <c r="DT19" s="116"/>
      <c r="DU19" s="116"/>
      <c r="DV19" s="116"/>
      <c r="DW19" s="116"/>
      <c r="DX19" s="116"/>
      <c r="DY19" s="116"/>
      <c r="DZ19" s="116"/>
      <c r="EA19" s="116"/>
      <c r="EB19" s="116"/>
      <c r="EC19" s="116"/>
      <c r="ED19" s="116"/>
      <c r="EE19" s="116"/>
      <c r="EF19" s="116"/>
      <c r="EG19" s="116"/>
      <c r="EH19" s="116"/>
      <c r="EI19" s="116"/>
      <c r="EJ19" s="116"/>
      <c r="EK19" s="116"/>
      <c r="EL19" s="116"/>
      <c r="EM19" s="116"/>
      <c r="EN19" s="116"/>
      <c r="EO19" s="116"/>
      <c r="EP19" s="116"/>
      <c r="EQ19" s="116"/>
      <c r="ER19" s="116"/>
      <c r="ES19" s="116"/>
      <c r="ET19" s="116"/>
      <c r="EU19" s="116"/>
      <c r="EV19" s="116"/>
      <c r="EW19" s="116"/>
      <c r="EX19" s="116"/>
      <c r="EY19" s="116"/>
      <c r="EZ19" s="116"/>
      <c r="FA19" s="116"/>
      <c r="FB19" s="116"/>
      <c r="FC19" s="116"/>
      <c r="FD19" s="116"/>
      <c r="FE19" s="116"/>
      <c r="FF19" s="116"/>
      <c r="FG19" s="116"/>
      <c r="FH19" s="116"/>
      <c r="FI19" s="116"/>
      <c r="FJ19" s="116"/>
      <c r="FK19" s="116"/>
      <c r="FL19" s="116"/>
      <c r="FM19" s="116"/>
      <c r="FN19" s="116"/>
      <c r="FO19" s="116"/>
      <c r="FP19" s="116"/>
      <c r="FQ19" s="116"/>
      <c r="FR19" s="116"/>
      <c r="FS19" s="116"/>
      <c r="FT19" s="116"/>
      <c r="FU19" s="116"/>
      <c r="FV19" s="116"/>
      <c r="FW19" s="116"/>
      <c r="FX19" s="116"/>
      <c r="FY19" s="116"/>
      <c r="FZ19" s="116"/>
      <c r="GA19" s="116"/>
      <c r="GB19" s="116"/>
      <c r="GC19" s="116"/>
      <c r="GD19" s="116"/>
      <c r="GE19" s="116"/>
      <c r="GF19" s="116"/>
      <c r="GG19" s="116"/>
      <c r="GH19" s="116"/>
      <c r="GI19" s="116"/>
      <c r="GJ19" s="116"/>
      <c r="GK19" s="116"/>
      <c r="GL19" s="116"/>
      <c r="GM19" s="116"/>
      <c r="GN19" s="116"/>
      <c r="GO19" s="116"/>
      <c r="GP19" s="116"/>
      <c r="GQ19" s="116"/>
      <c r="GR19" s="116"/>
      <c r="GS19" s="116"/>
      <c r="GT19" s="116"/>
      <c r="GU19" s="116"/>
      <c r="GV19" s="116"/>
      <c r="GW19" s="116"/>
      <c r="GX19" s="116"/>
      <c r="GY19" s="116"/>
      <c r="GZ19" s="116"/>
      <c r="HA19" s="116"/>
      <c r="HB19" s="116"/>
      <c r="HC19" s="116"/>
      <c r="HD19" s="116"/>
      <c r="HE19" s="116"/>
      <c r="HF19" s="116"/>
      <c r="HG19" s="116"/>
      <c r="HH19" s="116"/>
      <c r="HI19" s="116"/>
      <c r="HJ19" s="116"/>
      <c r="HK19" s="116"/>
      <c r="HL19" s="116"/>
      <c r="HM19" s="116"/>
      <c r="HN19" s="116"/>
      <c r="HO19" s="116"/>
      <c r="HP19" s="116"/>
      <c r="HQ19" s="116"/>
      <c r="HR19" s="116"/>
      <c r="HS19" s="116"/>
      <c r="HT19" s="116"/>
      <c r="HU19" s="116"/>
      <c r="HV19" s="116"/>
      <c r="HW19" s="116"/>
      <c r="HX19" s="116"/>
      <c r="HY19" s="116"/>
      <c r="HZ19" s="116"/>
      <c r="IA19" s="116"/>
      <c r="IB19" s="116"/>
      <c r="IC19" s="116"/>
      <c r="ID19" s="116"/>
      <c r="IE19" s="116"/>
      <c r="IF19" s="116"/>
      <c r="IG19" s="116"/>
      <c r="IH19" s="116"/>
      <c r="II19" s="116"/>
      <c r="IJ19" s="116"/>
      <c r="IK19" s="116"/>
      <c r="IL19" s="116"/>
      <c r="IM19" s="116"/>
      <c r="IN19" s="116"/>
      <c r="IO19" s="116"/>
      <c r="IP19" s="116"/>
      <c r="IQ19" s="116"/>
      <c r="IR19" s="116"/>
      <c r="IS19" s="116"/>
      <c r="IT19" s="116"/>
      <c r="IU19" s="116"/>
      <c r="IV19" s="116"/>
      <c r="IW19" s="116"/>
      <c r="IX19" s="116"/>
      <c r="IY19" s="116"/>
      <c r="IZ19" s="116"/>
      <c r="JA19" s="116"/>
      <c r="JB19" s="116"/>
      <c r="JC19" s="116"/>
      <c r="JD19" s="116"/>
      <c r="JE19" s="116"/>
      <c r="JF19" s="116"/>
      <c r="JG19" s="116"/>
      <c r="JH19" s="116"/>
      <c r="JI19" s="116"/>
      <c r="JJ19" s="116"/>
      <c r="JK19" s="116"/>
      <c r="JL19" s="116"/>
      <c r="JM19" s="116"/>
      <c r="JN19" s="116"/>
      <c r="JO19" s="116"/>
      <c r="JP19" s="116"/>
      <c r="JQ19" s="116"/>
      <c r="JR19" s="116"/>
      <c r="JS19" s="116"/>
      <c r="JT19" s="116"/>
      <c r="JU19" s="116"/>
      <c r="JV19" s="116"/>
      <c r="JW19" s="116"/>
      <c r="JX19" s="116"/>
      <c r="JY19" s="116"/>
      <c r="JZ19" s="116"/>
      <c r="KA19" s="116"/>
      <c r="KB19" s="116"/>
      <c r="KC19" s="116"/>
      <c r="KD19" s="116"/>
      <c r="KE19" s="116"/>
      <c r="KF19" s="116"/>
      <c r="KG19" s="116"/>
      <c r="KH19" s="116"/>
      <c r="KI19" s="116"/>
      <c r="KJ19" s="116"/>
    </row>
    <row r="20" spans="1:296" s="5" customFormat="1" x14ac:dyDescent="0.3">
      <c r="A20" s="71" t="s">
        <v>104</v>
      </c>
      <c r="B20" s="72" t="str">
        <f>VLOOKUP(A20,'[1]PRODUCTO NACIONAL'!$A$4:$R$161,6,FALSE)</f>
        <v>INTERLOCK 40 SPUN 1.2 BLANCO FROZEN</v>
      </c>
      <c r="C20" s="73">
        <f>IFERROR(HLOOKUP(A20,[4]dimensiones_pdfs!$C$3:$Z$5,3,FALSE),0)</f>
        <v>0</v>
      </c>
      <c r="D20" s="107">
        <f>VLOOKUP(A20,'[1]PRODUCTO NACIONAL'!$A$4:$R$161,18,FALSE)</f>
        <v>4.2071436915887848</v>
      </c>
      <c r="E20" s="5">
        <f t="shared" si="0"/>
        <v>0</v>
      </c>
      <c r="F20" s="22"/>
      <c r="H20"/>
      <c r="I20" s="28"/>
      <c r="J20" s="39"/>
      <c r="K20" s="70"/>
      <c r="L20" s="75"/>
      <c r="M20" s="127"/>
      <c r="N20" s="77"/>
      <c r="O20" s="165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6"/>
      <c r="DU20" s="116"/>
      <c r="DV20" s="116"/>
      <c r="DW20" s="116"/>
      <c r="DX20" s="116"/>
      <c r="DY20" s="116"/>
      <c r="DZ20" s="116"/>
      <c r="EA20" s="116"/>
      <c r="EB20" s="116"/>
      <c r="EC20" s="116"/>
      <c r="ED20" s="116"/>
      <c r="EE20" s="116"/>
      <c r="EF20" s="116"/>
      <c r="EG20" s="116"/>
      <c r="EH20" s="116"/>
      <c r="EI20" s="116"/>
      <c r="EJ20" s="116"/>
      <c r="EK20" s="116"/>
      <c r="EL20" s="116"/>
      <c r="EM20" s="116"/>
      <c r="EN20" s="116"/>
      <c r="EO20" s="116"/>
      <c r="EP20" s="116"/>
      <c r="EQ20" s="116"/>
      <c r="ER20" s="116"/>
      <c r="ES20" s="116"/>
      <c r="ET20" s="116"/>
      <c r="EU20" s="116"/>
      <c r="EV20" s="116"/>
      <c r="EW20" s="116"/>
      <c r="EX20" s="116"/>
      <c r="EY20" s="116"/>
      <c r="EZ20" s="116"/>
      <c r="FA20" s="116"/>
      <c r="FB20" s="116"/>
      <c r="FC20" s="116"/>
      <c r="FD20" s="116"/>
      <c r="FE20" s="116"/>
      <c r="FF20" s="116"/>
      <c r="FG20" s="116"/>
      <c r="FH20" s="116"/>
      <c r="FI20" s="116"/>
      <c r="FJ20" s="116"/>
      <c r="FK20" s="116"/>
      <c r="FL20" s="116"/>
      <c r="FM20" s="116"/>
      <c r="FN20" s="116"/>
      <c r="FO20" s="116"/>
      <c r="FP20" s="116"/>
      <c r="FQ20" s="116"/>
      <c r="FR20" s="116"/>
      <c r="FS20" s="116"/>
      <c r="FT20" s="116"/>
      <c r="FU20" s="116"/>
      <c r="FV20" s="116"/>
      <c r="FW20" s="116"/>
      <c r="FX20" s="116"/>
      <c r="FY20" s="116"/>
      <c r="FZ20" s="116"/>
      <c r="GA20" s="116"/>
      <c r="GB20" s="116"/>
      <c r="GC20" s="116"/>
      <c r="GD20" s="116"/>
      <c r="GE20" s="116"/>
      <c r="GF20" s="116"/>
      <c r="GG20" s="116"/>
      <c r="GH20" s="116"/>
      <c r="GI20" s="116"/>
      <c r="GJ20" s="116"/>
      <c r="GK20" s="116"/>
      <c r="GL20" s="116"/>
      <c r="GM20" s="116"/>
      <c r="GN20" s="116"/>
      <c r="GO20" s="116"/>
      <c r="GP20" s="116"/>
      <c r="GQ20" s="116"/>
      <c r="GR20" s="116"/>
      <c r="GS20" s="116"/>
      <c r="GT20" s="116"/>
      <c r="GU20" s="116"/>
      <c r="GV20" s="116"/>
      <c r="GW20" s="116"/>
      <c r="GX20" s="116"/>
      <c r="GY20" s="116"/>
      <c r="GZ20" s="116"/>
      <c r="HA20" s="116"/>
      <c r="HB20" s="116"/>
      <c r="HC20" s="116"/>
      <c r="HD20" s="116"/>
      <c r="HE20" s="116"/>
      <c r="HF20" s="116"/>
      <c r="HG20" s="116"/>
      <c r="HH20" s="116"/>
      <c r="HI20" s="116"/>
      <c r="HJ20" s="116"/>
      <c r="HK20" s="116"/>
      <c r="HL20" s="116"/>
      <c r="HM20" s="116"/>
      <c r="HN20" s="116"/>
      <c r="HO20" s="116"/>
      <c r="HP20" s="116"/>
      <c r="HQ20" s="116"/>
      <c r="HR20" s="116"/>
      <c r="HS20" s="116"/>
      <c r="HT20" s="116"/>
      <c r="HU20" s="116"/>
      <c r="HV20" s="116"/>
      <c r="HW20" s="116"/>
      <c r="HX20" s="116"/>
      <c r="HY20" s="116"/>
      <c r="HZ20" s="116"/>
      <c r="IA20" s="116"/>
      <c r="IB20" s="116"/>
      <c r="IC20" s="116"/>
      <c r="ID20" s="116"/>
      <c r="IE20" s="116"/>
      <c r="IF20" s="116"/>
      <c r="IG20" s="116"/>
      <c r="IH20" s="116"/>
      <c r="II20" s="116"/>
      <c r="IJ20" s="116"/>
      <c r="IK20" s="116"/>
      <c r="IL20" s="116"/>
      <c r="IM20" s="116"/>
      <c r="IN20" s="116"/>
      <c r="IO20" s="116"/>
      <c r="IP20" s="116"/>
      <c r="IQ20" s="116"/>
      <c r="IR20" s="116"/>
      <c r="IS20" s="116"/>
      <c r="IT20" s="116"/>
      <c r="IU20" s="116"/>
      <c r="IV20" s="116"/>
      <c r="IW20" s="116"/>
      <c r="IX20" s="116"/>
      <c r="IY20" s="116"/>
      <c r="IZ20" s="116"/>
      <c r="JA20" s="116"/>
      <c r="JB20" s="116"/>
      <c r="JC20" s="116"/>
      <c r="JD20" s="116"/>
      <c r="JE20" s="116"/>
      <c r="JF20" s="116"/>
      <c r="JG20" s="116"/>
      <c r="JH20" s="116"/>
      <c r="JI20" s="116"/>
      <c r="JJ20" s="116"/>
      <c r="JK20" s="116"/>
      <c r="JL20" s="116"/>
      <c r="JM20" s="116"/>
      <c r="JN20" s="116"/>
      <c r="JO20" s="116"/>
      <c r="JP20" s="116"/>
      <c r="JQ20" s="116"/>
      <c r="JR20" s="116"/>
      <c r="JS20" s="116"/>
      <c r="JT20" s="116"/>
      <c r="JU20" s="116"/>
      <c r="JV20" s="116"/>
      <c r="JW20" s="116"/>
      <c r="JX20" s="116"/>
      <c r="JY20" s="116"/>
      <c r="JZ20" s="116"/>
      <c r="KA20" s="116"/>
      <c r="KB20" s="116"/>
      <c r="KC20" s="116"/>
      <c r="KD20" s="116"/>
      <c r="KE20" s="116"/>
      <c r="KF20" s="116"/>
      <c r="KG20" s="116"/>
      <c r="KH20" s="116"/>
      <c r="KI20" s="116"/>
      <c r="KJ20" s="116"/>
    </row>
    <row r="21" spans="1:296" s="5" customFormat="1" x14ac:dyDescent="0.3">
      <c r="A21" s="71" t="str">
        <f>IF('[1]PRODUCTO NACIONAL'!A61&lt;&gt;"",'[1]PRODUCTO NACIONAL'!A61,"")</f>
        <v>M58</v>
      </c>
      <c r="B21" s="72" t="str">
        <f>VLOOKUP(A21,'[1]PRODUCTO NACIONAL'!$A$4:$R$161,6,FALSE)</f>
        <v>PIKE LACOAST 20 PEI CELESTE| CLARO</v>
      </c>
      <c r="C21" s="73">
        <f>IFERROR(HLOOKUP(A21,[4]dimensiones_pdfs!$C$3:$Z$5,3,FALSE),0)</f>
        <v>0</v>
      </c>
      <c r="D21" s="107">
        <f>VLOOKUP(A21,'[1]PRODUCTO NACIONAL'!$A$4:$R$161,18,FALSE)</f>
        <v>4.9711999999999987</v>
      </c>
      <c r="E21" s="5">
        <f t="shared" si="0"/>
        <v>0</v>
      </c>
      <c r="F21" s="22"/>
      <c r="H21"/>
      <c r="I21" s="28"/>
      <c r="J21" s="39"/>
      <c r="K21" s="70"/>
      <c r="L21" s="75"/>
      <c r="M21" s="127"/>
      <c r="N21" s="77"/>
      <c r="O21" s="165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  <c r="DM21" s="116"/>
      <c r="DN21" s="116"/>
      <c r="DO21" s="116"/>
      <c r="DP21" s="116"/>
      <c r="DQ21" s="116"/>
      <c r="DR21" s="116"/>
      <c r="DS21" s="116"/>
      <c r="DT21" s="116"/>
      <c r="DU21" s="116"/>
      <c r="DV21" s="116"/>
      <c r="DW21" s="116"/>
      <c r="DX21" s="116"/>
      <c r="DY21" s="116"/>
      <c r="DZ21" s="116"/>
      <c r="EA21" s="116"/>
      <c r="EB21" s="116"/>
      <c r="EC21" s="116"/>
      <c r="ED21" s="116"/>
      <c r="EE21" s="116"/>
      <c r="EF21" s="116"/>
      <c r="EG21" s="116"/>
      <c r="EH21" s="116"/>
      <c r="EI21" s="116"/>
      <c r="EJ21" s="116"/>
      <c r="EK21" s="116"/>
      <c r="EL21" s="116"/>
      <c r="EM21" s="116"/>
      <c r="EN21" s="116"/>
      <c r="EO21" s="116"/>
      <c r="EP21" s="116"/>
      <c r="EQ21" s="116"/>
      <c r="ER21" s="116"/>
      <c r="ES21" s="116"/>
      <c r="ET21" s="116"/>
      <c r="EU21" s="116"/>
      <c r="EV21" s="116"/>
      <c r="EW21" s="116"/>
      <c r="EX21" s="116"/>
      <c r="EY21" s="116"/>
      <c r="EZ21" s="116"/>
      <c r="FA21" s="116"/>
      <c r="FB21" s="116"/>
      <c r="FC21" s="116"/>
      <c r="FD21" s="116"/>
      <c r="FE21" s="116"/>
      <c r="FF21" s="116"/>
      <c r="FG21" s="116"/>
      <c r="FH21" s="116"/>
      <c r="FI21" s="116"/>
      <c r="FJ21" s="116"/>
      <c r="FK21" s="116"/>
      <c r="FL21" s="116"/>
      <c r="FM21" s="116"/>
      <c r="FN21" s="116"/>
      <c r="FO21" s="116"/>
      <c r="FP21" s="116"/>
      <c r="FQ21" s="116"/>
      <c r="FR21" s="116"/>
      <c r="FS21" s="116"/>
      <c r="FT21" s="116"/>
      <c r="FU21" s="116"/>
      <c r="FV21" s="116"/>
      <c r="FW21" s="116"/>
      <c r="FX21" s="116"/>
      <c r="FY21" s="116"/>
      <c r="FZ21" s="116"/>
      <c r="GA21" s="116"/>
      <c r="GB21" s="116"/>
      <c r="GC21" s="116"/>
      <c r="GD21" s="116"/>
      <c r="GE21" s="116"/>
      <c r="GF21" s="116"/>
      <c r="GG21" s="116"/>
      <c r="GH21" s="116"/>
      <c r="GI21" s="116"/>
      <c r="GJ21" s="116"/>
      <c r="GK21" s="116"/>
      <c r="GL21" s="116"/>
      <c r="GM21" s="116"/>
      <c r="GN21" s="116"/>
      <c r="GO21" s="116"/>
      <c r="GP21" s="116"/>
      <c r="GQ21" s="116"/>
      <c r="GR21" s="116"/>
      <c r="GS21" s="116"/>
      <c r="GT21" s="116"/>
      <c r="GU21" s="116"/>
      <c r="GV21" s="116"/>
      <c r="GW21" s="116"/>
      <c r="GX21" s="116"/>
      <c r="GY21" s="116"/>
      <c r="GZ21" s="116"/>
      <c r="HA21" s="116"/>
      <c r="HB21" s="116"/>
      <c r="HC21" s="116"/>
      <c r="HD21" s="116"/>
      <c r="HE21" s="116"/>
      <c r="HF21" s="116"/>
      <c r="HG21" s="116"/>
      <c r="HH21" s="116"/>
      <c r="HI21" s="116"/>
      <c r="HJ21" s="116"/>
      <c r="HK21" s="116"/>
      <c r="HL21" s="116"/>
      <c r="HM21" s="116"/>
      <c r="HN21" s="116"/>
      <c r="HO21" s="116"/>
      <c r="HP21" s="116"/>
      <c r="HQ21" s="116"/>
      <c r="HR21" s="116"/>
      <c r="HS21" s="116"/>
      <c r="HT21" s="116"/>
      <c r="HU21" s="116"/>
      <c r="HV21" s="116"/>
      <c r="HW21" s="116"/>
      <c r="HX21" s="116"/>
      <c r="HY21" s="116"/>
      <c r="HZ21" s="116"/>
      <c r="IA21" s="116"/>
      <c r="IB21" s="116"/>
      <c r="IC21" s="116"/>
      <c r="ID21" s="116"/>
      <c r="IE21" s="116"/>
      <c r="IF21" s="116"/>
      <c r="IG21" s="116"/>
      <c r="IH21" s="116"/>
      <c r="II21" s="116"/>
      <c r="IJ21" s="116"/>
      <c r="IK21" s="116"/>
      <c r="IL21" s="116"/>
      <c r="IM21" s="116"/>
      <c r="IN21" s="116"/>
      <c r="IO21" s="116"/>
      <c r="IP21" s="116"/>
      <c r="IQ21" s="116"/>
      <c r="IR21" s="116"/>
      <c r="IS21" s="116"/>
      <c r="IT21" s="116"/>
      <c r="IU21" s="116"/>
      <c r="IV21" s="116"/>
      <c r="IW21" s="116"/>
      <c r="IX21" s="116"/>
      <c r="IY21" s="116"/>
      <c r="IZ21" s="116"/>
      <c r="JA21" s="116"/>
      <c r="JB21" s="116"/>
      <c r="JC21" s="116"/>
      <c r="JD21" s="116"/>
      <c r="JE21" s="116"/>
      <c r="JF21" s="116"/>
      <c r="JG21" s="116"/>
      <c r="JH21" s="116"/>
      <c r="JI21" s="116"/>
      <c r="JJ21" s="116"/>
      <c r="JK21" s="116"/>
      <c r="JL21" s="116"/>
      <c r="JM21" s="116"/>
      <c r="JN21" s="116"/>
      <c r="JO21" s="116"/>
      <c r="JP21" s="116"/>
      <c r="JQ21" s="116"/>
      <c r="JR21" s="116"/>
      <c r="JS21" s="116"/>
      <c r="JT21" s="116"/>
      <c r="JU21" s="116"/>
      <c r="JV21" s="116"/>
      <c r="JW21" s="116"/>
      <c r="JX21" s="116"/>
      <c r="JY21" s="116"/>
      <c r="JZ21" s="116"/>
      <c r="KA21" s="116"/>
      <c r="KB21" s="116"/>
      <c r="KC21" s="116"/>
      <c r="KD21" s="116"/>
      <c r="KE21" s="116"/>
      <c r="KF21" s="116"/>
      <c r="KG21" s="116"/>
      <c r="KH21" s="116"/>
      <c r="KI21" s="116"/>
      <c r="KJ21" s="116"/>
    </row>
    <row r="22" spans="1:296" s="5" customFormat="1" x14ac:dyDescent="0.3">
      <c r="A22" s="71" t="str">
        <f>IF('[1]PRODUCTO NACIONAL'!A62&lt;&gt;"",'[1]PRODUCTO NACIONAL'!A62,"")</f>
        <v>M59</v>
      </c>
      <c r="B22" s="72" t="str">
        <f>VLOOKUP(A22,'[1]PRODUCTO NACIONAL'!$A$4:$R$161,6,FALSE)</f>
        <v>PIKE LACOAST 20 PEI AZUL MARINO| OSCURO</v>
      </c>
      <c r="C22" s="73">
        <f>IFERROR(HLOOKUP(A22,[4]dimensiones_pdfs!$C$3:$Z$5,3,FALSE),0)</f>
        <v>0</v>
      </c>
      <c r="D22" s="107">
        <f>VLOOKUP(A22,'[1]PRODUCTO NACIONAL'!$A$4:$R$161,18,FALSE)</f>
        <v>5.5618400000000001</v>
      </c>
      <c r="E22" s="5">
        <f t="shared" si="0"/>
        <v>0</v>
      </c>
      <c r="F22" s="7"/>
      <c r="H22"/>
      <c r="I22" s="28"/>
      <c r="J22" s="39"/>
      <c r="K22" s="70"/>
      <c r="L22" s="75"/>
      <c r="M22" s="127"/>
      <c r="N22" s="77"/>
      <c r="O22" s="165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  <c r="DT22" s="116"/>
      <c r="DU22" s="116"/>
      <c r="DV22" s="116"/>
      <c r="DW22" s="116"/>
      <c r="DX22" s="116"/>
      <c r="DY22" s="116"/>
      <c r="DZ22" s="116"/>
      <c r="EA22" s="116"/>
      <c r="EB22" s="116"/>
      <c r="EC22" s="116"/>
      <c r="ED22" s="116"/>
      <c r="EE22" s="116"/>
      <c r="EF22" s="116"/>
      <c r="EG22" s="116"/>
      <c r="EH22" s="116"/>
      <c r="EI22" s="116"/>
      <c r="EJ22" s="116"/>
      <c r="EK22" s="116"/>
      <c r="EL22" s="116"/>
      <c r="EM22" s="116"/>
      <c r="EN22" s="116"/>
      <c r="EO22" s="116"/>
      <c r="EP22" s="116"/>
      <c r="EQ22" s="116"/>
      <c r="ER22" s="116"/>
      <c r="ES22" s="116"/>
      <c r="ET22" s="116"/>
      <c r="EU22" s="116"/>
      <c r="EV22" s="116"/>
      <c r="EW22" s="116"/>
      <c r="EX22" s="116"/>
      <c r="EY22" s="116"/>
      <c r="EZ22" s="116"/>
      <c r="FA22" s="116"/>
      <c r="FB22" s="116"/>
      <c r="FC22" s="116"/>
      <c r="FD22" s="116"/>
      <c r="FE22" s="116"/>
      <c r="FF22" s="116"/>
      <c r="FG22" s="116"/>
      <c r="FH22" s="116"/>
      <c r="FI22" s="116"/>
      <c r="FJ22" s="116"/>
      <c r="FK22" s="116"/>
      <c r="FL22" s="116"/>
      <c r="FM22" s="116"/>
      <c r="FN22" s="116"/>
      <c r="FO22" s="116"/>
      <c r="FP22" s="116"/>
      <c r="FQ22" s="116"/>
      <c r="FR22" s="116"/>
      <c r="FS22" s="116"/>
      <c r="FT22" s="116"/>
      <c r="FU22" s="116"/>
      <c r="FV22" s="116"/>
      <c r="FW22" s="116"/>
      <c r="FX22" s="116"/>
      <c r="FY22" s="116"/>
      <c r="FZ22" s="116"/>
      <c r="GA22" s="116"/>
      <c r="GB22" s="116"/>
      <c r="GC22" s="116"/>
      <c r="GD22" s="116"/>
      <c r="GE22" s="116"/>
      <c r="GF22" s="116"/>
      <c r="GG22" s="116"/>
      <c r="GH22" s="116"/>
      <c r="GI22" s="116"/>
      <c r="GJ22" s="116"/>
      <c r="GK22" s="116"/>
      <c r="GL22" s="116"/>
      <c r="GM22" s="116"/>
      <c r="GN22" s="116"/>
      <c r="GO22" s="116"/>
      <c r="GP22" s="116"/>
      <c r="GQ22" s="116"/>
      <c r="GR22" s="116"/>
      <c r="GS22" s="116"/>
      <c r="GT22" s="116"/>
      <c r="GU22" s="116"/>
      <c r="GV22" s="116"/>
      <c r="GW22" s="116"/>
      <c r="GX22" s="116"/>
      <c r="GY22" s="116"/>
      <c r="GZ22" s="116"/>
      <c r="HA22" s="116"/>
      <c r="HB22" s="116"/>
      <c r="HC22" s="116"/>
      <c r="HD22" s="116"/>
      <c r="HE22" s="116"/>
      <c r="HF22" s="116"/>
      <c r="HG22" s="116"/>
      <c r="HH22" s="116"/>
      <c r="HI22" s="116"/>
      <c r="HJ22" s="116"/>
      <c r="HK22" s="116"/>
      <c r="HL22" s="116"/>
      <c r="HM22" s="116"/>
      <c r="HN22" s="116"/>
      <c r="HO22" s="116"/>
      <c r="HP22" s="116"/>
      <c r="HQ22" s="116"/>
      <c r="HR22" s="116"/>
      <c r="HS22" s="116"/>
      <c r="HT22" s="116"/>
      <c r="HU22" s="116"/>
      <c r="HV22" s="116"/>
      <c r="HW22" s="116"/>
      <c r="HX22" s="116"/>
      <c r="HY22" s="116"/>
      <c r="HZ22" s="116"/>
      <c r="IA22" s="116"/>
      <c r="IB22" s="116"/>
      <c r="IC22" s="116"/>
      <c r="ID22" s="116"/>
      <c r="IE22" s="116"/>
      <c r="IF22" s="116"/>
      <c r="IG22" s="116"/>
      <c r="IH22" s="116"/>
      <c r="II22" s="116"/>
      <c r="IJ22" s="116"/>
      <c r="IK22" s="116"/>
      <c r="IL22" s="116"/>
      <c r="IM22" s="116"/>
      <c r="IN22" s="116"/>
      <c r="IO22" s="116"/>
      <c r="IP22" s="116"/>
      <c r="IQ22" s="116"/>
      <c r="IR22" s="116"/>
      <c r="IS22" s="116"/>
      <c r="IT22" s="116"/>
      <c r="IU22" s="116"/>
      <c r="IV22" s="116"/>
      <c r="IW22" s="116"/>
      <c r="IX22" s="116"/>
      <c r="IY22" s="116"/>
      <c r="IZ22" s="116"/>
      <c r="JA22" s="116"/>
      <c r="JB22" s="116"/>
      <c r="JC22" s="116"/>
      <c r="JD22" s="116"/>
      <c r="JE22" s="116"/>
      <c r="JF22" s="116"/>
      <c r="JG22" s="116"/>
      <c r="JH22" s="116"/>
      <c r="JI22" s="116"/>
      <c r="JJ22" s="116"/>
      <c r="JK22" s="116"/>
      <c r="JL22" s="116"/>
      <c r="JM22" s="116"/>
      <c r="JN22" s="116"/>
      <c r="JO22" s="116"/>
      <c r="JP22" s="116"/>
      <c r="JQ22" s="116"/>
      <c r="JR22" s="116"/>
      <c r="JS22" s="116"/>
      <c r="JT22" s="116"/>
      <c r="JU22" s="116"/>
      <c r="JV22" s="116"/>
      <c r="JW22" s="116"/>
      <c r="JX22" s="116"/>
      <c r="JY22" s="116"/>
      <c r="JZ22" s="116"/>
      <c r="KA22" s="116"/>
      <c r="KB22" s="116"/>
      <c r="KC22" s="116"/>
      <c r="KD22" s="116"/>
      <c r="KE22" s="116"/>
      <c r="KF22" s="116"/>
      <c r="KG22" s="116"/>
      <c r="KH22" s="116"/>
      <c r="KI22" s="116"/>
      <c r="KJ22" s="116"/>
    </row>
    <row r="23" spans="1:296" s="5" customFormat="1" x14ac:dyDescent="0.3">
      <c r="A23" s="71" t="str">
        <f>IF('[1]PRODUCTO NACIONAL'!A21&lt;&gt;"",'[1]PRODUCTO NACIONAL'!A21,"")</f>
        <v>M18</v>
      </c>
      <c r="B23" s="72" t="str">
        <f>VLOOKUP(A23,'[1]PRODUCTO NACIONAL'!$A$4:$R$161,6,FALSE)</f>
        <v>RIBB 150TEX COLORES| POLIESTER</v>
      </c>
      <c r="C23" s="73">
        <f>IFERROR(HLOOKUP(A23,[4]dimensiones_pdfs!$C$3:$Z$5,3,FALSE),0)</f>
        <v>0.11478549164273061</v>
      </c>
      <c r="D23" s="107">
        <f>VLOOKUP(A23,'[1]PRODUCTO NACIONAL'!$A$4:$R$161,18,FALSE)</f>
        <v>2.1063822222222219</v>
      </c>
      <c r="E23" s="5">
        <f t="shared" si="0"/>
        <v>-0.24178211896528518</v>
      </c>
      <c r="F23" s="22"/>
      <c r="G23" s="15"/>
      <c r="H23"/>
      <c r="I23" s="28"/>
      <c r="J23" s="39"/>
      <c r="K23" s="70"/>
      <c r="L23" s="75"/>
      <c r="M23" s="127"/>
      <c r="N23" s="77"/>
      <c r="O23" s="165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  <c r="CF23" s="116"/>
      <c r="CG23" s="116"/>
      <c r="CH23" s="116"/>
      <c r="CI23" s="116"/>
      <c r="CJ23" s="116"/>
      <c r="CK23" s="116"/>
      <c r="CL23" s="116"/>
      <c r="CM23" s="116"/>
      <c r="CN23" s="116"/>
      <c r="CO23" s="116"/>
      <c r="CP23" s="116"/>
      <c r="CQ23" s="116"/>
      <c r="CR23" s="116"/>
      <c r="CS23" s="116"/>
      <c r="CT23" s="116"/>
      <c r="CU23" s="116"/>
      <c r="CV23" s="116"/>
      <c r="CW23" s="116"/>
      <c r="CX23" s="116"/>
      <c r="CY23" s="116"/>
      <c r="CZ23" s="116"/>
      <c r="DA23" s="116"/>
      <c r="DB23" s="116"/>
      <c r="DC23" s="116"/>
      <c r="DD23" s="116"/>
      <c r="DE23" s="116"/>
      <c r="DF23" s="116"/>
      <c r="DG23" s="116"/>
      <c r="DH23" s="116"/>
      <c r="DI23" s="116"/>
      <c r="DJ23" s="116"/>
      <c r="DK23" s="116"/>
      <c r="DL23" s="116"/>
      <c r="DM23" s="116"/>
      <c r="DN23" s="116"/>
      <c r="DO23" s="116"/>
      <c r="DP23" s="116"/>
      <c r="DQ23" s="116"/>
      <c r="DR23" s="116"/>
      <c r="DS23" s="116"/>
      <c r="DT23" s="116"/>
      <c r="DU23" s="116"/>
      <c r="DV23" s="116"/>
      <c r="DW23" s="116"/>
      <c r="DX23" s="116"/>
      <c r="DY23" s="116"/>
      <c r="DZ23" s="116"/>
      <c r="EA23" s="116"/>
      <c r="EB23" s="116"/>
      <c r="EC23" s="116"/>
      <c r="ED23" s="116"/>
      <c r="EE23" s="116"/>
      <c r="EF23" s="116"/>
      <c r="EG23" s="116"/>
      <c r="EH23" s="116"/>
      <c r="EI23" s="116"/>
      <c r="EJ23" s="116"/>
      <c r="EK23" s="116"/>
      <c r="EL23" s="116"/>
      <c r="EM23" s="116"/>
      <c r="EN23" s="116"/>
      <c r="EO23" s="116"/>
      <c r="EP23" s="116"/>
      <c r="EQ23" s="116"/>
      <c r="ER23" s="116"/>
      <c r="ES23" s="116"/>
      <c r="ET23" s="116"/>
      <c r="EU23" s="116"/>
      <c r="EV23" s="116"/>
      <c r="EW23" s="116"/>
      <c r="EX23" s="116"/>
      <c r="EY23" s="116"/>
      <c r="EZ23" s="116"/>
      <c r="FA23" s="116"/>
      <c r="FB23" s="116"/>
      <c r="FC23" s="116"/>
      <c r="FD23" s="116"/>
      <c r="FE23" s="116"/>
      <c r="FF23" s="116"/>
      <c r="FG23" s="116"/>
      <c r="FH23" s="116"/>
      <c r="FI23" s="116"/>
      <c r="FJ23" s="116"/>
      <c r="FK23" s="116"/>
      <c r="FL23" s="116"/>
      <c r="FM23" s="116"/>
      <c r="FN23" s="116"/>
      <c r="FO23" s="116"/>
      <c r="FP23" s="116"/>
      <c r="FQ23" s="116"/>
      <c r="FR23" s="116"/>
      <c r="FS23" s="116"/>
      <c r="FT23" s="116"/>
      <c r="FU23" s="116"/>
      <c r="FV23" s="116"/>
      <c r="FW23" s="116"/>
      <c r="FX23" s="116"/>
      <c r="FY23" s="116"/>
      <c r="FZ23" s="116"/>
      <c r="GA23" s="116"/>
      <c r="GB23" s="116"/>
      <c r="GC23" s="116"/>
      <c r="GD23" s="116"/>
      <c r="GE23" s="116"/>
      <c r="GF23" s="116"/>
      <c r="GG23" s="116"/>
      <c r="GH23" s="116"/>
      <c r="GI23" s="116"/>
      <c r="GJ23" s="116"/>
      <c r="GK23" s="116"/>
      <c r="GL23" s="116"/>
      <c r="GM23" s="116"/>
      <c r="GN23" s="116"/>
      <c r="GO23" s="116"/>
      <c r="GP23" s="116"/>
      <c r="GQ23" s="116"/>
      <c r="GR23" s="116"/>
      <c r="GS23" s="116"/>
      <c r="GT23" s="116"/>
      <c r="GU23" s="116"/>
      <c r="GV23" s="116"/>
      <c r="GW23" s="116"/>
      <c r="GX23" s="116"/>
      <c r="GY23" s="116"/>
      <c r="GZ23" s="116"/>
      <c r="HA23" s="116"/>
      <c r="HB23" s="116"/>
      <c r="HC23" s="116"/>
      <c r="HD23" s="116"/>
      <c r="HE23" s="116"/>
      <c r="HF23" s="116"/>
      <c r="HG23" s="116"/>
      <c r="HH23" s="116"/>
      <c r="HI23" s="116"/>
      <c r="HJ23" s="116"/>
      <c r="HK23" s="116"/>
      <c r="HL23" s="116"/>
      <c r="HM23" s="116"/>
      <c r="HN23" s="116"/>
      <c r="HO23" s="116"/>
      <c r="HP23" s="116"/>
      <c r="HQ23" s="116"/>
      <c r="HR23" s="116"/>
      <c r="HS23" s="116"/>
      <c r="HT23" s="116"/>
      <c r="HU23" s="116"/>
      <c r="HV23" s="116"/>
      <c r="HW23" s="116"/>
      <c r="HX23" s="116"/>
      <c r="HY23" s="116"/>
      <c r="HZ23" s="116"/>
      <c r="IA23" s="116"/>
      <c r="IB23" s="116"/>
      <c r="IC23" s="116"/>
      <c r="ID23" s="116"/>
      <c r="IE23" s="116"/>
      <c r="IF23" s="116"/>
      <c r="IG23" s="116"/>
      <c r="IH23" s="116"/>
      <c r="II23" s="116"/>
      <c r="IJ23" s="116"/>
      <c r="IK23" s="116"/>
      <c r="IL23" s="116"/>
      <c r="IM23" s="116"/>
      <c r="IN23" s="116"/>
      <c r="IO23" s="116"/>
      <c r="IP23" s="116"/>
      <c r="IQ23" s="116"/>
      <c r="IR23" s="116"/>
      <c r="IS23" s="116"/>
      <c r="IT23" s="116"/>
      <c r="IU23" s="116"/>
      <c r="IV23" s="116"/>
      <c r="IW23" s="116"/>
      <c r="IX23" s="116"/>
      <c r="IY23" s="116"/>
      <c r="IZ23" s="116"/>
      <c r="JA23" s="116"/>
      <c r="JB23" s="116"/>
      <c r="JC23" s="116"/>
      <c r="JD23" s="116"/>
      <c r="JE23" s="116"/>
      <c r="JF23" s="116"/>
      <c r="JG23" s="116"/>
      <c r="JH23" s="116"/>
      <c r="JI23" s="116"/>
      <c r="JJ23" s="116"/>
      <c r="JK23" s="116"/>
      <c r="JL23" s="116"/>
      <c r="JM23" s="116"/>
      <c r="JN23" s="116"/>
      <c r="JO23" s="116"/>
      <c r="JP23" s="116"/>
      <c r="JQ23" s="116"/>
      <c r="JR23" s="116"/>
      <c r="JS23" s="116"/>
      <c r="JT23" s="116"/>
      <c r="JU23" s="116"/>
      <c r="JV23" s="116"/>
      <c r="JW23" s="116"/>
      <c r="JX23" s="116"/>
      <c r="JY23" s="116"/>
      <c r="JZ23" s="116"/>
      <c r="KA23" s="116"/>
      <c r="KB23" s="116"/>
      <c r="KC23" s="116"/>
      <c r="KD23" s="116"/>
      <c r="KE23" s="116"/>
      <c r="KF23" s="116"/>
      <c r="KG23" s="116"/>
      <c r="KH23" s="116"/>
      <c r="KI23" s="116"/>
      <c r="KJ23" s="116"/>
    </row>
    <row r="24" spans="1:296" s="5" customFormat="1" x14ac:dyDescent="0.3">
      <c r="A24" s="71" t="str">
        <f>IF('[1]PRODUCTO NACIONAL'!A78&lt;&gt;"",'[1]PRODUCTO NACIONAL'!A78,"")</f>
        <v>M75</v>
      </c>
      <c r="B24" s="72" t="str">
        <f>VLOOKUP(A24,'[1]PRODUCTO NACIONAL'!$A$4:$R$161,6,FALSE)</f>
        <v>Ribb Lugano 100% POLIESTER</v>
      </c>
      <c r="C24" s="73">
        <f>IFERROR(HLOOKUP(A24,[4]dimensiones_pdfs!$C$3:$Z$5,3,FALSE),0)</f>
        <v>0</v>
      </c>
      <c r="D24" s="107">
        <f>VLOOKUP(A24,'[1]PRODUCTO NACIONAL'!$A$4:$R$161,18,FALSE)</f>
        <v>4.5377999999999989</v>
      </c>
      <c r="E24" s="5">
        <f t="shared" si="0"/>
        <v>0</v>
      </c>
      <c r="F24" s="22"/>
      <c r="H24"/>
      <c r="I24" s="28"/>
      <c r="J24" s="39"/>
      <c r="K24" s="70"/>
      <c r="L24" s="75"/>
      <c r="M24" s="127"/>
      <c r="N24" s="77"/>
      <c r="O24" s="165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  <c r="CF24" s="116"/>
      <c r="CG24" s="116"/>
      <c r="CH24" s="116"/>
      <c r="CI24" s="116"/>
      <c r="CJ24" s="116"/>
      <c r="CK24" s="116"/>
      <c r="CL24" s="11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  <c r="CY24" s="116"/>
      <c r="CZ24" s="116"/>
      <c r="DA24" s="116"/>
      <c r="DB24" s="116"/>
      <c r="DC24" s="116"/>
      <c r="DD24" s="116"/>
      <c r="DE24" s="116"/>
      <c r="DF24" s="116"/>
      <c r="DG24" s="116"/>
      <c r="DH24" s="116"/>
      <c r="DI24" s="116"/>
      <c r="DJ24" s="116"/>
      <c r="DK24" s="116"/>
      <c r="DL24" s="116"/>
      <c r="DM24" s="116"/>
      <c r="DN24" s="116"/>
      <c r="DO24" s="116"/>
      <c r="DP24" s="116"/>
      <c r="DQ24" s="116"/>
      <c r="DR24" s="116"/>
      <c r="DS24" s="116"/>
      <c r="DT24" s="116"/>
      <c r="DU24" s="116"/>
      <c r="DV24" s="116"/>
      <c r="DW24" s="116"/>
      <c r="DX24" s="116"/>
      <c r="DY24" s="116"/>
      <c r="DZ24" s="116"/>
      <c r="EA24" s="116"/>
      <c r="EB24" s="116"/>
      <c r="EC24" s="116"/>
      <c r="ED24" s="116"/>
      <c r="EE24" s="116"/>
      <c r="EF24" s="116"/>
      <c r="EG24" s="116"/>
      <c r="EH24" s="116"/>
      <c r="EI24" s="116"/>
      <c r="EJ24" s="116"/>
      <c r="EK24" s="116"/>
      <c r="EL24" s="116"/>
      <c r="EM24" s="116"/>
      <c r="EN24" s="116"/>
      <c r="EO24" s="116"/>
      <c r="EP24" s="116"/>
      <c r="EQ24" s="116"/>
      <c r="ER24" s="116"/>
      <c r="ES24" s="116"/>
      <c r="ET24" s="116"/>
      <c r="EU24" s="116"/>
      <c r="EV24" s="116"/>
      <c r="EW24" s="116"/>
      <c r="EX24" s="116"/>
      <c r="EY24" s="116"/>
      <c r="EZ24" s="116"/>
      <c r="FA24" s="116"/>
      <c r="FB24" s="116"/>
      <c r="FC24" s="116"/>
      <c r="FD24" s="116"/>
      <c r="FE24" s="116"/>
      <c r="FF24" s="116"/>
      <c r="FG24" s="116"/>
      <c r="FH24" s="116"/>
      <c r="FI24" s="116"/>
      <c r="FJ24" s="116"/>
      <c r="FK24" s="116"/>
      <c r="FL24" s="116"/>
      <c r="FM24" s="116"/>
      <c r="FN24" s="116"/>
      <c r="FO24" s="116"/>
      <c r="FP24" s="116"/>
      <c r="FQ24" s="116"/>
      <c r="FR24" s="116"/>
      <c r="FS24" s="116"/>
      <c r="FT24" s="116"/>
      <c r="FU24" s="116"/>
      <c r="FV24" s="116"/>
      <c r="FW24" s="116"/>
      <c r="FX24" s="116"/>
      <c r="FY24" s="116"/>
      <c r="FZ24" s="116"/>
      <c r="GA24" s="116"/>
      <c r="GB24" s="116"/>
      <c r="GC24" s="116"/>
      <c r="GD24" s="116"/>
      <c r="GE24" s="116"/>
      <c r="GF24" s="116"/>
      <c r="GG24" s="116"/>
      <c r="GH24" s="116"/>
      <c r="GI24" s="116"/>
      <c r="GJ24" s="116"/>
      <c r="GK24" s="116"/>
      <c r="GL24" s="116"/>
      <c r="GM24" s="116"/>
      <c r="GN24" s="116"/>
      <c r="GO24" s="116"/>
      <c r="GP24" s="116"/>
      <c r="GQ24" s="116"/>
      <c r="GR24" s="116"/>
      <c r="GS24" s="116"/>
      <c r="GT24" s="116"/>
      <c r="GU24" s="116"/>
      <c r="GV24" s="116"/>
      <c r="GW24" s="116"/>
      <c r="GX24" s="116"/>
      <c r="GY24" s="116"/>
      <c r="GZ24" s="116"/>
      <c r="HA24" s="116"/>
      <c r="HB24" s="116"/>
      <c r="HC24" s="116"/>
      <c r="HD24" s="116"/>
      <c r="HE24" s="116"/>
      <c r="HF24" s="116"/>
      <c r="HG24" s="116"/>
      <c r="HH24" s="116"/>
      <c r="HI24" s="116"/>
      <c r="HJ24" s="116"/>
      <c r="HK24" s="116"/>
      <c r="HL24" s="116"/>
      <c r="HM24" s="116"/>
      <c r="HN24" s="116"/>
      <c r="HO24" s="116"/>
      <c r="HP24" s="116"/>
      <c r="HQ24" s="116"/>
      <c r="HR24" s="116"/>
      <c r="HS24" s="116"/>
      <c r="HT24" s="116"/>
      <c r="HU24" s="116"/>
      <c r="HV24" s="116"/>
      <c r="HW24" s="116"/>
      <c r="HX24" s="116"/>
      <c r="HY24" s="116"/>
      <c r="HZ24" s="116"/>
      <c r="IA24" s="116"/>
      <c r="IB24" s="116"/>
      <c r="IC24" s="116"/>
      <c r="ID24" s="116"/>
      <c r="IE24" s="116"/>
      <c r="IF24" s="116"/>
      <c r="IG24" s="116"/>
      <c r="IH24" s="116"/>
      <c r="II24" s="116"/>
      <c r="IJ24" s="116"/>
      <c r="IK24" s="116"/>
      <c r="IL24" s="116"/>
      <c r="IM24" s="116"/>
      <c r="IN24" s="116"/>
      <c r="IO24" s="116"/>
      <c r="IP24" s="116"/>
      <c r="IQ24" s="116"/>
      <c r="IR24" s="116"/>
      <c r="IS24" s="116"/>
      <c r="IT24" s="116"/>
      <c r="IU24" s="116"/>
      <c r="IV24" s="116"/>
      <c r="IW24" s="116"/>
      <c r="IX24" s="116"/>
      <c r="IY24" s="116"/>
      <c r="IZ24" s="116"/>
      <c r="JA24" s="116"/>
      <c r="JB24" s="116"/>
      <c r="JC24" s="116"/>
      <c r="JD24" s="116"/>
      <c r="JE24" s="116"/>
      <c r="JF24" s="116"/>
      <c r="JG24" s="116"/>
      <c r="JH24" s="116"/>
      <c r="JI24" s="116"/>
      <c r="JJ24" s="116"/>
      <c r="JK24" s="116"/>
      <c r="JL24" s="116"/>
      <c r="JM24" s="116"/>
      <c r="JN24" s="116"/>
      <c r="JO24" s="116"/>
      <c r="JP24" s="116"/>
      <c r="JQ24" s="116"/>
      <c r="JR24" s="116"/>
      <c r="JS24" s="116"/>
      <c r="JT24" s="116"/>
      <c r="JU24" s="116"/>
      <c r="JV24" s="116"/>
      <c r="JW24" s="116"/>
      <c r="JX24" s="116"/>
      <c r="JY24" s="116"/>
      <c r="JZ24" s="116"/>
      <c r="KA24" s="116"/>
      <c r="KB24" s="116"/>
      <c r="KC24" s="116"/>
      <c r="KD24" s="116"/>
      <c r="KE24" s="116"/>
      <c r="KF24" s="116"/>
      <c r="KG24" s="116"/>
      <c r="KH24" s="116"/>
      <c r="KI24" s="116"/>
      <c r="KJ24" s="116"/>
    </row>
    <row r="25" spans="1:296" s="5" customFormat="1" x14ac:dyDescent="0.3">
      <c r="A25" s="71" t="str">
        <f>IF('[1]PRODUCTO NACIONAL'!A30&lt;&gt;"",'[1]PRODUCTO NACIONAL'!A30,"")</f>
        <v>M27</v>
      </c>
      <c r="B25" s="72" t="str">
        <f>VLOOKUP(A25,'[1]PRODUCTO NACIONAL'!$A$4:$R$161,6,FALSE)</f>
        <v>VIOTO PESADA BLANCA|NEGRO|NARANJA FOSFORESCENTE</v>
      </c>
      <c r="C25" s="73">
        <f>IFERROR(HLOOKUP(A25,[4]dimensiones_pdfs!$C$3:$Z$5,3,FALSE),0)</f>
        <v>0</v>
      </c>
      <c r="D25" s="107">
        <f>VLOOKUP(A25,'[1]PRODUCTO NACIONAL'!$A$4:$R$161,18,FALSE)</f>
        <v>1.9499894999999998</v>
      </c>
      <c r="E25" s="5">
        <f t="shared" si="0"/>
        <v>0</v>
      </c>
      <c r="F25" s="22"/>
      <c r="H25" t="s">
        <v>40</v>
      </c>
      <c r="I25" s="28"/>
      <c r="J25" s="39"/>
      <c r="K25" s="70"/>
      <c r="L25" s="75"/>
      <c r="M25" s="127"/>
      <c r="N25" s="77"/>
      <c r="O25" s="165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  <c r="CF25" s="116"/>
      <c r="CG25" s="116"/>
      <c r="CH25" s="116"/>
      <c r="CI25" s="116"/>
      <c r="CJ25" s="116"/>
      <c r="CK25" s="116"/>
      <c r="CL25" s="116"/>
      <c r="CM25" s="116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6"/>
      <c r="DA25" s="116"/>
      <c r="DB25" s="116"/>
      <c r="DC25" s="116"/>
      <c r="DD25" s="116"/>
      <c r="DE25" s="116"/>
      <c r="DF25" s="116"/>
      <c r="DG25" s="116"/>
      <c r="DH25" s="116"/>
      <c r="DI25" s="116"/>
      <c r="DJ25" s="116"/>
      <c r="DK25" s="116"/>
      <c r="DL25" s="116"/>
      <c r="DM25" s="116"/>
      <c r="DN25" s="116"/>
      <c r="DO25" s="116"/>
      <c r="DP25" s="116"/>
      <c r="DQ25" s="116"/>
      <c r="DR25" s="116"/>
      <c r="DS25" s="116"/>
      <c r="DT25" s="116"/>
      <c r="DU25" s="116"/>
      <c r="DV25" s="116"/>
      <c r="DW25" s="116"/>
      <c r="DX25" s="116"/>
      <c r="DY25" s="116"/>
      <c r="DZ25" s="116"/>
      <c r="EA25" s="116"/>
      <c r="EB25" s="116"/>
      <c r="EC25" s="116"/>
      <c r="ED25" s="116"/>
      <c r="EE25" s="116"/>
      <c r="EF25" s="116"/>
      <c r="EG25" s="116"/>
      <c r="EH25" s="116"/>
      <c r="EI25" s="116"/>
      <c r="EJ25" s="116"/>
      <c r="EK25" s="116"/>
      <c r="EL25" s="116"/>
      <c r="EM25" s="116"/>
      <c r="EN25" s="116"/>
      <c r="EO25" s="116"/>
      <c r="EP25" s="116"/>
      <c r="EQ25" s="116"/>
      <c r="ER25" s="116"/>
      <c r="ES25" s="116"/>
      <c r="ET25" s="116"/>
      <c r="EU25" s="116"/>
      <c r="EV25" s="116"/>
      <c r="EW25" s="116"/>
      <c r="EX25" s="116"/>
      <c r="EY25" s="116"/>
      <c r="EZ25" s="116"/>
      <c r="FA25" s="116"/>
      <c r="FB25" s="116"/>
      <c r="FC25" s="116"/>
      <c r="FD25" s="116"/>
      <c r="FE25" s="116"/>
      <c r="FF25" s="116"/>
      <c r="FG25" s="116"/>
      <c r="FH25" s="116"/>
      <c r="FI25" s="116"/>
      <c r="FJ25" s="116"/>
      <c r="FK25" s="116"/>
      <c r="FL25" s="116"/>
      <c r="FM25" s="116"/>
      <c r="FN25" s="116"/>
      <c r="FO25" s="116"/>
      <c r="FP25" s="116"/>
      <c r="FQ25" s="116"/>
      <c r="FR25" s="116"/>
      <c r="FS25" s="116"/>
      <c r="FT25" s="116"/>
      <c r="FU25" s="116"/>
      <c r="FV25" s="116"/>
      <c r="FW25" s="116"/>
      <c r="FX25" s="116"/>
      <c r="FY25" s="116"/>
      <c r="FZ25" s="116"/>
      <c r="GA25" s="116"/>
      <c r="GB25" s="116"/>
      <c r="GC25" s="116"/>
      <c r="GD25" s="116"/>
      <c r="GE25" s="116"/>
      <c r="GF25" s="116"/>
      <c r="GG25" s="116"/>
      <c r="GH25" s="116"/>
      <c r="GI25" s="116"/>
      <c r="GJ25" s="116"/>
      <c r="GK25" s="116"/>
      <c r="GL25" s="116"/>
      <c r="GM25" s="116"/>
      <c r="GN25" s="116"/>
      <c r="GO25" s="116"/>
      <c r="GP25" s="116"/>
      <c r="GQ25" s="116"/>
      <c r="GR25" s="116"/>
      <c r="GS25" s="116"/>
      <c r="GT25" s="116"/>
      <c r="GU25" s="116"/>
      <c r="GV25" s="116"/>
      <c r="GW25" s="116"/>
      <c r="GX25" s="116"/>
      <c r="GY25" s="116"/>
      <c r="GZ25" s="116"/>
      <c r="HA25" s="116"/>
      <c r="HB25" s="116"/>
      <c r="HC25" s="116"/>
      <c r="HD25" s="116"/>
      <c r="HE25" s="116"/>
      <c r="HF25" s="116"/>
      <c r="HG25" s="116"/>
      <c r="HH25" s="116"/>
      <c r="HI25" s="116"/>
      <c r="HJ25" s="116"/>
      <c r="HK25" s="116"/>
      <c r="HL25" s="116"/>
      <c r="HM25" s="116"/>
      <c r="HN25" s="116"/>
      <c r="HO25" s="116"/>
      <c r="HP25" s="116"/>
      <c r="HQ25" s="116"/>
      <c r="HR25" s="116"/>
      <c r="HS25" s="116"/>
      <c r="HT25" s="116"/>
      <c r="HU25" s="116"/>
      <c r="HV25" s="116"/>
      <c r="HW25" s="116"/>
      <c r="HX25" s="116"/>
      <c r="HY25" s="116"/>
      <c r="HZ25" s="116"/>
      <c r="IA25" s="116"/>
      <c r="IB25" s="116"/>
      <c r="IC25" s="116"/>
      <c r="ID25" s="116"/>
      <c r="IE25" s="116"/>
      <c r="IF25" s="116"/>
      <c r="IG25" s="116"/>
      <c r="IH25" s="116"/>
      <c r="II25" s="116"/>
      <c r="IJ25" s="116"/>
      <c r="IK25" s="116"/>
      <c r="IL25" s="116"/>
      <c r="IM25" s="116"/>
      <c r="IN25" s="116"/>
      <c r="IO25" s="116"/>
      <c r="IP25" s="116"/>
      <c r="IQ25" s="116"/>
      <c r="IR25" s="116"/>
      <c r="IS25" s="116"/>
      <c r="IT25" s="116"/>
      <c r="IU25" s="116"/>
      <c r="IV25" s="116"/>
      <c r="IW25" s="116"/>
      <c r="IX25" s="116"/>
      <c r="IY25" s="116"/>
      <c r="IZ25" s="116"/>
      <c r="JA25" s="116"/>
      <c r="JB25" s="116"/>
      <c r="JC25" s="116"/>
      <c r="JD25" s="116"/>
      <c r="JE25" s="116"/>
      <c r="JF25" s="116"/>
      <c r="JG25" s="116"/>
      <c r="JH25" s="116"/>
      <c r="JI25" s="116"/>
      <c r="JJ25" s="116"/>
      <c r="JK25" s="116"/>
      <c r="JL25" s="116"/>
      <c r="JM25" s="116"/>
      <c r="JN25" s="116"/>
      <c r="JO25" s="116"/>
      <c r="JP25" s="116"/>
      <c r="JQ25" s="116"/>
      <c r="JR25" s="116"/>
      <c r="JS25" s="116"/>
      <c r="JT25" s="116"/>
      <c r="JU25" s="116"/>
      <c r="JV25" s="116"/>
      <c r="JW25" s="116"/>
      <c r="JX25" s="116"/>
      <c r="JY25" s="116"/>
      <c r="JZ25" s="116"/>
      <c r="KA25" s="116"/>
      <c r="KB25" s="116"/>
      <c r="KC25" s="116"/>
      <c r="KD25" s="116"/>
      <c r="KE25" s="116"/>
      <c r="KF25" s="116"/>
      <c r="KG25" s="116"/>
      <c r="KH25" s="116"/>
      <c r="KI25" s="116"/>
      <c r="KJ25" s="116"/>
    </row>
    <row r="26" spans="1:296" s="5" customFormat="1" x14ac:dyDescent="0.3">
      <c r="A26" s="71" t="str">
        <f>IF('[1]PRODUCTO NACIONAL'!A22&lt;&gt;"",'[1]PRODUCTO NACIONAL'!A22,"")</f>
        <v>M19</v>
      </c>
      <c r="B26" s="72" t="str">
        <f>VLOOKUP(A26,'[1]PRODUCTO NACIONAL'!$A$4:$R$161,6,FALSE)</f>
        <v>RIVER TEX NEGRO|COLORES</v>
      </c>
      <c r="C26" s="73">
        <f>IFERROR(HLOOKUP(A26,[4]dimensiones_pdfs!$C$3:$Z$5,3,FALSE),0)</f>
        <v>0</v>
      </c>
      <c r="D26" s="107">
        <f>VLOOKUP(A26,'[1]PRODUCTO NACIONAL'!$A$4:$R$161,18,FALSE)</f>
        <v>2.4101473684210521</v>
      </c>
      <c r="E26" s="5">
        <f t="shared" si="0"/>
        <v>0</v>
      </c>
      <c r="F26" s="22"/>
      <c r="H26"/>
      <c r="I26" s="28"/>
      <c r="J26" s="39"/>
      <c r="K26" s="70"/>
      <c r="L26" s="75"/>
      <c r="M26" s="127"/>
      <c r="N26" s="77"/>
      <c r="O26" s="165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  <c r="CF26" s="116"/>
      <c r="CG26" s="116"/>
      <c r="CH26" s="116"/>
      <c r="CI26" s="116"/>
      <c r="CJ26" s="116"/>
      <c r="CK26" s="116"/>
      <c r="CL26" s="116"/>
      <c r="CM26" s="116"/>
      <c r="CN26" s="116"/>
      <c r="CO26" s="116"/>
      <c r="CP26" s="116"/>
      <c r="CQ26" s="116"/>
      <c r="CR26" s="116"/>
      <c r="CS26" s="116"/>
      <c r="CT26" s="116"/>
      <c r="CU26" s="116"/>
      <c r="CV26" s="116"/>
      <c r="CW26" s="116"/>
      <c r="CX26" s="116"/>
      <c r="CY26" s="116"/>
      <c r="CZ26" s="116"/>
      <c r="DA26" s="116"/>
      <c r="DB26" s="116"/>
      <c r="DC26" s="116"/>
      <c r="DD26" s="116"/>
      <c r="DE26" s="116"/>
      <c r="DF26" s="116"/>
      <c r="DG26" s="116"/>
      <c r="DH26" s="116"/>
      <c r="DI26" s="116"/>
      <c r="DJ26" s="116"/>
      <c r="DK26" s="116"/>
      <c r="DL26" s="116"/>
      <c r="DM26" s="116"/>
      <c r="DN26" s="116"/>
      <c r="DO26" s="116"/>
      <c r="DP26" s="116"/>
      <c r="DQ26" s="116"/>
      <c r="DR26" s="116"/>
      <c r="DS26" s="116"/>
      <c r="DT26" s="116"/>
      <c r="DU26" s="116"/>
      <c r="DV26" s="116"/>
      <c r="DW26" s="116"/>
      <c r="DX26" s="116"/>
      <c r="DY26" s="116"/>
      <c r="DZ26" s="116"/>
      <c r="EA26" s="116"/>
      <c r="EB26" s="116"/>
      <c r="EC26" s="116"/>
      <c r="ED26" s="116"/>
      <c r="EE26" s="116"/>
      <c r="EF26" s="116"/>
      <c r="EG26" s="116"/>
      <c r="EH26" s="116"/>
      <c r="EI26" s="116"/>
      <c r="EJ26" s="116"/>
      <c r="EK26" s="116"/>
      <c r="EL26" s="116"/>
      <c r="EM26" s="116"/>
      <c r="EN26" s="116"/>
      <c r="EO26" s="116"/>
      <c r="EP26" s="116"/>
      <c r="EQ26" s="116"/>
      <c r="ER26" s="116"/>
      <c r="ES26" s="116"/>
      <c r="ET26" s="116"/>
      <c r="EU26" s="116"/>
      <c r="EV26" s="116"/>
      <c r="EW26" s="116"/>
      <c r="EX26" s="116"/>
      <c r="EY26" s="116"/>
      <c r="EZ26" s="116"/>
      <c r="FA26" s="116"/>
      <c r="FB26" s="116"/>
      <c r="FC26" s="116"/>
      <c r="FD26" s="116"/>
      <c r="FE26" s="116"/>
      <c r="FF26" s="116"/>
      <c r="FG26" s="116"/>
      <c r="FH26" s="116"/>
      <c r="FI26" s="116"/>
      <c r="FJ26" s="116"/>
      <c r="FK26" s="116"/>
      <c r="FL26" s="116"/>
      <c r="FM26" s="116"/>
      <c r="FN26" s="116"/>
      <c r="FO26" s="116"/>
      <c r="FP26" s="116"/>
      <c r="FQ26" s="116"/>
      <c r="FR26" s="116"/>
      <c r="FS26" s="116"/>
      <c r="FT26" s="116"/>
      <c r="FU26" s="116"/>
      <c r="FV26" s="116"/>
      <c r="FW26" s="116"/>
      <c r="FX26" s="116"/>
      <c r="FY26" s="116"/>
      <c r="FZ26" s="116"/>
      <c r="GA26" s="116"/>
      <c r="GB26" s="116"/>
      <c r="GC26" s="116"/>
      <c r="GD26" s="116"/>
      <c r="GE26" s="116"/>
      <c r="GF26" s="116"/>
      <c r="GG26" s="116"/>
      <c r="GH26" s="116"/>
      <c r="GI26" s="116"/>
      <c r="GJ26" s="116"/>
      <c r="GK26" s="116"/>
      <c r="GL26" s="116"/>
      <c r="GM26" s="116"/>
      <c r="GN26" s="116"/>
      <c r="GO26" s="116"/>
      <c r="GP26" s="116"/>
      <c r="GQ26" s="116"/>
      <c r="GR26" s="116"/>
      <c r="GS26" s="116"/>
      <c r="GT26" s="116"/>
      <c r="GU26" s="116"/>
      <c r="GV26" s="116"/>
      <c r="GW26" s="116"/>
      <c r="GX26" s="116"/>
      <c r="GY26" s="116"/>
      <c r="GZ26" s="116"/>
      <c r="HA26" s="116"/>
      <c r="HB26" s="116"/>
      <c r="HC26" s="116"/>
      <c r="HD26" s="116"/>
      <c r="HE26" s="116"/>
      <c r="HF26" s="116"/>
      <c r="HG26" s="116"/>
      <c r="HH26" s="116"/>
      <c r="HI26" s="116"/>
      <c r="HJ26" s="116"/>
      <c r="HK26" s="116"/>
      <c r="HL26" s="116"/>
      <c r="HM26" s="116"/>
      <c r="HN26" s="116"/>
      <c r="HO26" s="116"/>
      <c r="HP26" s="116"/>
      <c r="HQ26" s="116"/>
      <c r="HR26" s="116"/>
      <c r="HS26" s="116"/>
      <c r="HT26" s="116"/>
      <c r="HU26" s="116"/>
      <c r="HV26" s="116"/>
      <c r="HW26" s="116"/>
      <c r="HX26" s="116"/>
      <c r="HY26" s="116"/>
      <c r="HZ26" s="116"/>
      <c r="IA26" s="116"/>
      <c r="IB26" s="116"/>
      <c r="IC26" s="116"/>
      <c r="ID26" s="116"/>
      <c r="IE26" s="116"/>
      <c r="IF26" s="116"/>
      <c r="IG26" s="116"/>
      <c r="IH26" s="116"/>
      <c r="II26" s="116"/>
      <c r="IJ26" s="116"/>
      <c r="IK26" s="116"/>
      <c r="IL26" s="116"/>
      <c r="IM26" s="116"/>
      <c r="IN26" s="116"/>
      <c r="IO26" s="116"/>
      <c r="IP26" s="116"/>
      <c r="IQ26" s="116"/>
      <c r="IR26" s="116"/>
      <c r="IS26" s="116"/>
      <c r="IT26" s="116"/>
      <c r="IU26" s="116"/>
      <c r="IV26" s="116"/>
      <c r="IW26" s="116"/>
      <c r="IX26" s="116"/>
      <c r="IY26" s="116"/>
      <c r="IZ26" s="116"/>
      <c r="JA26" s="116"/>
      <c r="JB26" s="116"/>
      <c r="JC26" s="116"/>
      <c r="JD26" s="116"/>
      <c r="JE26" s="116"/>
      <c r="JF26" s="116"/>
      <c r="JG26" s="116"/>
      <c r="JH26" s="116"/>
      <c r="JI26" s="116"/>
      <c r="JJ26" s="116"/>
      <c r="JK26" s="116"/>
      <c r="JL26" s="116"/>
      <c r="JM26" s="116"/>
      <c r="JN26" s="116"/>
      <c r="JO26" s="116"/>
      <c r="JP26" s="116"/>
      <c r="JQ26" s="116"/>
      <c r="JR26" s="116"/>
      <c r="JS26" s="116"/>
      <c r="JT26" s="116"/>
      <c r="JU26" s="116"/>
      <c r="JV26" s="116"/>
      <c r="JW26" s="116"/>
      <c r="JX26" s="116"/>
      <c r="JY26" s="116"/>
      <c r="JZ26" s="116"/>
      <c r="KA26" s="116"/>
      <c r="KB26" s="116"/>
      <c r="KC26" s="116"/>
      <c r="KD26" s="116"/>
      <c r="KE26" s="116"/>
      <c r="KF26" s="116"/>
      <c r="KG26" s="116"/>
      <c r="KH26" s="116"/>
      <c r="KI26" s="116"/>
      <c r="KJ26" s="116"/>
    </row>
    <row r="27" spans="1:296" s="5" customFormat="1" x14ac:dyDescent="0.3">
      <c r="A27" s="71" t="str">
        <f>IF('[1]PRODUCTO NACIONAL'!A15&lt;&gt;"",'[1]PRODUCTO NACIONAL'!A15,"")</f>
        <v>M12</v>
      </c>
      <c r="B27" s="72" t="str">
        <f>VLOOKUP(A27,'[1]PRODUCTO NACIONAL'!$A$4:$R$161,6,FALSE)</f>
        <v>LINO JARUBA</v>
      </c>
      <c r="C27" s="73">
        <f>IFERROR(HLOOKUP(A27,[4]dimensiones_pdfs!$C$3:$Z$5,3,FALSE),0)</f>
        <v>0</v>
      </c>
      <c r="D27" s="107">
        <f>VLOOKUP(A27,'[1]PRODUCTO NACIONAL'!$A$4:$R$161,18,FALSE)</f>
        <v>1.8904999999999998</v>
      </c>
      <c r="E27" s="5">
        <f t="shared" si="0"/>
        <v>0</v>
      </c>
      <c r="F27" s="22"/>
      <c r="H27"/>
      <c r="I27" s="28"/>
      <c r="J27" s="39"/>
      <c r="K27" s="70"/>
      <c r="L27" s="75"/>
      <c r="M27" s="127"/>
      <c r="N27" s="77"/>
      <c r="O27" s="165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  <c r="CF27" s="116"/>
      <c r="CG27" s="116"/>
      <c r="CH27" s="116"/>
      <c r="CI27" s="116"/>
      <c r="CJ27" s="116"/>
      <c r="CK27" s="116"/>
      <c r="CL27" s="116"/>
      <c r="CM27" s="116"/>
      <c r="CN27" s="116"/>
      <c r="CO27" s="116"/>
      <c r="CP27" s="116"/>
      <c r="CQ27" s="116"/>
      <c r="CR27" s="116"/>
      <c r="CS27" s="116"/>
      <c r="CT27" s="116"/>
      <c r="CU27" s="116"/>
      <c r="CV27" s="116"/>
      <c r="CW27" s="116"/>
      <c r="CX27" s="116"/>
      <c r="CY27" s="116"/>
      <c r="CZ27" s="116"/>
      <c r="DA27" s="116"/>
      <c r="DB27" s="116"/>
      <c r="DC27" s="116"/>
      <c r="DD27" s="116"/>
      <c r="DE27" s="116"/>
      <c r="DF27" s="116"/>
      <c r="DG27" s="116"/>
      <c r="DH27" s="116"/>
      <c r="DI27" s="116"/>
      <c r="DJ27" s="116"/>
      <c r="DK27" s="116"/>
      <c r="DL27" s="116"/>
      <c r="DM27" s="116"/>
      <c r="DN27" s="116"/>
      <c r="DO27" s="116"/>
      <c r="DP27" s="116"/>
      <c r="DQ27" s="116"/>
      <c r="DR27" s="116"/>
      <c r="DS27" s="116"/>
      <c r="DT27" s="116"/>
      <c r="DU27" s="116"/>
      <c r="DV27" s="116"/>
      <c r="DW27" s="116"/>
      <c r="DX27" s="116"/>
      <c r="DY27" s="116"/>
      <c r="DZ27" s="116"/>
      <c r="EA27" s="116"/>
      <c r="EB27" s="116"/>
      <c r="EC27" s="116"/>
      <c r="ED27" s="116"/>
      <c r="EE27" s="116"/>
      <c r="EF27" s="116"/>
      <c r="EG27" s="116"/>
      <c r="EH27" s="116"/>
      <c r="EI27" s="116"/>
      <c r="EJ27" s="116"/>
      <c r="EK27" s="116"/>
      <c r="EL27" s="116"/>
      <c r="EM27" s="116"/>
      <c r="EN27" s="116"/>
      <c r="EO27" s="116"/>
      <c r="EP27" s="116"/>
      <c r="EQ27" s="116"/>
      <c r="ER27" s="116"/>
      <c r="ES27" s="116"/>
      <c r="ET27" s="116"/>
      <c r="EU27" s="116"/>
      <c r="EV27" s="116"/>
      <c r="EW27" s="116"/>
      <c r="EX27" s="116"/>
      <c r="EY27" s="116"/>
      <c r="EZ27" s="116"/>
      <c r="FA27" s="116"/>
      <c r="FB27" s="116"/>
      <c r="FC27" s="116"/>
      <c r="FD27" s="116"/>
      <c r="FE27" s="116"/>
      <c r="FF27" s="116"/>
      <c r="FG27" s="116"/>
      <c r="FH27" s="116"/>
      <c r="FI27" s="116"/>
      <c r="FJ27" s="116"/>
      <c r="FK27" s="116"/>
      <c r="FL27" s="116"/>
      <c r="FM27" s="116"/>
      <c r="FN27" s="116"/>
      <c r="FO27" s="116"/>
      <c r="FP27" s="116"/>
      <c r="FQ27" s="116"/>
      <c r="FR27" s="116"/>
      <c r="FS27" s="116"/>
      <c r="FT27" s="116"/>
      <c r="FU27" s="116"/>
      <c r="FV27" s="116"/>
      <c r="FW27" s="116"/>
      <c r="FX27" s="116"/>
      <c r="FY27" s="116"/>
      <c r="FZ27" s="116"/>
      <c r="GA27" s="116"/>
      <c r="GB27" s="116"/>
      <c r="GC27" s="116"/>
      <c r="GD27" s="116"/>
      <c r="GE27" s="116"/>
      <c r="GF27" s="116"/>
      <c r="GG27" s="116"/>
      <c r="GH27" s="116"/>
      <c r="GI27" s="116"/>
      <c r="GJ27" s="116"/>
      <c r="GK27" s="116"/>
      <c r="GL27" s="116"/>
      <c r="GM27" s="116"/>
      <c r="GN27" s="116"/>
      <c r="GO27" s="116"/>
      <c r="GP27" s="116"/>
      <c r="GQ27" s="116"/>
      <c r="GR27" s="116"/>
      <c r="GS27" s="116"/>
      <c r="GT27" s="116"/>
      <c r="GU27" s="116"/>
      <c r="GV27" s="116"/>
      <c r="GW27" s="116"/>
      <c r="GX27" s="116"/>
      <c r="GY27" s="116"/>
      <c r="GZ27" s="116"/>
      <c r="HA27" s="116"/>
      <c r="HB27" s="116"/>
      <c r="HC27" s="116"/>
      <c r="HD27" s="116"/>
      <c r="HE27" s="116"/>
      <c r="HF27" s="116"/>
      <c r="HG27" s="116"/>
      <c r="HH27" s="116"/>
      <c r="HI27" s="116"/>
      <c r="HJ27" s="116"/>
      <c r="HK27" s="116"/>
      <c r="HL27" s="116"/>
      <c r="HM27" s="116"/>
      <c r="HN27" s="116"/>
      <c r="HO27" s="116"/>
      <c r="HP27" s="116"/>
      <c r="HQ27" s="116"/>
      <c r="HR27" s="116"/>
      <c r="HS27" s="116"/>
      <c r="HT27" s="116"/>
      <c r="HU27" s="116"/>
      <c r="HV27" s="116"/>
      <c r="HW27" s="116"/>
      <c r="HX27" s="116"/>
      <c r="HY27" s="116"/>
      <c r="HZ27" s="116"/>
      <c r="IA27" s="116"/>
      <c r="IB27" s="116"/>
      <c r="IC27" s="116"/>
      <c r="ID27" s="116"/>
      <c r="IE27" s="116"/>
      <c r="IF27" s="116"/>
      <c r="IG27" s="116"/>
      <c r="IH27" s="116"/>
      <c r="II27" s="116"/>
      <c r="IJ27" s="116"/>
      <c r="IK27" s="116"/>
      <c r="IL27" s="116"/>
      <c r="IM27" s="116"/>
      <c r="IN27" s="116"/>
      <c r="IO27" s="116"/>
      <c r="IP27" s="116"/>
      <c r="IQ27" s="116"/>
      <c r="IR27" s="116"/>
      <c r="IS27" s="116"/>
      <c r="IT27" s="116"/>
      <c r="IU27" s="116"/>
      <c r="IV27" s="116"/>
      <c r="IW27" s="116"/>
      <c r="IX27" s="116"/>
      <c r="IY27" s="116"/>
      <c r="IZ27" s="116"/>
      <c r="JA27" s="116"/>
      <c r="JB27" s="116"/>
      <c r="JC27" s="116"/>
      <c r="JD27" s="116"/>
      <c r="JE27" s="116"/>
      <c r="JF27" s="116"/>
      <c r="JG27" s="116"/>
      <c r="JH27" s="116"/>
      <c r="JI27" s="116"/>
      <c r="JJ27" s="116"/>
      <c r="JK27" s="116"/>
      <c r="JL27" s="116"/>
      <c r="JM27" s="116"/>
      <c r="JN27" s="116"/>
      <c r="JO27" s="116"/>
      <c r="JP27" s="116"/>
      <c r="JQ27" s="116"/>
      <c r="JR27" s="116"/>
      <c r="JS27" s="116"/>
      <c r="JT27" s="116"/>
      <c r="JU27" s="116"/>
      <c r="JV27" s="116"/>
      <c r="JW27" s="116"/>
      <c r="JX27" s="116"/>
      <c r="JY27" s="116"/>
      <c r="JZ27" s="116"/>
      <c r="KA27" s="116"/>
      <c r="KB27" s="116"/>
      <c r="KC27" s="116"/>
      <c r="KD27" s="116"/>
      <c r="KE27" s="116"/>
      <c r="KF27" s="116"/>
      <c r="KG27" s="116"/>
      <c r="KH27" s="116"/>
      <c r="KI27" s="116"/>
      <c r="KJ27" s="116"/>
    </row>
    <row r="28" spans="1:296" s="5" customFormat="1" x14ac:dyDescent="0.3">
      <c r="A28" s="71" t="str">
        <f>+'[1]PRODUCTO NACIONAL'!$A$4</f>
        <v>M1</v>
      </c>
      <c r="B28" s="72" t="str">
        <f>VLOOKUP(A28,'[1]PRODUCTO NACIONAL'!$A$4:$R$161,6,FALSE)</f>
        <v>NYLON</v>
      </c>
      <c r="C28" s="73">
        <f>IFERROR(HLOOKUP(A28,[4]dimensiones_pdfs!$C$3:$Z$5,3,FALSE),0)</f>
        <v>0</v>
      </c>
      <c r="D28" s="107">
        <f>VLOOKUP(A28,'[1]PRODUCTO NACIONAL'!$A$4:$R$161,18,FALSE)</f>
        <v>1.7899899999999995</v>
      </c>
      <c r="E28" s="5">
        <f t="shared" si="0"/>
        <v>0</v>
      </c>
      <c r="F28" s="22"/>
      <c r="H28"/>
      <c r="I28" s="28"/>
      <c r="J28" s="39"/>
      <c r="K28" s="70"/>
      <c r="L28" s="75"/>
      <c r="M28" s="127"/>
      <c r="N28" s="77"/>
      <c r="O28" s="165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6"/>
      <c r="CI28" s="116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/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  <c r="DM28" s="116"/>
      <c r="DN28" s="116"/>
      <c r="DO28" s="116"/>
      <c r="DP28" s="116"/>
      <c r="DQ28" s="116"/>
      <c r="DR28" s="116"/>
      <c r="DS28" s="116"/>
      <c r="DT28" s="116"/>
      <c r="DU28" s="116"/>
      <c r="DV28" s="116"/>
      <c r="DW28" s="116"/>
      <c r="DX28" s="116"/>
      <c r="DY28" s="116"/>
      <c r="DZ28" s="116"/>
      <c r="EA28" s="116"/>
      <c r="EB28" s="116"/>
      <c r="EC28" s="116"/>
      <c r="ED28" s="116"/>
      <c r="EE28" s="116"/>
      <c r="EF28" s="116"/>
      <c r="EG28" s="116"/>
      <c r="EH28" s="116"/>
      <c r="EI28" s="116"/>
      <c r="EJ28" s="116"/>
      <c r="EK28" s="116"/>
      <c r="EL28" s="116"/>
      <c r="EM28" s="116"/>
      <c r="EN28" s="116"/>
      <c r="EO28" s="116"/>
      <c r="EP28" s="116"/>
      <c r="EQ28" s="116"/>
      <c r="ER28" s="116"/>
      <c r="ES28" s="116"/>
      <c r="ET28" s="116"/>
      <c r="EU28" s="116"/>
      <c r="EV28" s="116"/>
      <c r="EW28" s="116"/>
      <c r="EX28" s="116"/>
      <c r="EY28" s="116"/>
      <c r="EZ28" s="116"/>
      <c r="FA28" s="116"/>
      <c r="FB28" s="116"/>
      <c r="FC28" s="116"/>
      <c r="FD28" s="116"/>
      <c r="FE28" s="116"/>
      <c r="FF28" s="116"/>
      <c r="FG28" s="116"/>
      <c r="FH28" s="116"/>
      <c r="FI28" s="116"/>
      <c r="FJ28" s="116"/>
      <c r="FK28" s="116"/>
      <c r="FL28" s="116"/>
      <c r="FM28" s="116"/>
      <c r="FN28" s="116"/>
      <c r="FO28" s="116"/>
      <c r="FP28" s="116"/>
      <c r="FQ28" s="116"/>
      <c r="FR28" s="116"/>
      <c r="FS28" s="116"/>
      <c r="FT28" s="116"/>
      <c r="FU28" s="116"/>
      <c r="FV28" s="116"/>
      <c r="FW28" s="116"/>
      <c r="FX28" s="116"/>
      <c r="FY28" s="116"/>
      <c r="FZ28" s="116"/>
      <c r="GA28" s="116"/>
      <c r="GB28" s="116"/>
      <c r="GC28" s="116"/>
      <c r="GD28" s="116"/>
      <c r="GE28" s="116"/>
      <c r="GF28" s="116"/>
      <c r="GG28" s="116"/>
      <c r="GH28" s="116"/>
      <c r="GI28" s="116"/>
      <c r="GJ28" s="116"/>
      <c r="GK28" s="116"/>
      <c r="GL28" s="116"/>
      <c r="GM28" s="116"/>
      <c r="GN28" s="116"/>
      <c r="GO28" s="116"/>
      <c r="GP28" s="116"/>
      <c r="GQ28" s="116"/>
      <c r="GR28" s="116"/>
      <c r="GS28" s="116"/>
      <c r="GT28" s="116"/>
      <c r="GU28" s="116"/>
      <c r="GV28" s="116"/>
      <c r="GW28" s="116"/>
      <c r="GX28" s="116"/>
      <c r="GY28" s="116"/>
      <c r="GZ28" s="116"/>
      <c r="HA28" s="116"/>
      <c r="HB28" s="116"/>
      <c r="HC28" s="116"/>
      <c r="HD28" s="116"/>
      <c r="HE28" s="116"/>
      <c r="HF28" s="116"/>
      <c r="HG28" s="116"/>
      <c r="HH28" s="116"/>
      <c r="HI28" s="116"/>
      <c r="HJ28" s="116"/>
      <c r="HK28" s="116"/>
      <c r="HL28" s="116"/>
      <c r="HM28" s="116"/>
      <c r="HN28" s="116"/>
      <c r="HO28" s="116"/>
      <c r="HP28" s="116"/>
      <c r="HQ28" s="116"/>
      <c r="HR28" s="116"/>
      <c r="HS28" s="116"/>
      <c r="HT28" s="116"/>
      <c r="HU28" s="116"/>
      <c r="HV28" s="116"/>
      <c r="HW28" s="116"/>
      <c r="HX28" s="116"/>
      <c r="HY28" s="116"/>
      <c r="HZ28" s="116"/>
      <c r="IA28" s="116"/>
      <c r="IB28" s="116"/>
      <c r="IC28" s="116"/>
      <c r="ID28" s="116"/>
      <c r="IE28" s="116"/>
      <c r="IF28" s="116"/>
      <c r="IG28" s="116"/>
      <c r="IH28" s="116"/>
      <c r="II28" s="116"/>
      <c r="IJ28" s="116"/>
      <c r="IK28" s="116"/>
      <c r="IL28" s="116"/>
      <c r="IM28" s="116"/>
      <c r="IN28" s="116"/>
      <c r="IO28" s="116"/>
      <c r="IP28" s="116"/>
      <c r="IQ28" s="116"/>
      <c r="IR28" s="116"/>
      <c r="IS28" s="116"/>
      <c r="IT28" s="116"/>
      <c r="IU28" s="116"/>
      <c r="IV28" s="116"/>
      <c r="IW28" s="116"/>
      <c r="IX28" s="116"/>
      <c r="IY28" s="116"/>
      <c r="IZ28" s="116"/>
      <c r="JA28" s="116"/>
      <c r="JB28" s="116"/>
      <c r="JC28" s="116"/>
      <c r="JD28" s="116"/>
      <c r="JE28" s="116"/>
      <c r="JF28" s="116"/>
      <c r="JG28" s="116"/>
      <c r="JH28" s="116"/>
      <c r="JI28" s="116"/>
      <c r="JJ28" s="116"/>
      <c r="JK28" s="116"/>
      <c r="JL28" s="116"/>
      <c r="JM28" s="116"/>
      <c r="JN28" s="116"/>
      <c r="JO28" s="116"/>
      <c r="JP28" s="116"/>
      <c r="JQ28" s="116"/>
      <c r="JR28" s="116"/>
      <c r="JS28" s="116"/>
      <c r="JT28" s="116"/>
      <c r="JU28" s="116"/>
      <c r="JV28" s="116"/>
      <c r="JW28" s="116"/>
      <c r="JX28" s="116"/>
      <c r="JY28" s="116"/>
      <c r="JZ28" s="116"/>
      <c r="KA28" s="116"/>
      <c r="KB28" s="116"/>
      <c r="KC28" s="116"/>
      <c r="KD28" s="116"/>
      <c r="KE28" s="116"/>
      <c r="KF28" s="116"/>
      <c r="KG28" s="116"/>
      <c r="KH28" s="116"/>
      <c r="KI28" s="116"/>
      <c r="KJ28" s="116"/>
    </row>
    <row r="29" spans="1:296" s="5" customFormat="1" x14ac:dyDescent="0.3">
      <c r="A29" s="71" t="s">
        <v>105</v>
      </c>
      <c r="B29" s="72" t="str">
        <f>VLOOKUP(A29,'[1]PRODUCTO NACIONAL'!$A$4:$R$161,6,FALSE)</f>
        <v>D2008 Rollo Jersy Spandex 1.80m x 275gr</v>
      </c>
      <c r="C29" s="73">
        <f>IFERROR(HLOOKUP(A29,[4]dimensiones_pdfs!$C$3:$Z$5,3,FALSE),0)</f>
        <v>0</v>
      </c>
      <c r="D29" s="107">
        <f>VLOOKUP(A29,'[1]PRODUCTO NACIONAL'!$A$4:$R$161,18,FALSE)</f>
        <v>3.4782608695652177</v>
      </c>
      <c r="E29" s="5">
        <f t="shared" si="0"/>
        <v>0</v>
      </c>
      <c r="F29" s="22"/>
      <c r="H29"/>
      <c r="I29" s="28"/>
      <c r="J29" s="39"/>
      <c r="K29" s="70"/>
      <c r="L29" s="75"/>
      <c r="M29" s="127"/>
      <c r="N29" s="77"/>
      <c r="O29" s="165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  <c r="CF29" s="116"/>
      <c r="CG29" s="116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6"/>
      <c r="DE29" s="116"/>
      <c r="DF29" s="116"/>
      <c r="DG29" s="116"/>
      <c r="DH29" s="116"/>
      <c r="DI29" s="116"/>
      <c r="DJ29" s="116"/>
      <c r="DK29" s="116"/>
      <c r="DL29" s="116"/>
      <c r="DM29" s="116"/>
      <c r="DN29" s="116"/>
      <c r="DO29" s="116"/>
      <c r="DP29" s="116"/>
      <c r="DQ29" s="116"/>
      <c r="DR29" s="116"/>
      <c r="DS29" s="116"/>
      <c r="DT29" s="116"/>
      <c r="DU29" s="116"/>
      <c r="DV29" s="116"/>
      <c r="DW29" s="116"/>
      <c r="DX29" s="116"/>
      <c r="DY29" s="116"/>
      <c r="DZ29" s="116"/>
      <c r="EA29" s="116"/>
      <c r="EB29" s="116"/>
      <c r="EC29" s="116"/>
      <c r="ED29" s="116"/>
      <c r="EE29" s="116"/>
      <c r="EF29" s="116"/>
      <c r="EG29" s="116"/>
      <c r="EH29" s="116"/>
      <c r="EI29" s="116"/>
      <c r="EJ29" s="116"/>
      <c r="EK29" s="116"/>
      <c r="EL29" s="116"/>
      <c r="EM29" s="116"/>
      <c r="EN29" s="116"/>
      <c r="EO29" s="116"/>
      <c r="EP29" s="116"/>
      <c r="EQ29" s="116"/>
      <c r="ER29" s="116"/>
      <c r="ES29" s="116"/>
      <c r="ET29" s="116"/>
      <c r="EU29" s="116"/>
      <c r="EV29" s="116"/>
      <c r="EW29" s="116"/>
      <c r="EX29" s="116"/>
      <c r="EY29" s="116"/>
      <c r="EZ29" s="116"/>
      <c r="FA29" s="116"/>
      <c r="FB29" s="116"/>
      <c r="FC29" s="116"/>
      <c r="FD29" s="116"/>
      <c r="FE29" s="116"/>
      <c r="FF29" s="116"/>
      <c r="FG29" s="116"/>
      <c r="FH29" s="116"/>
      <c r="FI29" s="116"/>
      <c r="FJ29" s="116"/>
      <c r="FK29" s="116"/>
      <c r="FL29" s="116"/>
      <c r="FM29" s="116"/>
      <c r="FN29" s="116"/>
      <c r="FO29" s="116"/>
      <c r="FP29" s="116"/>
      <c r="FQ29" s="116"/>
      <c r="FR29" s="116"/>
      <c r="FS29" s="116"/>
      <c r="FT29" s="116"/>
      <c r="FU29" s="116"/>
      <c r="FV29" s="116"/>
      <c r="FW29" s="116"/>
      <c r="FX29" s="116"/>
      <c r="FY29" s="116"/>
      <c r="FZ29" s="116"/>
      <c r="GA29" s="116"/>
      <c r="GB29" s="116"/>
      <c r="GC29" s="116"/>
      <c r="GD29" s="116"/>
      <c r="GE29" s="116"/>
      <c r="GF29" s="116"/>
      <c r="GG29" s="116"/>
      <c r="GH29" s="116"/>
      <c r="GI29" s="116"/>
      <c r="GJ29" s="116"/>
      <c r="GK29" s="116"/>
      <c r="GL29" s="116"/>
      <c r="GM29" s="116"/>
      <c r="GN29" s="116"/>
      <c r="GO29" s="116"/>
      <c r="GP29" s="116"/>
      <c r="GQ29" s="116"/>
      <c r="GR29" s="116"/>
      <c r="GS29" s="116"/>
      <c r="GT29" s="116"/>
      <c r="GU29" s="116"/>
      <c r="GV29" s="116"/>
      <c r="GW29" s="116"/>
      <c r="GX29" s="116"/>
      <c r="GY29" s="116"/>
      <c r="GZ29" s="116"/>
      <c r="HA29" s="116"/>
      <c r="HB29" s="116"/>
      <c r="HC29" s="116"/>
      <c r="HD29" s="116"/>
      <c r="HE29" s="116"/>
      <c r="HF29" s="116"/>
      <c r="HG29" s="116"/>
      <c r="HH29" s="116"/>
      <c r="HI29" s="116"/>
      <c r="HJ29" s="116"/>
      <c r="HK29" s="116"/>
      <c r="HL29" s="116"/>
      <c r="HM29" s="116"/>
      <c r="HN29" s="116"/>
      <c r="HO29" s="116"/>
      <c r="HP29" s="116"/>
      <c r="HQ29" s="116"/>
      <c r="HR29" s="116"/>
      <c r="HS29" s="116"/>
      <c r="HT29" s="116"/>
      <c r="HU29" s="116"/>
      <c r="HV29" s="116"/>
      <c r="HW29" s="116"/>
      <c r="HX29" s="116"/>
      <c r="HY29" s="116"/>
      <c r="HZ29" s="116"/>
      <c r="IA29" s="116"/>
      <c r="IB29" s="116"/>
      <c r="IC29" s="116"/>
      <c r="ID29" s="116"/>
      <c r="IE29" s="116"/>
      <c r="IF29" s="116"/>
      <c r="IG29" s="116"/>
      <c r="IH29" s="116"/>
      <c r="II29" s="116"/>
      <c r="IJ29" s="116"/>
      <c r="IK29" s="116"/>
      <c r="IL29" s="116"/>
      <c r="IM29" s="116"/>
      <c r="IN29" s="116"/>
      <c r="IO29" s="116"/>
      <c r="IP29" s="116"/>
      <c r="IQ29" s="116"/>
      <c r="IR29" s="116"/>
      <c r="IS29" s="116"/>
      <c r="IT29" s="116"/>
      <c r="IU29" s="116"/>
      <c r="IV29" s="116"/>
      <c r="IW29" s="116"/>
      <c r="IX29" s="116"/>
      <c r="IY29" s="116"/>
      <c r="IZ29" s="116"/>
      <c r="JA29" s="116"/>
      <c r="JB29" s="116"/>
      <c r="JC29" s="116"/>
      <c r="JD29" s="116"/>
      <c r="JE29" s="116"/>
      <c r="JF29" s="116"/>
      <c r="JG29" s="116"/>
      <c r="JH29" s="116"/>
      <c r="JI29" s="116"/>
      <c r="JJ29" s="116"/>
      <c r="JK29" s="116"/>
      <c r="JL29" s="116"/>
      <c r="JM29" s="116"/>
      <c r="JN29" s="116"/>
      <c r="JO29" s="116"/>
      <c r="JP29" s="116"/>
      <c r="JQ29" s="116"/>
      <c r="JR29" s="116"/>
      <c r="JS29" s="116"/>
      <c r="JT29" s="116"/>
      <c r="JU29" s="116"/>
      <c r="JV29" s="116"/>
      <c r="JW29" s="116"/>
      <c r="JX29" s="116"/>
      <c r="JY29" s="116"/>
      <c r="JZ29" s="116"/>
      <c r="KA29" s="116"/>
      <c r="KB29" s="116"/>
      <c r="KC29" s="116"/>
      <c r="KD29" s="116"/>
      <c r="KE29" s="116"/>
      <c r="KF29" s="116"/>
      <c r="KG29" s="116"/>
      <c r="KH29" s="116"/>
      <c r="KI29" s="116"/>
      <c r="KJ29" s="116"/>
    </row>
    <row r="30" spans="1:296" s="5" customFormat="1" x14ac:dyDescent="0.3">
      <c r="A30" s="71" t="s">
        <v>106</v>
      </c>
      <c r="B30" s="72" t="str">
        <f>VLOOKUP(A30,'[1]PRODUCTO NACIONAL'!$A$4:$R$161,6,FALSE)</f>
        <v>NICO SPORT|BLANCO</v>
      </c>
      <c r="C30" s="73">
        <f>IFERROR(HLOOKUP(A30,[4]dimensiones_pdfs!$C$3:$Z$5,3,FALSE),0)</f>
        <v>0</v>
      </c>
      <c r="D30" s="107">
        <f>VLOOKUP(A30,'[1]PRODUCTO NACIONAL'!$A$4:$R$161,18,FALSE)</f>
        <v>2.3160000000000003</v>
      </c>
      <c r="E30" s="5">
        <f t="shared" si="0"/>
        <v>0</v>
      </c>
      <c r="F30" s="22"/>
      <c r="H30"/>
      <c r="I30" s="28"/>
      <c r="J30" s="39"/>
      <c r="K30" s="70"/>
      <c r="L30" s="75"/>
      <c r="M30" s="127"/>
      <c r="N30" s="77"/>
      <c r="O30" s="165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  <c r="CG30" s="116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  <c r="DM30" s="116"/>
      <c r="DN30" s="116"/>
      <c r="DO30" s="116"/>
      <c r="DP30" s="116"/>
      <c r="DQ30" s="116"/>
      <c r="DR30" s="116"/>
      <c r="DS30" s="116"/>
      <c r="DT30" s="116"/>
      <c r="DU30" s="116"/>
      <c r="DV30" s="116"/>
      <c r="DW30" s="116"/>
      <c r="DX30" s="116"/>
      <c r="DY30" s="116"/>
      <c r="DZ30" s="116"/>
      <c r="EA30" s="116"/>
      <c r="EB30" s="116"/>
      <c r="EC30" s="116"/>
      <c r="ED30" s="116"/>
      <c r="EE30" s="116"/>
      <c r="EF30" s="116"/>
      <c r="EG30" s="116"/>
      <c r="EH30" s="116"/>
      <c r="EI30" s="116"/>
      <c r="EJ30" s="116"/>
      <c r="EK30" s="116"/>
      <c r="EL30" s="116"/>
      <c r="EM30" s="116"/>
      <c r="EN30" s="116"/>
      <c r="EO30" s="116"/>
      <c r="EP30" s="116"/>
      <c r="EQ30" s="116"/>
      <c r="ER30" s="116"/>
      <c r="ES30" s="116"/>
      <c r="ET30" s="116"/>
      <c r="EU30" s="116"/>
      <c r="EV30" s="116"/>
      <c r="EW30" s="116"/>
      <c r="EX30" s="116"/>
      <c r="EY30" s="116"/>
      <c r="EZ30" s="116"/>
      <c r="FA30" s="116"/>
      <c r="FB30" s="116"/>
      <c r="FC30" s="116"/>
      <c r="FD30" s="116"/>
      <c r="FE30" s="116"/>
      <c r="FF30" s="116"/>
      <c r="FG30" s="116"/>
      <c r="FH30" s="116"/>
      <c r="FI30" s="116"/>
      <c r="FJ30" s="116"/>
      <c r="FK30" s="116"/>
      <c r="FL30" s="116"/>
      <c r="FM30" s="116"/>
      <c r="FN30" s="116"/>
      <c r="FO30" s="116"/>
      <c r="FP30" s="116"/>
      <c r="FQ30" s="116"/>
      <c r="FR30" s="116"/>
      <c r="FS30" s="116"/>
      <c r="FT30" s="116"/>
      <c r="FU30" s="116"/>
      <c r="FV30" s="116"/>
      <c r="FW30" s="116"/>
      <c r="FX30" s="116"/>
      <c r="FY30" s="116"/>
      <c r="FZ30" s="116"/>
      <c r="GA30" s="116"/>
      <c r="GB30" s="116"/>
      <c r="GC30" s="116"/>
      <c r="GD30" s="116"/>
      <c r="GE30" s="116"/>
      <c r="GF30" s="116"/>
      <c r="GG30" s="116"/>
      <c r="GH30" s="116"/>
      <c r="GI30" s="116"/>
      <c r="GJ30" s="116"/>
      <c r="GK30" s="116"/>
      <c r="GL30" s="116"/>
      <c r="GM30" s="116"/>
      <c r="GN30" s="116"/>
      <c r="GO30" s="116"/>
      <c r="GP30" s="116"/>
      <c r="GQ30" s="116"/>
      <c r="GR30" s="116"/>
      <c r="GS30" s="116"/>
      <c r="GT30" s="116"/>
      <c r="GU30" s="116"/>
      <c r="GV30" s="116"/>
      <c r="GW30" s="116"/>
      <c r="GX30" s="116"/>
      <c r="GY30" s="116"/>
      <c r="GZ30" s="116"/>
      <c r="HA30" s="116"/>
      <c r="HB30" s="116"/>
      <c r="HC30" s="116"/>
      <c r="HD30" s="116"/>
      <c r="HE30" s="116"/>
      <c r="HF30" s="116"/>
      <c r="HG30" s="116"/>
      <c r="HH30" s="116"/>
      <c r="HI30" s="116"/>
      <c r="HJ30" s="116"/>
      <c r="HK30" s="116"/>
      <c r="HL30" s="116"/>
      <c r="HM30" s="116"/>
      <c r="HN30" s="116"/>
      <c r="HO30" s="116"/>
      <c r="HP30" s="116"/>
      <c r="HQ30" s="116"/>
      <c r="HR30" s="116"/>
      <c r="HS30" s="116"/>
      <c r="HT30" s="116"/>
      <c r="HU30" s="116"/>
      <c r="HV30" s="116"/>
      <c r="HW30" s="116"/>
      <c r="HX30" s="116"/>
      <c r="HY30" s="116"/>
      <c r="HZ30" s="116"/>
      <c r="IA30" s="116"/>
      <c r="IB30" s="116"/>
      <c r="IC30" s="116"/>
      <c r="ID30" s="116"/>
      <c r="IE30" s="116"/>
      <c r="IF30" s="116"/>
      <c r="IG30" s="116"/>
      <c r="IH30" s="116"/>
      <c r="II30" s="116"/>
      <c r="IJ30" s="116"/>
      <c r="IK30" s="116"/>
      <c r="IL30" s="116"/>
      <c r="IM30" s="116"/>
      <c r="IN30" s="116"/>
      <c r="IO30" s="116"/>
      <c r="IP30" s="116"/>
      <c r="IQ30" s="116"/>
      <c r="IR30" s="116"/>
      <c r="IS30" s="116"/>
      <c r="IT30" s="116"/>
      <c r="IU30" s="116"/>
      <c r="IV30" s="116"/>
      <c r="IW30" s="116"/>
      <c r="IX30" s="116"/>
      <c r="IY30" s="116"/>
      <c r="IZ30" s="116"/>
      <c r="JA30" s="116"/>
      <c r="JB30" s="116"/>
      <c r="JC30" s="116"/>
      <c r="JD30" s="116"/>
      <c r="JE30" s="116"/>
      <c r="JF30" s="116"/>
      <c r="JG30" s="116"/>
      <c r="JH30" s="116"/>
      <c r="JI30" s="116"/>
      <c r="JJ30" s="116"/>
      <c r="JK30" s="116"/>
      <c r="JL30" s="116"/>
      <c r="JM30" s="116"/>
      <c r="JN30" s="116"/>
      <c r="JO30" s="116"/>
      <c r="JP30" s="116"/>
      <c r="JQ30" s="116"/>
      <c r="JR30" s="116"/>
      <c r="JS30" s="116"/>
      <c r="JT30" s="116"/>
      <c r="JU30" s="116"/>
      <c r="JV30" s="116"/>
      <c r="JW30" s="116"/>
      <c r="JX30" s="116"/>
      <c r="JY30" s="116"/>
      <c r="JZ30" s="116"/>
      <c r="KA30" s="116"/>
      <c r="KB30" s="116"/>
      <c r="KC30" s="116"/>
      <c r="KD30" s="116"/>
      <c r="KE30" s="116"/>
      <c r="KF30" s="116"/>
      <c r="KG30" s="116"/>
      <c r="KH30" s="116"/>
      <c r="KI30" s="116"/>
      <c r="KJ30" s="116"/>
    </row>
    <row r="31" spans="1:296" s="5" customFormat="1" x14ac:dyDescent="0.3">
      <c r="A31" s="71" t="s">
        <v>107</v>
      </c>
      <c r="B31" s="72" t="str">
        <f>VLOOKUP(A31,'[1]PRODUCTO NACIONAL'!$A$4:$R$161,6,FALSE)</f>
        <v>MURRAY|BLANCA</v>
      </c>
      <c r="C31" s="73">
        <f>IFERROR(HLOOKUP(A31,[4]dimensiones_pdfs!$C$3:$Z$5,3,FALSE),0)</f>
        <v>0</v>
      </c>
      <c r="D31" s="107">
        <f>VLOOKUP(A31,'[1]PRODUCTO NACIONAL'!$A$4:$R$161,18,FALSE)</f>
        <v>2.2825013023320428</v>
      </c>
      <c r="E31" s="5">
        <f t="shared" si="0"/>
        <v>0</v>
      </c>
      <c r="F31" s="22"/>
      <c r="H31"/>
      <c r="I31" s="28"/>
      <c r="J31" s="39"/>
      <c r="K31" s="70"/>
      <c r="L31" s="75"/>
      <c r="M31" s="127"/>
      <c r="N31" s="77"/>
      <c r="O31" s="165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6"/>
      <c r="CG31" s="116"/>
      <c r="CH31" s="116"/>
      <c r="CI31" s="116"/>
      <c r="CJ31" s="116"/>
      <c r="CK31" s="116"/>
      <c r="CL31" s="116"/>
      <c r="CM31" s="116"/>
      <c r="CN31" s="116"/>
      <c r="CO31" s="116"/>
      <c r="CP31" s="116"/>
      <c r="CQ31" s="116"/>
      <c r="CR31" s="116"/>
      <c r="CS31" s="116"/>
      <c r="CT31" s="116"/>
      <c r="CU31" s="116"/>
      <c r="CV31" s="116"/>
      <c r="CW31" s="116"/>
      <c r="CX31" s="116"/>
      <c r="CY31" s="116"/>
      <c r="CZ31" s="116"/>
      <c r="DA31" s="116"/>
      <c r="DB31" s="116"/>
      <c r="DC31" s="116"/>
      <c r="DD31" s="116"/>
      <c r="DE31" s="116"/>
      <c r="DF31" s="116"/>
      <c r="DG31" s="116"/>
      <c r="DH31" s="116"/>
      <c r="DI31" s="116"/>
      <c r="DJ31" s="116"/>
      <c r="DK31" s="116"/>
      <c r="DL31" s="116"/>
      <c r="DM31" s="116"/>
      <c r="DN31" s="116"/>
      <c r="DO31" s="116"/>
      <c r="DP31" s="116"/>
      <c r="DQ31" s="116"/>
      <c r="DR31" s="116"/>
      <c r="DS31" s="116"/>
      <c r="DT31" s="116"/>
      <c r="DU31" s="116"/>
      <c r="DV31" s="116"/>
      <c r="DW31" s="116"/>
      <c r="DX31" s="116"/>
      <c r="DY31" s="116"/>
      <c r="DZ31" s="116"/>
      <c r="EA31" s="116"/>
      <c r="EB31" s="116"/>
      <c r="EC31" s="116"/>
      <c r="ED31" s="116"/>
      <c r="EE31" s="116"/>
      <c r="EF31" s="116"/>
      <c r="EG31" s="116"/>
      <c r="EH31" s="116"/>
      <c r="EI31" s="116"/>
      <c r="EJ31" s="116"/>
      <c r="EK31" s="116"/>
      <c r="EL31" s="116"/>
      <c r="EM31" s="116"/>
      <c r="EN31" s="116"/>
      <c r="EO31" s="116"/>
      <c r="EP31" s="116"/>
      <c r="EQ31" s="116"/>
      <c r="ER31" s="116"/>
      <c r="ES31" s="116"/>
      <c r="ET31" s="116"/>
      <c r="EU31" s="116"/>
      <c r="EV31" s="116"/>
      <c r="EW31" s="116"/>
      <c r="EX31" s="116"/>
      <c r="EY31" s="116"/>
      <c r="EZ31" s="116"/>
      <c r="FA31" s="116"/>
      <c r="FB31" s="116"/>
      <c r="FC31" s="116"/>
      <c r="FD31" s="116"/>
      <c r="FE31" s="116"/>
      <c r="FF31" s="116"/>
      <c r="FG31" s="116"/>
      <c r="FH31" s="116"/>
      <c r="FI31" s="116"/>
      <c r="FJ31" s="116"/>
      <c r="FK31" s="116"/>
      <c r="FL31" s="116"/>
      <c r="FM31" s="116"/>
      <c r="FN31" s="116"/>
      <c r="FO31" s="116"/>
      <c r="FP31" s="116"/>
      <c r="FQ31" s="116"/>
      <c r="FR31" s="116"/>
      <c r="FS31" s="116"/>
      <c r="FT31" s="116"/>
      <c r="FU31" s="116"/>
      <c r="FV31" s="116"/>
      <c r="FW31" s="116"/>
      <c r="FX31" s="116"/>
      <c r="FY31" s="116"/>
      <c r="FZ31" s="116"/>
      <c r="GA31" s="116"/>
      <c r="GB31" s="116"/>
      <c r="GC31" s="116"/>
      <c r="GD31" s="116"/>
      <c r="GE31" s="116"/>
      <c r="GF31" s="116"/>
      <c r="GG31" s="116"/>
      <c r="GH31" s="116"/>
      <c r="GI31" s="116"/>
      <c r="GJ31" s="116"/>
      <c r="GK31" s="116"/>
      <c r="GL31" s="116"/>
      <c r="GM31" s="116"/>
      <c r="GN31" s="116"/>
      <c r="GO31" s="116"/>
      <c r="GP31" s="116"/>
      <c r="GQ31" s="116"/>
      <c r="GR31" s="116"/>
      <c r="GS31" s="116"/>
      <c r="GT31" s="116"/>
      <c r="GU31" s="116"/>
      <c r="GV31" s="116"/>
      <c r="GW31" s="116"/>
      <c r="GX31" s="116"/>
      <c r="GY31" s="116"/>
      <c r="GZ31" s="116"/>
      <c r="HA31" s="116"/>
      <c r="HB31" s="116"/>
      <c r="HC31" s="116"/>
      <c r="HD31" s="116"/>
      <c r="HE31" s="116"/>
      <c r="HF31" s="116"/>
      <c r="HG31" s="116"/>
      <c r="HH31" s="116"/>
      <c r="HI31" s="116"/>
      <c r="HJ31" s="116"/>
      <c r="HK31" s="116"/>
      <c r="HL31" s="116"/>
      <c r="HM31" s="116"/>
      <c r="HN31" s="116"/>
      <c r="HO31" s="116"/>
      <c r="HP31" s="116"/>
      <c r="HQ31" s="116"/>
      <c r="HR31" s="116"/>
      <c r="HS31" s="116"/>
      <c r="HT31" s="116"/>
      <c r="HU31" s="116"/>
      <c r="HV31" s="116"/>
      <c r="HW31" s="116"/>
      <c r="HX31" s="116"/>
      <c r="HY31" s="116"/>
      <c r="HZ31" s="116"/>
      <c r="IA31" s="116"/>
      <c r="IB31" s="116"/>
      <c r="IC31" s="116"/>
      <c r="ID31" s="116"/>
      <c r="IE31" s="116"/>
      <c r="IF31" s="116"/>
      <c r="IG31" s="116"/>
      <c r="IH31" s="116"/>
      <c r="II31" s="116"/>
      <c r="IJ31" s="116"/>
      <c r="IK31" s="116"/>
      <c r="IL31" s="116"/>
      <c r="IM31" s="116"/>
      <c r="IN31" s="116"/>
      <c r="IO31" s="116"/>
      <c r="IP31" s="116"/>
      <c r="IQ31" s="116"/>
      <c r="IR31" s="116"/>
      <c r="IS31" s="116"/>
      <c r="IT31" s="116"/>
      <c r="IU31" s="116"/>
      <c r="IV31" s="116"/>
      <c r="IW31" s="116"/>
      <c r="IX31" s="116"/>
      <c r="IY31" s="116"/>
      <c r="IZ31" s="116"/>
      <c r="JA31" s="116"/>
      <c r="JB31" s="116"/>
      <c r="JC31" s="116"/>
      <c r="JD31" s="116"/>
      <c r="JE31" s="116"/>
      <c r="JF31" s="116"/>
      <c r="JG31" s="116"/>
      <c r="JH31" s="116"/>
      <c r="JI31" s="116"/>
      <c r="JJ31" s="116"/>
      <c r="JK31" s="116"/>
      <c r="JL31" s="116"/>
      <c r="JM31" s="116"/>
      <c r="JN31" s="116"/>
      <c r="JO31" s="116"/>
      <c r="JP31" s="116"/>
      <c r="JQ31" s="116"/>
      <c r="JR31" s="116"/>
      <c r="JS31" s="116"/>
      <c r="JT31" s="116"/>
      <c r="JU31" s="116"/>
      <c r="JV31" s="116"/>
      <c r="JW31" s="116"/>
      <c r="JX31" s="116"/>
      <c r="JY31" s="116"/>
      <c r="JZ31" s="116"/>
      <c r="KA31" s="116"/>
      <c r="KB31" s="116"/>
      <c r="KC31" s="116"/>
      <c r="KD31" s="116"/>
      <c r="KE31" s="116"/>
      <c r="KF31" s="116"/>
      <c r="KG31" s="116"/>
      <c r="KH31" s="116"/>
      <c r="KI31" s="116"/>
      <c r="KJ31" s="116"/>
    </row>
    <row r="32" spans="1:296" s="5" customFormat="1" x14ac:dyDescent="0.3">
      <c r="A32" s="71" t="s">
        <v>108</v>
      </c>
      <c r="B32" s="72" t="str">
        <f>VLOOKUP(A32,'[1]PRODUCTO NACIONAL'!$A$4:$R$161,6,FALSE)</f>
        <v>Rollo de Galeon 150 ancho</v>
      </c>
      <c r="C32" s="73">
        <f>IFERROR(HLOOKUP(A32,[4]dimensiones_pdfs!$C$3:$Z$5,3,FALSE),0)</f>
        <v>7.3363606943246893</v>
      </c>
      <c r="D32" s="107">
        <f>VLOOKUP(A32,'[1]PRODUCTO NACIONAL'!$A$4:$R$161,18,FALSE)</f>
        <v>0.77499999999999991</v>
      </c>
      <c r="E32" s="5">
        <f t="shared" si="0"/>
        <v>-5.6856795381016338</v>
      </c>
      <c r="F32" s="22"/>
      <c r="H32"/>
      <c r="I32" s="28"/>
      <c r="J32" s="39"/>
      <c r="K32" s="70"/>
      <c r="L32" s="75"/>
      <c r="M32" s="127"/>
      <c r="N32" s="77"/>
      <c r="O32" s="165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  <c r="DM32" s="116"/>
      <c r="DN32" s="116"/>
      <c r="DO32" s="116"/>
      <c r="DP32" s="116"/>
      <c r="DQ32" s="116"/>
      <c r="DR32" s="116"/>
      <c r="DS32" s="116"/>
      <c r="DT32" s="116"/>
      <c r="DU32" s="116"/>
      <c r="DV32" s="116"/>
      <c r="DW32" s="116"/>
      <c r="DX32" s="116"/>
      <c r="DY32" s="116"/>
      <c r="DZ32" s="116"/>
      <c r="EA32" s="116"/>
      <c r="EB32" s="116"/>
      <c r="EC32" s="116"/>
      <c r="ED32" s="116"/>
      <c r="EE32" s="116"/>
      <c r="EF32" s="116"/>
      <c r="EG32" s="116"/>
      <c r="EH32" s="116"/>
      <c r="EI32" s="116"/>
      <c r="EJ32" s="116"/>
      <c r="EK32" s="116"/>
      <c r="EL32" s="116"/>
      <c r="EM32" s="116"/>
      <c r="EN32" s="116"/>
      <c r="EO32" s="116"/>
      <c r="EP32" s="116"/>
      <c r="EQ32" s="116"/>
      <c r="ER32" s="116"/>
      <c r="ES32" s="116"/>
      <c r="ET32" s="116"/>
      <c r="EU32" s="116"/>
      <c r="EV32" s="116"/>
      <c r="EW32" s="116"/>
      <c r="EX32" s="116"/>
      <c r="EY32" s="116"/>
      <c r="EZ32" s="116"/>
      <c r="FA32" s="116"/>
      <c r="FB32" s="116"/>
      <c r="FC32" s="116"/>
      <c r="FD32" s="116"/>
      <c r="FE32" s="116"/>
      <c r="FF32" s="116"/>
      <c r="FG32" s="116"/>
      <c r="FH32" s="116"/>
      <c r="FI32" s="116"/>
      <c r="FJ32" s="116"/>
      <c r="FK32" s="116"/>
      <c r="FL32" s="116"/>
      <c r="FM32" s="116"/>
      <c r="FN32" s="116"/>
      <c r="FO32" s="116"/>
      <c r="FP32" s="116"/>
      <c r="FQ32" s="116"/>
      <c r="FR32" s="116"/>
      <c r="FS32" s="116"/>
      <c r="FT32" s="116"/>
      <c r="FU32" s="116"/>
      <c r="FV32" s="116"/>
      <c r="FW32" s="116"/>
      <c r="FX32" s="116"/>
      <c r="FY32" s="116"/>
      <c r="FZ32" s="116"/>
      <c r="GA32" s="116"/>
      <c r="GB32" s="116"/>
      <c r="GC32" s="116"/>
      <c r="GD32" s="116"/>
      <c r="GE32" s="116"/>
      <c r="GF32" s="116"/>
      <c r="GG32" s="116"/>
      <c r="GH32" s="116"/>
      <c r="GI32" s="116"/>
      <c r="GJ32" s="116"/>
      <c r="GK32" s="116"/>
      <c r="GL32" s="116"/>
      <c r="GM32" s="116"/>
      <c r="GN32" s="116"/>
      <c r="GO32" s="116"/>
      <c r="GP32" s="116"/>
      <c r="GQ32" s="116"/>
      <c r="GR32" s="116"/>
      <c r="GS32" s="116"/>
      <c r="GT32" s="116"/>
      <c r="GU32" s="116"/>
      <c r="GV32" s="116"/>
      <c r="GW32" s="116"/>
      <c r="GX32" s="116"/>
      <c r="GY32" s="116"/>
      <c r="GZ32" s="116"/>
      <c r="HA32" s="116"/>
      <c r="HB32" s="116"/>
      <c r="HC32" s="116"/>
      <c r="HD32" s="116"/>
      <c r="HE32" s="116"/>
      <c r="HF32" s="116"/>
      <c r="HG32" s="116"/>
      <c r="HH32" s="116"/>
      <c r="HI32" s="116"/>
      <c r="HJ32" s="116"/>
      <c r="HK32" s="116"/>
      <c r="HL32" s="116"/>
      <c r="HM32" s="116"/>
      <c r="HN32" s="116"/>
      <c r="HO32" s="116"/>
      <c r="HP32" s="116"/>
      <c r="HQ32" s="116"/>
      <c r="HR32" s="116"/>
      <c r="HS32" s="116"/>
      <c r="HT32" s="116"/>
      <c r="HU32" s="116"/>
      <c r="HV32" s="116"/>
      <c r="HW32" s="116"/>
      <c r="HX32" s="116"/>
      <c r="HY32" s="116"/>
      <c r="HZ32" s="116"/>
      <c r="IA32" s="116"/>
      <c r="IB32" s="116"/>
      <c r="IC32" s="116"/>
      <c r="ID32" s="116"/>
      <c r="IE32" s="116"/>
      <c r="IF32" s="116"/>
      <c r="IG32" s="116"/>
      <c r="IH32" s="116"/>
      <c r="II32" s="116"/>
      <c r="IJ32" s="116"/>
      <c r="IK32" s="116"/>
      <c r="IL32" s="116"/>
      <c r="IM32" s="116"/>
      <c r="IN32" s="116"/>
      <c r="IO32" s="116"/>
      <c r="IP32" s="116"/>
      <c r="IQ32" s="116"/>
      <c r="IR32" s="116"/>
      <c r="IS32" s="116"/>
      <c r="IT32" s="116"/>
      <c r="IU32" s="116"/>
      <c r="IV32" s="116"/>
      <c r="IW32" s="116"/>
      <c r="IX32" s="116"/>
      <c r="IY32" s="116"/>
      <c r="IZ32" s="116"/>
      <c r="JA32" s="116"/>
      <c r="JB32" s="116"/>
      <c r="JC32" s="116"/>
      <c r="JD32" s="116"/>
      <c r="JE32" s="116"/>
      <c r="JF32" s="116"/>
      <c r="JG32" s="116"/>
      <c r="JH32" s="116"/>
      <c r="JI32" s="116"/>
      <c r="JJ32" s="116"/>
      <c r="JK32" s="116"/>
      <c r="JL32" s="116"/>
      <c r="JM32" s="116"/>
      <c r="JN32" s="116"/>
      <c r="JO32" s="116"/>
      <c r="JP32" s="116"/>
      <c r="JQ32" s="116"/>
      <c r="JR32" s="116"/>
      <c r="JS32" s="116"/>
      <c r="JT32" s="116"/>
      <c r="JU32" s="116"/>
      <c r="JV32" s="116"/>
      <c r="JW32" s="116"/>
      <c r="JX32" s="116"/>
      <c r="JY32" s="116"/>
      <c r="JZ32" s="116"/>
      <c r="KA32" s="116"/>
      <c r="KB32" s="116"/>
      <c r="KC32" s="116"/>
      <c r="KD32" s="116"/>
      <c r="KE32" s="116"/>
      <c r="KF32" s="116"/>
      <c r="KG32" s="116"/>
      <c r="KH32" s="116"/>
      <c r="KI32" s="116"/>
      <c r="KJ32" s="116"/>
    </row>
    <row r="33" spans="1:296" s="39" customFormat="1" x14ac:dyDescent="0.3">
      <c r="A33" s="71" t="s">
        <v>114</v>
      </c>
      <c r="B33" s="72" t="str">
        <f>VLOOKUP(A33,'[1]PRODUCTO NACIONAL'!$A$4:$R$161,6,FALSE)</f>
        <v>PIEL DE DURAZNO</v>
      </c>
      <c r="C33" s="73">
        <f>IFERROR(HLOOKUP(A33,[4]dimensiones_pdfs!$C$3:$Z$5,3,FALSE),0)</f>
        <v>0</v>
      </c>
      <c r="D33" s="107">
        <f>VLOOKUP(A33,'[1]PRODUCTO NACIONAL'!$A$4:$R$161,18,FALSE)</f>
        <v>2.5</v>
      </c>
      <c r="E33" s="5">
        <f t="shared" si="0"/>
        <v>0</v>
      </c>
      <c r="F33" s="22"/>
      <c r="G33" s="5"/>
      <c r="H33"/>
      <c r="I33" s="28"/>
      <c r="K33" s="70"/>
      <c r="L33" s="75"/>
      <c r="M33" s="127"/>
      <c r="N33" s="77"/>
      <c r="O33" s="164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DZ33" s="100"/>
      <c r="EA33" s="100"/>
      <c r="EB33" s="100"/>
      <c r="EC33" s="100"/>
      <c r="ED33" s="100"/>
      <c r="EE33" s="100"/>
      <c r="EF33" s="100"/>
      <c r="EG33" s="100"/>
      <c r="EH33" s="100"/>
      <c r="EI33" s="100"/>
      <c r="EJ33" s="100"/>
      <c r="EK33" s="100"/>
      <c r="EL33" s="100"/>
      <c r="EM33" s="100"/>
      <c r="EN33" s="100"/>
      <c r="EO33" s="100"/>
      <c r="EP33" s="100"/>
      <c r="EQ33" s="100"/>
      <c r="ER33" s="100"/>
      <c r="ES33" s="100"/>
      <c r="ET33" s="100"/>
      <c r="EU33" s="100"/>
      <c r="EV33" s="100"/>
      <c r="EW33" s="100"/>
      <c r="EX33" s="100"/>
      <c r="EY33" s="100"/>
      <c r="EZ33" s="100"/>
      <c r="FA33" s="100"/>
      <c r="FB33" s="100"/>
      <c r="FC33" s="100"/>
      <c r="FD33" s="100"/>
      <c r="FE33" s="100"/>
      <c r="FF33" s="100"/>
      <c r="FG33" s="100"/>
      <c r="FH33" s="100"/>
      <c r="FI33" s="100"/>
      <c r="FJ33" s="100"/>
      <c r="FK33" s="100"/>
      <c r="FL33" s="100"/>
      <c r="FM33" s="100"/>
      <c r="FN33" s="100"/>
      <c r="FO33" s="100"/>
      <c r="FP33" s="100"/>
      <c r="FQ33" s="100"/>
      <c r="FR33" s="100"/>
      <c r="FS33" s="100"/>
      <c r="FT33" s="100"/>
      <c r="FU33" s="100"/>
      <c r="FV33" s="100"/>
      <c r="FW33" s="100"/>
      <c r="FX33" s="100"/>
      <c r="FY33" s="100"/>
      <c r="FZ33" s="100"/>
      <c r="GA33" s="100"/>
      <c r="GB33" s="100"/>
      <c r="GC33" s="100"/>
      <c r="GD33" s="100"/>
      <c r="GE33" s="100"/>
      <c r="GF33" s="100"/>
      <c r="GG33" s="100"/>
      <c r="GH33" s="100"/>
      <c r="GI33" s="100"/>
      <c r="GJ33" s="100"/>
      <c r="GK33" s="100"/>
      <c r="GL33" s="100"/>
      <c r="GM33" s="100"/>
      <c r="GN33" s="100"/>
      <c r="GO33" s="100"/>
      <c r="GP33" s="100"/>
      <c r="GQ33" s="100"/>
      <c r="GR33" s="100"/>
      <c r="GS33" s="100"/>
      <c r="GT33" s="100"/>
      <c r="GU33" s="100"/>
      <c r="GV33" s="100"/>
      <c r="GW33" s="100"/>
      <c r="GX33" s="100"/>
      <c r="GY33" s="100"/>
      <c r="GZ33" s="100"/>
      <c r="HA33" s="100"/>
      <c r="HB33" s="100"/>
      <c r="HC33" s="100"/>
      <c r="HD33" s="100"/>
      <c r="HE33" s="100"/>
      <c r="HF33" s="100"/>
      <c r="HG33" s="100"/>
      <c r="HH33" s="100"/>
      <c r="HI33" s="100"/>
      <c r="HJ33" s="100"/>
      <c r="HK33" s="100"/>
      <c r="HL33" s="100"/>
      <c r="HM33" s="100"/>
      <c r="HN33" s="100"/>
      <c r="HO33" s="100"/>
      <c r="HP33" s="100"/>
      <c r="HQ33" s="100"/>
      <c r="HR33" s="100"/>
      <c r="HS33" s="100"/>
      <c r="HT33" s="100"/>
      <c r="HU33" s="100"/>
      <c r="HV33" s="100"/>
      <c r="HW33" s="100"/>
      <c r="HX33" s="100"/>
      <c r="HY33" s="100"/>
      <c r="HZ33" s="100"/>
      <c r="IA33" s="100"/>
      <c r="IB33" s="100"/>
      <c r="IC33" s="100"/>
      <c r="ID33" s="100"/>
      <c r="IE33" s="100"/>
      <c r="IF33" s="100"/>
      <c r="IG33" s="100"/>
      <c r="IH33" s="100"/>
      <c r="II33" s="100"/>
      <c r="IJ33" s="100"/>
      <c r="IK33" s="100"/>
      <c r="IL33" s="100"/>
      <c r="IM33" s="100"/>
      <c r="IN33" s="100"/>
      <c r="IO33" s="100"/>
      <c r="IP33" s="100"/>
      <c r="IQ33" s="100"/>
      <c r="IR33" s="100"/>
      <c r="IS33" s="100"/>
      <c r="IT33" s="100"/>
      <c r="IU33" s="100"/>
      <c r="IV33" s="100"/>
      <c r="IW33" s="100"/>
      <c r="IX33" s="100"/>
      <c r="IY33" s="100"/>
      <c r="IZ33" s="100"/>
      <c r="JA33" s="100"/>
      <c r="JB33" s="100"/>
      <c r="JC33" s="100"/>
      <c r="JD33" s="100"/>
      <c r="JE33" s="100"/>
      <c r="JF33" s="100"/>
      <c r="JG33" s="100"/>
      <c r="JH33" s="100"/>
      <c r="JI33" s="100"/>
      <c r="JJ33" s="100"/>
      <c r="JK33" s="100"/>
      <c r="JL33" s="100"/>
      <c r="JM33" s="100"/>
      <c r="JN33" s="100"/>
      <c r="JO33" s="100"/>
      <c r="JP33" s="100"/>
      <c r="JQ33" s="100"/>
      <c r="JR33" s="100"/>
      <c r="JS33" s="100"/>
      <c r="JT33" s="100"/>
      <c r="JU33" s="100"/>
      <c r="JV33" s="100"/>
      <c r="JW33" s="100"/>
      <c r="JX33" s="100"/>
      <c r="JY33" s="100"/>
      <c r="JZ33" s="100"/>
      <c r="KA33" s="100"/>
      <c r="KB33" s="100"/>
      <c r="KC33" s="100"/>
      <c r="KD33" s="100"/>
      <c r="KE33" s="100"/>
      <c r="KF33" s="100"/>
      <c r="KG33" s="100"/>
      <c r="KH33" s="100"/>
      <c r="KI33" s="100"/>
      <c r="KJ33" s="100"/>
    </row>
    <row r="34" spans="1:296" s="39" customFormat="1" x14ac:dyDescent="0.3">
      <c r="A34" s="71" t="s">
        <v>115</v>
      </c>
      <c r="B34" s="72" t="str">
        <f>VLOOKUP(A34,'[1]PRODUCTO NACIONAL'!$A$4:$R$161,6,FALSE)</f>
        <v>D2002 Rollo Ernest 1.70m x 140gr</v>
      </c>
      <c r="C34" s="73">
        <f>IFERROR(HLOOKUP(A34,[4]dimensiones_pdfs!$C$3:$Z$5,3,FALSE),0)</f>
        <v>12.418262057005819</v>
      </c>
      <c r="D34" s="107">
        <f>VLOOKUP(A34,'[1]PRODUCTO NACIONAL'!$A$4:$R$161,18,FALSE)</f>
        <v>1.4285714285714286</v>
      </c>
      <c r="E34" s="5">
        <f t="shared" si="0"/>
        <v>-17.740374367151169</v>
      </c>
      <c r="F34" s="22"/>
      <c r="G34" s="5"/>
      <c r="H34"/>
      <c r="I34" s="28"/>
      <c r="K34" s="70"/>
      <c r="L34" s="75"/>
      <c r="M34" s="127"/>
      <c r="N34" s="77"/>
      <c r="O34" s="164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00"/>
      <c r="CX34" s="100"/>
      <c r="CY34" s="100"/>
      <c r="CZ34" s="100"/>
      <c r="DA34" s="100"/>
      <c r="DB34" s="100"/>
      <c r="DC34" s="100"/>
      <c r="DD34" s="100"/>
      <c r="DE34" s="100"/>
      <c r="DF34" s="100"/>
      <c r="DG34" s="100"/>
      <c r="DH34" s="100"/>
      <c r="DI34" s="100"/>
      <c r="DJ34" s="100"/>
      <c r="DK34" s="100"/>
      <c r="DL34" s="100"/>
      <c r="DM34" s="100"/>
      <c r="DN34" s="100"/>
      <c r="DO34" s="100"/>
      <c r="DP34" s="100"/>
      <c r="DQ34" s="100"/>
      <c r="DR34" s="100"/>
      <c r="DS34" s="100"/>
      <c r="DT34" s="100"/>
      <c r="DU34" s="100"/>
      <c r="DV34" s="100"/>
      <c r="DW34" s="100"/>
      <c r="DX34" s="100"/>
      <c r="DY34" s="100"/>
      <c r="DZ34" s="100"/>
      <c r="EA34" s="100"/>
      <c r="EB34" s="100"/>
      <c r="EC34" s="100"/>
      <c r="ED34" s="100"/>
      <c r="EE34" s="100"/>
      <c r="EF34" s="100"/>
      <c r="EG34" s="100"/>
      <c r="EH34" s="100"/>
      <c r="EI34" s="100"/>
      <c r="EJ34" s="100"/>
      <c r="EK34" s="100"/>
      <c r="EL34" s="100"/>
      <c r="EM34" s="100"/>
      <c r="EN34" s="100"/>
      <c r="EO34" s="100"/>
      <c r="EP34" s="100"/>
      <c r="EQ34" s="100"/>
      <c r="ER34" s="100"/>
      <c r="ES34" s="100"/>
      <c r="ET34" s="100"/>
      <c r="EU34" s="100"/>
      <c r="EV34" s="100"/>
      <c r="EW34" s="100"/>
      <c r="EX34" s="100"/>
      <c r="EY34" s="100"/>
      <c r="EZ34" s="100"/>
      <c r="FA34" s="100"/>
      <c r="FB34" s="100"/>
      <c r="FC34" s="100"/>
      <c r="FD34" s="100"/>
      <c r="FE34" s="100"/>
      <c r="FF34" s="100"/>
      <c r="FG34" s="100"/>
      <c r="FH34" s="100"/>
      <c r="FI34" s="100"/>
      <c r="FJ34" s="100"/>
      <c r="FK34" s="100"/>
      <c r="FL34" s="100"/>
      <c r="FM34" s="100"/>
      <c r="FN34" s="100"/>
      <c r="FO34" s="100"/>
      <c r="FP34" s="100"/>
      <c r="FQ34" s="100"/>
      <c r="FR34" s="100"/>
      <c r="FS34" s="100"/>
      <c r="FT34" s="100"/>
      <c r="FU34" s="100"/>
      <c r="FV34" s="100"/>
      <c r="FW34" s="100"/>
      <c r="FX34" s="100"/>
      <c r="FY34" s="100"/>
      <c r="FZ34" s="100"/>
      <c r="GA34" s="100"/>
      <c r="GB34" s="100"/>
      <c r="GC34" s="100"/>
      <c r="GD34" s="100"/>
      <c r="GE34" s="100"/>
      <c r="GF34" s="100"/>
      <c r="GG34" s="100"/>
      <c r="GH34" s="100"/>
      <c r="GI34" s="100"/>
      <c r="GJ34" s="100"/>
      <c r="GK34" s="100"/>
      <c r="GL34" s="100"/>
      <c r="GM34" s="100"/>
      <c r="GN34" s="100"/>
      <c r="GO34" s="100"/>
      <c r="GP34" s="100"/>
      <c r="GQ34" s="100"/>
      <c r="GR34" s="100"/>
      <c r="GS34" s="100"/>
      <c r="GT34" s="100"/>
      <c r="GU34" s="100"/>
      <c r="GV34" s="100"/>
      <c r="GW34" s="100"/>
      <c r="GX34" s="100"/>
      <c r="GY34" s="100"/>
      <c r="GZ34" s="100"/>
      <c r="HA34" s="100"/>
      <c r="HB34" s="100"/>
      <c r="HC34" s="100"/>
      <c r="HD34" s="100"/>
      <c r="HE34" s="100"/>
      <c r="HF34" s="100"/>
      <c r="HG34" s="100"/>
      <c r="HH34" s="100"/>
      <c r="HI34" s="100"/>
      <c r="HJ34" s="100"/>
      <c r="HK34" s="100"/>
      <c r="HL34" s="100"/>
      <c r="HM34" s="100"/>
      <c r="HN34" s="100"/>
      <c r="HO34" s="100"/>
      <c r="HP34" s="100"/>
      <c r="HQ34" s="100"/>
      <c r="HR34" s="100"/>
      <c r="HS34" s="100"/>
      <c r="HT34" s="100"/>
      <c r="HU34" s="100"/>
      <c r="HV34" s="100"/>
      <c r="HW34" s="100"/>
      <c r="HX34" s="100"/>
      <c r="HY34" s="100"/>
      <c r="HZ34" s="100"/>
      <c r="IA34" s="100"/>
      <c r="IB34" s="100"/>
      <c r="IC34" s="100"/>
      <c r="ID34" s="100"/>
      <c r="IE34" s="100"/>
      <c r="IF34" s="100"/>
      <c r="IG34" s="100"/>
      <c r="IH34" s="100"/>
      <c r="II34" s="100"/>
      <c r="IJ34" s="100"/>
      <c r="IK34" s="100"/>
      <c r="IL34" s="100"/>
      <c r="IM34" s="100"/>
      <c r="IN34" s="100"/>
      <c r="IO34" s="100"/>
      <c r="IP34" s="100"/>
      <c r="IQ34" s="100"/>
      <c r="IR34" s="100"/>
      <c r="IS34" s="100"/>
      <c r="IT34" s="100"/>
      <c r="IU34" s="100"/>
      <c r="IV34" s="100"/>
      <c r="IW34" s="100"/>
      <c r="IX34" s="100"/>
      <c r="IY34" s="100"/>
      <c r="IZ34" s="100"/>
      <c r="JA34" s="100"/>
      <c r="JB34" s="100"/>
      <c r="JC34" s="100"/>
      <c r="JD34" s="100"/>
      <c r="JE34" s="100"/>
      <c r="JF34" s="100"/>
      <c r="JG34" s="100"/>
      <c r="JH34" s="100"/>
      <c r="JI34" s="100"/>
      <c r="JJ34" s="100"/>
      <c r="JK34" s="100"/>
      <c r="JL34" s="100"/>
      <c r="JM34" s="100"/>
      <c r="JN34" s="100"/>
      <c r="JO34" s="100"/>
      <c r="JP34" s="100"/>
      <c r="JQ34" s="100"/>
      <c r="JR34" s="100"/>
      <c r="JS34" s="100"/>
      <c r="JT34" s="100"/>
      <c r="JU34" s="100"/>
      <c r="JV34" s="100"/>
      <c r="JW34" s="100"/>
      <c r="JX34" s="100"/>
      <c r="JY34" s="100"/>
      <c r="JZ34" s="100"/>
      <c r="KA34" s="100"/>
      <c r="KB34" s="100"/>
      <c r="KC34" s="100"/>
      <c r="KD34" s="100"/>
      <c r="KE34" s="100"/>
      <c r="KF34" s="100"/>
      <c r="KG34" s="100"/>
      <c r="KH34" s="100"/>
      <c r="KI34" s="100"/>
      <c r="KJ34" s="100"/>
    </row>
    <row r="35" spans="1:296" s="39" customFormat="1" x14ac:dyDescent="0.3">
      <c r="A35" s="71" t="s">
        <v>116</v>
      </c>
      <c r="B35" s="72" t="str">
        <f>VLOOKUP(A35,'[1]PRODUCTO NACIONAL'!$A$4:$R$161,6,FALSE)</f>
        <v>PRADA LISA</v>
      </c>
      <c r="C35" s="73">
        <f>IFERROR(HLOOKUP(A35,[4]dimensiones_pdfs!$C$3:$Z$5,3,FALSE),0)</f>
        <v>0</v>
      </c>
      <c r="D35" s="107">
        <f>VLOOKUP(A35,'[1]PRODUCTO NACIONAL'!$A$4:$R$161,18,FALSE)</f>
        <v>2.5202399999999998</v>
      </c>
      <c r="E35" s="5">
        <f t="shared" si="0"/>
        <v>0</v>
      </c>
      <c r="F35" s="22"/>
      <c r="G35" s="5"/>
      <c r="H35"/>
      <c r="I35" s="28"/>
      <c r="K35" s="70"/>
      <c r="L35" s="75"/>
      <c r="M35" s="127"/>
      <c r="N35" s="77"/>
      <c r="O35" s="164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00"/>
      <c r="ER35" s="100"/>
      <c r="ES35" s="100"/>
      <c r="ET35" s="100"/>
      <c r="EU35" s="100"/>
      <c r="EV35" s="100"/>
      <c r="EW35" s="100"/>
      <c r="EX35" s="100"/>
      <c r="EY35" s="100"/>
      <c r="EZ35" s="100"/>
      <c r="FA35" s="100"/>
      <c r="FB35" s="100"/>
      <c r="FC35" s="100"/>
      <c r="FD35" s="100"/>
      <c r="FE35" s="100"/>
      <c r="FF35" s="100"/>
      <c r="FG35" s="100"/>
      <c r="FH35" s="100"/>
      <c r="FI35" s="100"/>
      <c r="FJ35" s="100"/>
      <c r="FK35" s="100"/>
      <c r="FL35" s="100"/>
      <c r="FM35" s="100"/>
      <c r="FN35" s="100"/>
      <c r="FO35" s="100"/>
      <c r="FP35" s="100"/>
      <c r="FQ35" s="100"/>
      <c r="FR35" s="100"/>
      <c r="FS35" s="100"/>
      <c r="FT35" s="100"/>
      <c r="FU35" s="100"/>
      <c r="FV35" s="100"/>
      <c r="FW35" s="100"/>
      <c r="FX35" s="100"/>
      <c r="FY35" s="100"/>
      <c r="FZ35" s="100"/>
      <c r="GA35" s="100"/>
      <c r="GB35" s="100"/>
      <c r="GC35" s="100"/>
      <c r="GD35" s="100"/>
      <c r="GE35" s="100"/>
      <c r="GF35" s="100"/>
      <c r="GG35" s="100"/>
      <c r="GH35" s="100"/>
      <c r="GI35" s="100"/>
      <c r="GJ35" s="100"/>
      <c r="GK35" s="100"/>
      <c r="GL35" s="100"/>
      <c r="GM35" s="100"/>
      <c r="GN35" s="100"/>
      <c r="GO35" s="100"/>
      <c r="GP35" s="100"/>
      <c r="GQ35" s="100"/>
      <c r="GR35" s="100"/>
      <c r="GS35" s="100"/>
      <c r="GT35" s="100"/>
      <c r="GU35" s="100"/>
      <c r="GV35" s="100"/>
      <c r="GW35" s="100"/>
      <c r="GX35" s="100"/>
      <c r="GY35" s="100"/>
      <c r="GZ35" s="100"/>
      <c r="HA35" s="100"/>
      <c r="HB35" s="100"/>
      <c r="HC35" s="100"/>
      <c r="HD35" s="100"/>
      <c r="HE35" s="100"/>
      <c r="HF35" s="100"/>
      <c r="HG35" s="100"/>
      <c r="HH35" s="100"/>
      <c r="HI35" s="100"/>
      <c r="HJ35" s="100"/>
      <c r="HK35" s="100"/>
      <c r="HL35" s="100"/>
      <c r="HM35" s="100"/>
      <c r="HN35" s="100"/>
      <c r="HO35" s="100"/>
      <c r="HP35" s="100"/>
      <c r="HQ35" s="100"/>
      <c r="HR35" s="100"/>
      <c r="HS35" s="100"/>
      <c r="HT35" s="100"/>
      <c r="HU35" s="100"/>
      <c r="HV35" s="100"/>
      <c r="HW35" s="100"/>
      <c r="HX35" s="100"/>
      <c r="HY35" s="100"/>
      <c r="HZ35" s="100"/>
      <c r="IA35" s="100"/>
      <c r="IB35" s="100"/>
      <c r="IC35" s="100"/>
      <c r="ID35" s="100"/>
      <c r="IE35" s="100"/>
      <c r="IF35" s="100"/>
      <c r="IG35" s="100"/>
      <c r="IH35" s="100"/>
      <c r="II35" s="100"/>
      <c r="IJ35" s="100"/>
      <c r="IK35" s="100"/>
      <c r="IL35" s="100"/>
      <c r="IM35" s="100"/>
      <c r="IN35" s="100"/>
      <c r="IO35" s="100"/>
      <c r="IP35" s="100"/>
      <c r="IQ35" s="100"/>
      <c r="IR35" s="100"/>
      <c r="IS35" s="100"/>
      <c r="IT35" s="100"/>
      <c r="IU35" s="100"/>
      <c r="IV35" s="100"/>
      <c r="IW35" s="100"/>
      <c r="IX35" s="100"/>
      <c r="IY35" s="100"/>
      <c r="IZ35" s="100"/>
      <c r="JA35" s="100"/>
      <c r="JB35" s="100"/>
      <c r="JC35" s="100"/>
      <c r="JD35" s="100"/>
      <c r="JE35" s="100"/>
      <c r="JF35" s="100"/>
      <c r="JG35" s="100"/>
      <c r="JH35" s="100"/>
      <c r="JI35" s="100"/>
      <c r="JJ35" s="100"/>
      <c r="JK35" s="100"/>
      <c r="JL35" s="100"/>
      <c r="JM35" s="100"/>
      <c r="JN35" s="100"/>
      <c r="JO35" s="100"/>
      <c r="JP35" s="100"/>
      <c r="JQ35" s="100"/>
      <c r="JR35" s="100"/>
      <c r="JS35" s="100"/>
      <c r="JT35" s="100"/>
      <c r="JU35" s="100"/>
      <c r="JV35" s="100"/>
      <c r="JW35" s="100"/>
      <c r="JX35" s="100"/>
      <c r="JY35" s="100"/>
      <c r="JZ35" s="100"/>
      <c r="KA35" s="100"/>
      <c r="KB35" s="100"/>
      <c r="KC35" s="100"/>
      <c r="KD35" s="100"/>
      <c r="KE35" s="100"/>
      <c r="KF35" s="100"/>
      <c r="KG35" s="100"/>
      <c r="KH35" s="100"/>
      <c r="KI35" s="100"/>
      <c r="KJ35" s="100"/>
    </row>
    <row r="36" spans="1:296" s="39" customFormat="1" x14ac:dyDescent="0.3">
      <c r="A36" s="71" t="s">
        <v>118</v>
      </c>
      <c r="B36" s="72" t="str">
        <f>VLOOKUP(A36,'[1]PRODUCTO NACIONAL'!$A$4:$R$161,6,FALSE)</f>
        <v>PRADA ROMBOS|CUADROS</v>
      </c>
      <c r="C36" s="73">
        <f>IFERROR(HLOOKUP(A36,[4]dimensiones_pdfs!$C$3:$Z$5,3,FALSE),0)</f>
        <v>0</v>
      </c>
      <c r="D36" s="107">
        <v>2</v>
      </c>
      <c r="E36" s="5">
        <f t="shared" si="0"/>
        <v>0</v>
      </c>
      <c r="F36" s="22"/>
      <c r="G36" s="5"/>
      <c r="H36"/>
      <c r="I36" s="28"/>
      <c r="K36" s="70"/>
      <c r="L36" s="75"/>
      <c r="M36" s="127"/>
      <c r="N36" s="77"/>
      <c r="O36" s="164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100"/>
      <c r="CT36" s="100"/>
      <c r="CU36" s="100"/>
      <c r="CV36" s="100"/>
      <c r="CW36" s="100"/>
      <c r="CX36" s="100"/>
      <c r="CY36" s="100"/>
      <c r="CZ36" s="100"/>
      <c r="DA36" s="100"/>
      <c r="DB36" s="100"/>
      <c r="DC36" s="100"/>
      <c r="DD36" s="100"/>
      <c r="DE36" s="100"/>
      <c r="DF36" s="100"/>
      <c r="DG36" s="100"/>
      <c r="DH36" s="100"/>
      <c r="DI36" s="100"/>
      <c r="DJ36" s="100"/>
      <c r="DK36" s="100"/>
      <c r="DL36" s="100"/>
      <c r="DM36" s="100"/>
      <c r="DN36" s="100"/>
      <c r="DO36" s="100"/>
      <c r="DP36" s="100"/>
      <c r="DQ36" s="100"/>
      <c r="DR36" s="100"/>
      <c r="DS36" s="100"/>
      <c r="DT36" s="100"/>
      <c r="DU36" s="100"/>
      <c r="DV36" s="100"/>
      <c r="DW36" s="100"/>
      <c r="DX36" s="100"/>
      <c r="DY36" s="100"/>
      <c r="DZ36" s="100"/>
      <c r="EA36" s="100"/>
      <c r="EB36" s="100"/>
      <c r="EC36" s="100"/>
      <c r="ED36" s="100"/>
      <c r="EE36" s="100"/>
      <c r="EF36" s="100"/>
      <c r="EG36" s="100"/>
      <c r="EH36" s="100"/>
      <c r="EI36" s="100"/>
      <c r="EJ36" s="100"/>
      <c r="EK36" s="100"/>
      <c r="EL36" s="100"/>
      <c r="EM36" s="100"/>
      <c r="EN36" s="100"/>
      <c r="EO36" s="100"/>
      <c r="EP36" s="100"/>
      <c r="EQ36" s="100"/>
      <c r="ER36" s="100"/>
      <c r="ES36" s="100"/>
      <c r="ET36" s="100"/>
      <c r="EU36" s="100"/>
      <c r="EV36" s="100"/>
      <c r="EW36" s="100"/>
      <c r="EX36" s="100"/>
      <c r="EY36" s="100"/>
      <c r="EZ36" s="100"/>
      <c r="FA36" s="100"/>
      <c r="FB36" s="100"/>
      <c r="FC36" s="100"/>
      <c r="FD36" s="100"/>
      <c r="FE36" s="100"/>
      <c r="FF36" s="100"/>
      <c r="FG36" s="100"/>
      <c r="FH36" s="100"/>
      <c r="FI36" s="100"/>
      <c r="FJ36" s="100"/>
      <c r="FK36" s="100"/>
      <c r="FL36" s="100"/>
      <c r="FM36" s="100"/>
      <c r="FN36" s="100"/>
      <c r="FO36" s="100"/>
      <c r="FP36" s="100"/>
      <c r="FQ36" s="100"/>
      <c r="FR36" s="100"/>
      <c r="FS36" s="100"/>
      <c r="FT36" s="100"/>
      <c r="FU36" s="100"/>
      <c r="FV36" s="100"/>
      <c r="FW36" s="100"/>
      <c r="FX36" s="100"/>
      <c r="FY36" s="100"/>
      <c r="FZ36" s="100"/>
      <c r="GA36" s="100"/>
      <c r="GB36" s="100"/>
      <c r="GC36" s="100"/>
      <c r="GD36" s="100"/>
      <c r="GE36" s="100"/>
      <c r="GF36" s="100"/>
      <c r="GG36" s="100"/>
      <c r="GH36" s="100"/>
      <c r="GI36" s="100"/>
      <c r="GJ36" s="100"/>
      <c r="GK36" s="100"/>
      <c r="GL36" s="100"/>
      <c r="GM36" s="100"/>
      <c r="GN36" s="100"/>
      <c r="GO36" s="100"/>
      <c r="GP36" s="100"/>
      <c r="GQ36" s="100"/>
      <c r="GR36" s="100"/>
      <c r="GS36" s="100"/>
      <c r="GT36" s="100"/>
      <c r="GU36" s="100"/>
      <c r="GV36" s="100"/>
      <c r="GW36" s="100"/>
      <c r="GX36" s="100"/>
      <c r="GY36" s="100"/>
      <c r="GZ36" s="100"/>
      <c r="HA36" s="100"/>
      <c r="HB36" s="100"/>
      <c r="HC36" s="100"/>
      <c r="HD36" s="100"/>
      <c r="HE36" s="100"/>
      <c r="HF36" s="100"/>
      <c r="HG36" s="100"/>
      <c r="HH36" s="100"/>
      <c r="HI36" s="100"/>
      <c r="HJ36" s="100"/>
      <c r="HK36" s="100"/>
      <c r="HL36" s="100"/>
      <c r="HM36" s="100"/>
      <c r="HN36" s="100"/>
      <c r="HO36" s="100"/>
      <c r="HP36" s="100"/>
      <c r="HQ36" s="100"/>
      <c r="HR36" s="100"/>
      <c r="HS36" s="100"/>
      <c r="HT36" s="100"/>
      <c r="HU36" s="100"/>
      <c r="HV36" s="100"/>
      <c r="HW36" s="100"/>
      <c r="HX36" s="100"/>
      <c r="HY36" s="100"/>
      <c r="HZ36" s="100"/>
      <c r="IA36" s="100"/>
      <c r="IB36" s="100"/>
      <c r="IC36" s="100"/>
      <c r="ID36" s="100"/>
      <c r="IE36" s="100"/>
      <c r="IF36" s="100"/>
      <c r="IG36" s="100"/>
      <c r="IH36" s="100"/>
      <c r="II36" s="100"/>
      <c r="IJ36" s="100"/>
      <c r="IK36" s="100"/>
      <c r="IL36" s="100"/>
      <c r="IM36" s="100"/>
      <c r="IN36" s="100"/>
      <c r="IO36" s="100"/>
      <c r="IP36" s="100"/>
      <c r="IQ36" s="100"/>
      <c r="IR36" s="100"/>
      <c r="IS36" s="100"/>
      <c r="IT36" s="100"/>
      <c r="IU36" s="100"/>
      <c r="IV36" s="100"/>
      <c r="IW36" s="100"/>
      <c r="IX36" s="100"/>
      <c r="IY36" s="100"/>
      <c r="IZ36" s="100"/>
      <c r="JA36" s="100"/>
      <c r="JB36" s="100"/>
      <c r="JC36" s="100"/>
      <c r="JD36" s="100"/>
      <c r="JE36" s="100"/>
      <c r="JF36" s="100"/>
      <c r="JG36" s="100"/>
      <c r="JH36" s="100"/>
      <c r="JI36" s="100"/>
      <c r="JJ36" s="100"/>
      <c r="JK36" s="100"/>
      <c r="JL36" s="100"/>
      <c r="JM36" s="100"/>
      <c r="JN36" s="100"/>
      <c r="JO36" s="100"/>
      <c r="JP36" s="100"/>
      <c r="JQ36" s="100"/>
      <c r="JR36" s="100"/>
      <c r="JS36" s="100"/>
      <c r="JT36" s="100"/>
      <c r="JU36" s="100"/>
      <c r="JV36" s="100"/>
      <c r="JW36" s="100"/>
      <c r="JX36" s="100"/>
      <c r="JY36" s="100"/>
      <c r="JZ36" s="100"/>
      <c r="KA36" s="100"/>
      <c r="KB36" s="100"/>
      <c r="KC36" s="100"/>
      <c r="KD36" s="100"/>
      <c r="KE36" s="100"/>
      <c r="KF36" s="100"/>
      <c r="KG36" s="100"/>
      <c r="KH36" s="100"/>
      <c r="KI36" s="100"/>
      <c r="KJ36" s="100"/>
    </row>
    <row r="37" spans="1:296" s="39" customFormat="1" x14ac:dyDescent="0.3">
      <c r="A37" s="71" t="s">
        <v>121</v>
      </c>
      <c r="B37" s="72" t="str">
        <f>VLOOKUP(A37,'[1]PRODUCTO NACIONAL'!$A$4:$R$161,6,FALSE)</f>
        <v>D2003 Rollo Pike Deportivo 1.70m x 160gr</v>
      </c>
      <c r="C37" s="73">
        <f>IFERROR(HLOOKUP(A37,[4]dimensiones_pdfs!$C$3:$Z$5,3,FALSE),0)</f>
        <v>5.7337150450278171</v>
      </c>
      <c r="D37" s="107">
        <f>VLOOKUP(A37,'[1]PRODUCTO NACIONAL'!$A$4:$R$161,18,FALSE)</f>
        <v>1.5306122448979591</v>
      </c>
      <c r="E37" s="5">
        <f t="shared" si="0"/>
        <v>-8.7760944566752297</v>
      </c>
      <c r="F37" s="22"/>
      <c r="G37" s="5"/>
      <c r="H37"/>
      <c r="I37" s="28"/>
      <c r="K37" s="70"/>
      <c r="L37" s="75"/>
      <c r="M37" s="127"/>
      <c r="N37" s="77"/>
      <c r="O37" s="164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0"/>
      <c r="CT37" s="100"/>
      <c r="CU37" s="100"/>
      <c r="CV37" s="100"/>
      <c r="CW37" s="100"/>
      <c r="CX37" s="100"/>
      <c r="CY37" s="100"/>
      <c r="CZ37" s="100"/>
      <c r="DA37" s="100"/>
      <c r="DB37" s="100"/>
      <c r="DC37" s="100"/>
      <c r="DD37" s="100"/>
      <c r="DE37" s="100"/>
      <c r="DF37" s="100"/>
      <c r="DG37" s="100"/>
      <c r="DH37" s="100"/>
      <c r="DI37" s="100"/>
      <c r="DJ37" s="100"/>
      <c r="DK37" s="100"/>
      <c r="DL37" s="100"/>
      <c r="DM37" s="100"/>
      <c r="DN37" s="100"/>
      <c r="DO37" s="100"/>
      <c r="DP37" s="100"/>
      <c r="DQ37" s="100"/>
      <c r="DR37" s="100"/>
      <c r="DS37" s="100"/>
      <c r="DT37" s="100"/>
      <c r="DU37" s="100"/>
      <c r="DV37" s="100"/>
      <c r="DW37" s="100"/>
      <c r="DX37" s="100"/>
      <c r="DY37" s="100"/>
      <c r="DZ37" s="100"/>
      <c r="EA37" s="100"/>
      <c r="EB37" s="100"/>
      <c r="EC37" s="100"/>
      <c r="ED37" s="100"/>
      <c r="EE37" s="100"/>
      <c r="EF37" s="100"/>
      <c r="EG37" s="100"/>
      <c r="EH37" s="100"/>
      <c r="EI37" s="100"/>
      <c r="EJ37" s="100"/>
      <c r="EK37" s="100"/>
      <c r="EL37" s="100"/>
      <c r="EM37" s="100"/>
      <c r="EN37" s="100"/>
      <c r="EO37" s="100"/>
      <c r="EP37" s="100"/>
      <c r="EQ37" s="100"/>
      <c r="ER37" s="100"/>
      <c r="ES37" s="100"/>
      <c r="ET37" s="100"/>
      <c r="EU37" s="100"/>
      <c r="EV37" s="100"/>
      <c r="EW37" s="100"/>
      <c r="EX37" s="100"/>
      <c r="EY37" s="100"/>
      <c r="EZ37" s="100"/>
      <c r="FA37" s="100"/>
      <c r="FB37" s="100"/>
      <c r="FC37" s="100"/>
      <c r="FD37" s="100"/>
      <c r="FE37" s="100"/>
      <c r="FF37" s="100"/>
      <c r="FG37" s="100"/>
      <c r="FH37" s="100"/>
      <c r="FI37" s="100"/>
      <c r="FJ37" s="100"/>
      <c r="FK37" s="100"/>
      <c r="FL37" s="100"/>
      <c r="FM37" s="100"/>
      <c r="FN37" s="100"/>
      <c r="FO37" s="100"/>
      <c r="FP37" s="100"/>
      <c r="FQ37" s="100"/>
      <c r="FR37" s="100"/>
      <c r="FS37" s="100"/>
      <c r="FT37" s="100"/>
      <c r="FU37" s="100"/>
      <c r="FV37" s="100"/>
      <c r="FW37" s="100"/>
      <c r="FX37" s="100"/>
      <c r="FY37" s="100"/>
      <c r="FZ37" s="100"/>
      <c r="GA37" s="100"/>
      <c r="GB37" s="100"/>
      <c r="GC37" s="100"/>
      <c r="GD37" s="100"/>
      <c r="GE37" s="100"/>
      <c r="GF37" s="100"/>
      <c r="GG37" s="100"/>
      <c r="GH37" s="100"/>
      <c r="GI37" s="100"/>
      <c r="GJ37" s="100"/>
      <c r="GK37" s="100"/>
      <c r="GL37" s="100"/>
      <c r="GM37" s="100"/>
      <c r="GN37" s="100"/>
      <c r="GO37" s="100"/>
      <c r="GP37" s="100"/>
      <c r="GQ37" s="100"/>
      <c r="GR37" s="100"/>
      <c r="GS37" s="100"/>
      <c r="GT37" s="100"/>
      <c r="GU37" s="100"/>
      <c r="GV37" s="100"/>
      <c r="GW37" s="100"/>
      <c r="GX37" s="100"/>
      <c r="GY37" s="100"/>
      <c r="GZ37" s="100"/>
      <c r="HA37" s="100"/>
      <c r="HB37" s="100"/>
      <c r="HC37" s="100"/>
      <c r="HD37" s="100"/>
      <c r="HE37" s="100"/>
      <c r="HF37" s="100"/>
      <c r="HG37" s="100"/>
      <c r="HH37" s="100"/>
      <c r="HI37" s="100"/>
      <c r="HJ37" s="100"/>
      <c r="HK37" s="100"/>
      <c r="HL37" s="100"/>
      <c r="HM37" s="100"/>
      <c r="HN37" s="100"/>
      <c r="HO37" s="100"/>
      <c r="HP37" s="100"/>
      <c r="HQ37" s="100"/>
      <c r="HR37" s="100"/>
      <c r="HS37" s="100"/>
      <c r="HT37" s="100"/>
      <c r="HU37" s="100"/>
      <c r="HV37" s="100"/>
      <c r="HW37" s="100"/>
      <c r="HX37" s="100"/>
      <c r="HY37" s="100"/>
      <c r="HZ37" s="100"/>
      <c r="IA37" s="100"/>
      <c r="IB37" s="100"/>
      <c r="IC37" s="100"/>
      <c r="ID37" s="100"/>
      <c r="IE37" s="100"/>
      <c r="IF37" s="100"/>
      <c r="IG37" s="100"/>
      <c r="IH37" s="100"/>
      <c r="II37" s="100"/>
      <c r="IJ37" s="100"/>
      <c r="IK37" s="100"/>
      <c r="IL37" s="100"/>
      <c r="IM37" s="100"/>
      <c r="IN37" s="100"/>
      <c r="IO37" s="100"/>
      <c r="IP37" s="100"/>
      <c r="IQ37" s="100"/>
      <c r="IR37" s="100"/>
      <c r="IS37" s="100"/>
      <c r="IT37" s="100"/>
      <c r="IU37" s="100"/>
      <c r="IV37" s="100"/>
      <c r="IW37" s="100"/>
      <c r="IX37" s="100"/>
      <c r="IY37" s="100"/>
      <c r="IZ37" s="100"/>
      <c r="JA37" s="100"/>
      <c r="JB37" s="100"/>
      <c r="JC37" s="100"/>
      <c r="JD37" s="100"/>
      <c r="JE37" s="100"/>
      <c r="JF37" s="100"/>
      <c r="JG37" s="100"/>
      <c r="JH37" s="100"/>
      <c r="JI37" s="100"/>
      <c r="JJ37" s="100"/>
      <c r="JK37" s="100"/>
      <c r="JL37" s="100"/>
      <c r="JM37" s="100"/>
      <c r="JN37" s="100"/>
      <c r="JO37" s="100"/>
      <c r="JP37" s="100"/>
      <c r="JQ37" s="100"/>
      <c r="JR37" s="100"/>
      <c r="JS37" s="100"/>
      <c r="JT37" s="100"/>
      <c r="JU37" s="100"/>
      <c r="JV37" s="100"/>
      <c r="JW37" s="100"/>
      <c r="JX37" s="100"/>
      <c r="JY37" s="100"/>
      <c r="JZ37" s="100"/>
      <c r="KA37" s="100"/>
      <c r="KB37" s="100"/>
      <c r="KC37" s="100"/>
      <c r="KD37" s="100"/>
      <c r="KE37" s="100"/>
      <c r="KF37" s="100"/>
      <c r="KG37" s="100"/>
      <c r="KH37" s="100"/>
      <c r="KI37" s="100"/>
      <c r="KJ37" s="100"/>
    </row>
    <row r="38" spans="1:296" s="39" customFormat="1" x14ac:dyDescent="0.3">
      <c r="A38" s="71" t="s">
        <v>124</v>
      </c>
      <c r="B38" s="72" t="str">
        <f>VLOOKUP(A38,'[1]PRODUCTO NACIONAL'!$A$4:$R$161,6,FALSE)</f>
        <v>PIKE LACOAST 20 PEI AZUL MARINO| OSCURO</v>
      </c>
      <c r="C38" s="73">
        <f>IFERROR(HLOOKUP(A38,[4]dimensiones_pdfs!$C$3:$Z$5,3,FALSE),0)</f>
        <v>0</v>
      </c>
      <c r="D38" s="107">
        <f>VLOOKUP(A38,'[1]PRODUCTO NACIONAL'!$A$4:$R$161,18,FALSE)</f>
        <v>5.5618400000000001</v>
      </c>
      <c r="E38" s="5">
        <f t="shared" si="0"/>
        <v>0</v>
      </c>
      <c r="F38" s="22"/>
      <c r="G38" s="5"/>
      <c r="H38"/>
      <c r="I38" s="28"/>
      <c r="K38" s="70"/>
      <c r="L38" s="75"/>
      <c r="M38" s="127"/>
      <c r="N38" s="77"/>
      <c r="O38" s="164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0"/>
      <c r="BN38" s="100"/>
      <c r="BO38" s="100"/>
      <c r="BP38" s="100"/>
      <c r="BQ38" s="100"/>
      <c r="BR38" s="100"/>
      <c r="BS38" s="100"/>
      <c r="BT38" s="100"/>
      <c r="BU38" s="100"/>
      <c r="BV38" s="100"/>
      <c r="BW38" s="100"/>
      <c r="BX38" s="100"/>
      <c r="BY38" s="100"/>
      <c r="BZ38" s="100"/>
      <c r="CA38" s="100"/>
      <c r="CB38" s="100"/>
      <c r="CC38" s="100"/>
      <c r="CD38" s="100"/>
      <c r="CE38" s="100"/>
      <c r="CF38" s="100"/>
      <c r="CG38" s="100"/>
      <c r="CH38" s="100"/>
      <c r="CI38" s="100"/>
      <c r="CJ38" s="100"/>
      <c r="CK38" s="100"/>
      <c r="CL38" s="100"/>
      <c r="CM38" s="100"/>
      <c r="CN38" s="100"/>
      <c r="CO38" s="100"/>
      <c r="CP38" s="100"/>
      <c r="CQ38" s="100"/>
      <c r="CR38" s="100"/>
      <c r="CS38" s="100"/>
      <c r="CT38" s="100"/>
      <c r="CU38" s="100"/>
      <c r="CV38" s="100"/>
      <c r="CW38" s="100"/>
      <c r="CX38" s="100"/>
      <c r="CY38" s="100"/>
      <c r="CZ38" s="100"/>
      <c r="DA38" s="100"/>
      <c r="DB38" s="100"/>
      <c r="DC38" s="100"/>
      <c r="DD38" s="100"/>
      <c r="DE38" s="100"/>
      <c r="DF38" s="100"/>
      <c r="DG38" s="100"/>
      <c r="DH38" s="100"/>
      <c r="DI38" s="100"/>
      <c r="DJ38" s="100"/>
      <c r="DK38" s="100"/>
      <c r="DL38" s="100"/>
      <c r="DM38" s="100"/>
      <c r="DN38" s="100"/>
      <c r="DO38" s="100"/>
      <c r="DP38" s="100"/>
      <c r="DQ38" s="100"/>
      <c r="DR38" s="100"/>
      <c r="DS38" s="100"/>
      <c r="DT38" s="100"/>
      <c r="DU38" s="100"/>
      <c r="DV38" s="100"/>
      <c r="DW38" s="100"/>
      <c r="DX38" s="100"/>
      <c r="DY38" s="100"/>
      <c r="DZ38" s="100"/>
      <c r="EA38" s="100"/>
      <c r="EB38" s="100"/>
      <c r="EC38" s="100"/>
      <c r="ED38" s="100"/>
      <c r="EE38" s="100"/>
      <c r="EF38" s="100"/>
      <c r="EG38" s="100"/>
      <c r="EH38" s="100"/>
      <c r="EI38" s="100"/>
      <c r="EJ38" s="100"/>
      <c r="EK38" s="100"/>
      <c r="EL38" s="100"/>
      <c r="EM38" s="100"/>
      <c r="EN38" s="100"/>
      <c r="EO38" s="100"/>
      <c r="EP38" s="100"/>
      <c r="EQ38" s="100"/>
      <c r="ER38" s="100"/>
      <c r="ES38" s="100"/>
      <c r="ET38" s="100"/>
      <c r="EU38" s="100"/>
      <c r="EV38" s="100"/>
      <c r="EW38" s="100"/>
      <c r="EX38" s="100"/>
      <c r="EY38" s="100"/>
      <c r="EZ38" s="100"/>
      <c r="FA38" s="100"/>
      <c r="FB38" s="100"/>
      <c r="FC38" s="100"/>
      <c r="FD38" s="100"/>
      <c r="FE38" s="100"/>
      <c r="FF38" s="100"/>
      <c r="FG38" s="100"/>
      <c r="FH38" s="100"/>
      <c r="FI38" s="100"/>
      <c r="FJ38" s="100"/>
      <c r="FK38" s="100"/>
      <c r="FL38" s="100"/>
      <c r="FM38" s="100"/>
      <c r="FN38" s="100"/>
      <c r="FO38" s="100"/>
      <c r="FP38" s="100"/>
      <c r="FQ38" s="100"/>
      <c r="FR38" s="100"/>
      <c r="FS38" s="100"/>
      <c r="FT38" s="100"/>
      <c r="FU38" s="100"/>
      <c r="FV38" s="100"/>
      <c r="FW38" s="100"/>
      <c r="FX38" s="100"/>
      <c r="FY38" s="100"/>
      <c r="FZ38" s="100"/>
      <c r="GA38" s="100"/>
      <c r="GB38" s="100"/>
      <c r="GC38" s="100"/>
      <c r="GD38" s="100"/>
      <c r="GE38" s="100"/>
      <c r="GF38" s="100"/>
      <c r="GG38" s="100"/>
      <c r="GH38" s="100"/>
      <c r="GI38" s="100"/>
      <c r="GJ38" s="100"/>
      <c r="GK38" s="100"/>
      <c r="GL38" s="100"/>
      <c r="GM38" s="100"/>
      <c r="GN38" s="100"/>
      <c r="GO38" s="100"/>
      <c r="GP38" s="100"/>
      <c r="GQ38" s="100"/>
      <c r="GR38" s="100"/>
      <c r="GS38" s="100"/>
      <c r="GT38" s="100"/>
      <c r="GU38" s="100"/>
      <c r="GV38" s="100"/>
      <c r="GW38" s="100"/>
      <c r="GX38" s="100"/>
      <c r="GY38" s="100"/>
      <c r="GZ38" s="100"/>
      <c r="HA38" s="100"/>
      <c r="HB38" s="100"/>
      <c r="HC38" s="100"/>
      <c r="HD38" s="100"/>
      <c r="HE38" s="100"/>
      <c r="HF38" s="100"/>
      <c r="HG38" s="100"/>
      <c r="HH38" s="100"/>
      <c r="HI38" s="100"/>
      <c r="HJ38" s="100"/>
      <c r="HK38" s="100"/>
      <c r="HL38" s="100"/>
      <c r="HM38" s="100"/>
      <c r="HN38" s="100"/>
      <c r="HO38" s="100"/>
      <c r="HP38" s="100"/>
      <c r="HQ38" s="100"/>
      <c r="HR38" s="100"/>
      <c r="HS38" s="100"/>
      <c r="HT38" s="100"/>
      <c r="HU38" s="100"/>
      <c r="HV38" s="100"/>
      <c r="HW38" s="100"/>
      <c r="HX38" s="100"/>
      <c r="HY38" s="100"/>
      <c r="HZ38" s="100"/>
      <c r="IA38" s="100"/>
      <c r="IB38" s="100"/>
      <c r="IC38" s="100"/>
      <c r="ID38" s="100"/>
      <c r="IE38" s="100"/>
      <c r="IF38" s="100"/>
      <c r="IG38" s="100"/>
      <c r="IH38" s="100"/>
      <c r="II38" s="100"/>
      <c r="IJ38" s="100"/>
      <c r="IK38" s="100"/>
      <c r="IL38" s="100"/>
      <c r="IM38" s="100"/>
      <c r="IN38" s="100"/>
      <c r="IO38" s="100"/>
      <c r="IP38" s="100"/>
      <c r="IQ38" s="100"/>
      <c r="IR38" s="100"/>
      <c r="IS38" s="100"/>
      <c r="IT38" s="100"/>
      <c r="IU38" s="100"/>
      <c r="IV38" s="100"/>
      <c r="IW38" s="100"/>
      <c r="IX38" s="100"/>
      <c r="IY38" s="100"/>
      <c r="IZ38" s="100"/>
      <c r="JA38" s="100"/>
      <c r="JB38" s="100"/>
      <c r="JC38" s="100"/>
      <c r="JD38" s="100"/>
      <c r="JE38" s="100"/>
      <c r="JF38" s="100"/>
      <c r="JG38" s="100"/>
      <c r="JH38" s="100"/>
      <c r="JI38" s="100"/>
      <c r="JJ38" s="100"/>
      <c r="JK38" s="100"/>
      <c r="JL38" s="100"/>
      <c r="JM38" s="100"/>
      <c r="JN38" s="100"/>
      <c r="JO38" s="100"/>
      <c r="JP38" s="100"/>
      <c r="JQ38" s="100"/>
      <c r="JR38" s="100"/>
      <c r="JS38" s="100"/>
      <c r="JT38" s="100"/>
      <c r="JU38" s="100"/>
      <c r="JV38" s="100"/>
      <c r="JW38" s="100"/>
      <c r="JX38" s="100"/>
      <c r="JY38" s="100"/>
      <c r="JZ38" s="100"/>
      <c r="KA38" s="100"/>
      <c r="KB38" s="100"/>
      <c r="KC38" s="100"/>
      <c r="KD38" s="100"/>
      <c r="KE38" s="100"/>
      <c r="KF38" s="100"/>
      <c r="KG38" s="100"/>
      <c r="KH38" s="100"/>
      <c r="KI38" s="100"/>
      <c r="KJ38" s="100"/>
    </row>
    <row r="39" spans="1:296" s="39" customFormat="1" x14ac:dyDescent="0.3">
      <c r="A39"/>
      <c r="B39" s="100"/>
      <c r="C39" s="100"/>
      <c r="D39" s="100"/>
      <c r="E39" s="100"/>
      <c r="F39" s="7"/>
      <c r="G39" s="5"/>
      <c r="H39"/>
      <c r="I39" s="28"/>
      <c r="K39" s="70"/>
      <c r="L39" s="75"/>
      <c r="M39" s="127"/>
      <c r="N39" s="77"/>
      <c r="O39" s="164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  <c r="CT39" s="100"/>
      <c r="CU39" s="100"/>
      <c r="CV39" s="100"/>
      <c r="CW39" s="100"/>
      <c r="CX39" s="100"/>
      <c r="CY39" s="100"/>
      <c r="CZ39" s="100"/>
      <c r="DA39" s="100"/>
      <c r="DB39" s="100"/>
      <c r="DC39" s="100"/>
      <c r="DD39" s="100"/>
      <c r="DE39" s="100"/>
      <c r="DF39" s="100"/>
      <c r="DG39" s="100"/>
      <c r="DH39" s="100"/>
      <c r="DI39" s="100"/>
      <c r="DJ39" s="100"/>
      <c r="DK39" s="100"/>
      <c r="DL39" s="100"/>
      <c r="DM39" s="100"/>
      <c r="DN39" s="100"/>
      <c r="DO39" s="100"/>
      <c r="DP39" s="100"/>
      <c r="DQ39" s="100"/>
      <c r="DR39" s="100"/>
      <c r="DS39" s="100"/>
      <c r="DT39" s="100"/>
      <c r="DU39" s="100"/>
      <c r="DV39" s="100"/>
      <c r="DW39" s="100"/>
      <c r="DX39" s="100"/>
      <c r="DY39" s="100"/>
      <c r="DZ39" s="100"/>
      <c r="EA39" s="100"/>
      <c r="EB39" s="100"/>
      <c r="EC39" s="100"/>
      <c r="ED39" s="100"/>
      <c r="EE39" s="100"/>
      <c r="EF39" s="100"/>
      <c r="EG39" s="100"/>
      <c r="EH39" s="100"/>
      <c r="EI39" s="100"/>
      <c r="EJ39" s="100"/>
      <c r="EK39" s="100"/>
      <c r="EL39" s="100"/>
      <c r="EM39" s="100"/>
      <c r="EN39" s="100"/>
      <c r="EO39" s="100"/>
      <c r="EP39" s="100"/>
      <c r="EQ39" s="100"/>
      <c r="ER39" s="100"/>
      <c r="ES39" s="100"/>
      <c r="ET39" s="100"/>
      <c r="EU39" s="100"/>
      <c r="EV39" s="100"/>
      <c r="EW39" s="100"/>
      <c r="EX39" s="100"/>
      <c r="EY39" s="100"/>
      <c r="EZ39" s="100"/>
      <c r="FA39" s="100"/>
      <c r="FB39" s="100"/>
      <c r="FC39" s="100"/>
      <c r="FD39" s="100"/>
      <c r="FE39" s="100"/>
      <c r="FF39" s="100"/>
      <c r="FG39" s="100"/>
      <c r="FH39" s="100"/>
      <c r="FI39" s="100"/>
      <c r="FJ39" s="100"/>
      <c r="FK39" s="100"/>
      <c r="FL39" s="100"/>
      <c r="FM39" s="100"/>
      <c r="FN39" s="100"/>
      <c r="FO39" s="100"/>
      <c r="FP39" s="100"/>
      <c r="FQ39" s="100"/>
      <c r="FR39" s="100"/>
      <c r="FS39" s="100"/>
      <c r="FT39" s="100"/>
      <c r="FU39" s="100"/>
      <c r="FV39" s="100"/>
      <c r="FW39" s="100"/>
      <c r="FX39" s="100"/>
      <c r="FY39" s="100"/>
      <c r="FZ39" s="100"/>
      <c r="GA39" s="100"/>
      <c r="GB39" s="100"/>
      <c r="GC39" s="100"/>
      <c r="GD39" s="100"/>
      <c r="GE39" s="100"/>
      <c r="GF39" s="100"/>
      <c r="GG39" s="100"/>
      <c r="GH39" s="100"/>
      <c r="GI39" s="100"/>
      <c r="GJ39" s="100"/>
      <c r="GK39" s="100"/>
      <c r="GL39" s="100"/>
      <c r="GM39" s="100"/>
      <c r="GN39" s="100"/>
      <c r="GO39" s="100"/>
      <c r="GP39" s="100"/>
      <c r="GQ39" s="100"/>
      <c r="GR39" s="100"/>
      <c r="GS39" s="100"/>
      <c r="GT39" s="100"/>
      <c r="GU39" s="100"/>
      <c r="GV39" s="100"/>
      <c r="GW39" s="100"/>
      <c r="GX39" s="100"/>
      <c r="GY39" s="100"/>
      <c r="GZ39" s="100"/>
      <c r="HA39" s="100"/>
      <c r="HB39" s="100"/>
      <c r="HC39" s="100"/>
      <c r="HD39" s="100"/>
      <c r="HE39" s="100"/>
      <c r="HF39" s="100"/>
      <c r="HG39" s="100"/>
      <c r="HH39" s="100"/>
      <c r="HI39" s="100"/>
      <c r="HJ39" s="100"/>
      <c r="HK39" s="100"/>
      <c r="HL39" s="100"/>
      <c r="HM39" s="100"/>
      <c r="HN39" s="100"/>
      <c r="HO39" s="100"/>
      <c r="HP39" s="100"/>
      <c r="HQ39" s="100"/>
      <c r="HR39" s="100"/>
      <c r="HS39" s="100"/>
      <c r="HT39" s="100"/>
      <c r="HU39" s="100"/>
      <c r="HV39" s="100"/>
      <c r="HW39" s="100"/>
      <c r="HX39" s="100"/>
      <c r="HY39" s="100"/>
      <c r="HZ39" s="100"/>
      <c r="IA39" s="100"/>
      <c r="IB39" s="100"/>
      <c r="IC39" s="100"/>
      <c r="ID39" s="100"/>
      <c r="IE39" s="100"/>
      <c r="IF39" s="100"/>
      <c r="IG39" s="100"/>
      <c r="IH39" s="100"/>
      <c r="II39" s="100"/>
      <c r="IJ39" s="100"/>
      <c r="IK39" s="100"/>
      <c r="IL39" s="100"/>
      <c r="IM39" s="100"/>
      <c r="IN39" s="100"/>
      <c r="IO39" s="100"/>
      <c r="IP39" s="100"/>
      <c r="IQ39" s="100"/>
      <c r="IR39" s="100"/>
      <c r="IS39" s="100"/>
      <c r="IT39" s="100"/>
      <c r="IU39" s="100"/>
      <c r="IV39" s="100"/>
      <c r="IW39" s="100"/>
      <c r="IX39" s="100"/>
      <c r="IY39" s="100"/>
      <c r="IZ39" s="100"/>
      <c r="JA39" s="100"/>
      <c r="JB39" s="100"/>
      <c r="JC39" s="100"/>
      <c r="JD39" s="100"/>
      <c r="JE39" s="100"/>
      <c r="JF39" s="100"/>
      <c r="JG39" s="100"/>
      <c r="JH39" s="100"/>
      <c r="JI39" s="100"/>
      <c r="JJ39" s="100"/>
      <c r="JK39" s="100"/>
      <c r="JL39" s="100"/>
      <c r="JM39" s="100"/>
      <c r="JN39" s="100"/>
      <c r="JO39" s="100"/>
      <c r="JP39" s="100"/>
      <c r="JQ39" s="100"/>
      <c r="JR39" s="100"/>
      <c r="JS39" s="100"/>
      <c r="JT39" s="100"/>
      <c r="JU39" s="100"/>
      <c r="JV39" s="100"/>
      <c r="JW39" s="100"/>
      <c r="JX39" s="100"/>
      <c r="JY39" s="100"/>
      <c r="JZ39" s="100"/>
      <c r="KA39" s="100"/>
      <c r="KB39" s="100"/>
      <c r="KC39" s="100"/>
      <c r="KD39" s="100"/>
      <c r="KE39" s="100"/>
      <c r="KF39" s="100"/>
      <c r="KG39" s="100"/>
      <c r="KH39" s="100"/>
      <c r="KI39" s="100"/>
      <c r="KJ39" s="100"/>
    </row>
    <row r="40" spans="1:296" x14ac:dyDescent="0.3">
      <c r="F40" s="5"/>
      <c r="G40"/>
      <c r="H40" s="5"/>
    </row>
    <row r="41" spans="1:296" x14ac:dyDescent="0.3">
      <c r="C41" s="5"/>
      <c r="F41" s="5"/>
      <c r="G41"/>
      <c r="H41" s="5"/>
    </row>
    <row r="42" spans="1:296" x14ac:dyDescent="0.3">
      <c r="F42" s="5"/>
      <c r="G42"/>
      <c r="H42" s="5"/>
    </row>
    <row r="43" spans="1:296" x14ac:dyDescent="0.3">
      <c r="B43" s="69" t="s">
        <v>0</v>
      </c>
      <c r="C43" s="68" t="s">
        <v>24</v>
      </c>
      <c r="D43" s="109" t="s">
        <v>24</v>
      </c>
      <c r="E43" s="68">
        <f>+E66</f>
        <v>-868.97958333333327</v>
      </c>
    </row>
    <row r="48" spans="1:296" s="39" customFormat="1" x14ac:dyDescent="0.3">
      <c r="A48"/>
      <c r="B48" s="2"/>
      <c r="C48" s="5"/>
      <c r="D48" s="55"/>
      <c r="E48" s="27"/>
      <c r="F48" s="7"/>
      <c r="G48" s="5"/>
      <c r="H48"/>
      <c r="I48" s="28"/>
      <c r="K48" s="70"/>
      <c r="L48" s="75"/>
      <c r="M48" s="127"/>
      <c r="N48" s="77"/>
      <c r="O48" s="164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  <c r="DC48" s="100"/>
      <c r="DD48" s="100"/>
      <c r="DE48" s="100"/>
      <c r="DF48" s="100"/>
      <c r="DG48" s="100"/>
      <c r="DH48" s="100"/>
      <c r="DI48" s="100"/>
      <c r="DJ48" s="100"/>
      <c r="DK48" s="100"/>
      <c r="DL48" s="100"/>
      <c r="DM48" s="100"/>
      <c r="DN48" s="100"/>
      <c r="DO48" s="100"/>
      <c r="DP48" s="100"/>
      <c r="DQ48" s="100"/>
      <c r="DR48" s="100"/>
      <c r="DS48" s="100"/>
      <c r="DT48" s="100"/>
      <c r="DU48" s="100"/>
      <c r="DV48" s="100"/>
      <c r="DW48" s="100"/>
      <c r="DX48" s="100"/>
      <c r="DY48" s="100"/>
      <c r="DZ48" s="100"/>
      <c r="EA48" s="100"/>
      <c r="EB48" s="100"/>
      <c r="EC48" s="100"/>
      <c r="ED48" s="100"/>
      <c r="EE48" s="100"/>
      <c r="EF48" s="100"/>
      <c r="EG48" s="100"/>
      <c r="EH48" s="100"/>
      <c r="EI48" s="100"/>
      <c r="EJ48" s="100"/>
      <c r="EK48" s="100"/>
      <c r="EL48" s="100"/>
      <c r="EM48" s="100"/>
      <c r="EN48" s="100"/>
      <c r="EO48" s="100"/>
      <c r="EP48" s="100"/>
      <c r="EQ48" s="100"/>
      <c r="ER48" s="100"/>
      <c r="ES48" s="100"/>
      <c r="ET48" s="100"/>
      <c r="EU48" s="100"/>
      <c r="EV48" s="100"/>
      <c r="EW48" s="100"/>
      <c r="EX48" s="100"/>
      <c r="EY48" s="100"/>
      <c r="EZ48" s="100"/>
      <c r="FA48" s="100"/>
      <c r="FB48" s="100"/>
      <c r="FC48" s="100"/>
      <c r="FD48" s="100"/>
      <c r="FE48" s="100"/>
      <c r="FF48" s="100"/>
      <c r="FG48" s="100"/>
      <c r="FH48" s="100"/>
      <c r="FI48" s="100"/>
      <c r="FJ48" s="100"/>
      <c r="FK48" s="100"/>
      <c r="FL48" s="100"/>
      <c r="FM48" s="100"/>
      <c r="FN48" s="100"/>
      <c r="FO48" s="100"/>
      <c r="FP48" s="100"/>
      <c r="FQ48" s="100"/>
      <c r="FR48" s="100"/>
      <c r="FS48" s="100"/>
      <c r="FT48" s="100"/>
      <c r="FU48" s="100"/>
      <c r="FV48" s="100"/>
      <c r="FW48" s="100"/>
      <c r="FX48" s="100"/>
      <c r="FY48" s="100"/>
      <c r="FZ48" s="100"/>
      <c r="GA48" s="100"/>
      <c r="GB48" s="100"/>
      <c r="GC48" s="100"/>
      <c r="GD48" s="100"/>
      <c r="GE48" s="100"/>
      <c r="GF48" s="100"/>
      <c r="GG48" s="100"/>
      <c r="GH48" s="100"/>
      <c r="GI48" s="100"/>
      <c r="GJ48" s="100"/>
      <c r="GK48" s="100"/>
      <c r="GL48" s="100"/>
      <c r="GM48" s="100"/>
      <c r="GN48" s="100"/>
      <c r="GO48" s="100"/>
      <c r="GP48" s="100"/>
      <c r="GQ48" s="100"/>
      <c r="GR48" s="100"/>
      <c r="GS48" s="100"/>
      <c r="GT48" s="100"/>
      <c r="GU48" s="100"/>
      <c r="GV48" s="100"/>
      <c r="GW48" s="100"/>
      <c r="GX48" s="100"/>
      <c r="GY48" s="100"/>
      <c r="GZ48" s="100"/>
      <c r="HA48" s="100"/>
      <c r="HB48" s="100"/>
      <c r="HC48" s="100"/>
      <c r="HD48" s="100"/>
      <c r="HE48" s="100"/>
      <c r="HF48" s="100"/>
      <c r="HG48" s="100"/>
      <c r="HH48" s="100"/>
      <c r="HI48" s="100"/>
      <c r="HJ48" s="100"/>
      <c r="HK48" s="100"/>
      <c r="HL48" s="100"/>
      <c r="HM48" s="100"/>
      <c r="HN48" s="100"/>
      <c r="HO48" s="100"/>
      <c r="HP48" s="100"/>
      <c r="HQ48" s="100"/>
      <c r="HR48" s="100"/>
      <c r="HS48" s="100"/>
      <c r="HT48" s="100"/>
      <c r="HU48" s="100"/>
      <c r="HV48" s="100"/>
      <c r="HW48" s="100"/>
      <c r="HX48" s="100"/>
      <c r="HY48" s="100"/>
      <c r="HZ48" s="100"/>
      <c r="IA48" s="100"/>
      <c r="IB48" s="100"/>
      <c r="IC48" s="100"/>
      <c r="ID48" s="100"/>
      <c r="IE48" s="100"/>
      <c r="IF48" s="100"/>
      <c r="IG48" s="100"/>
      <c r="IH48" s="100"/>
      <c r="II48" s="100"/>
      <c r="IJ48" s="100"/>
      <c r="IK48" s="100"/>
      <c r="IL48" s="100"/>
      <c r="IM48" s="100"/>
      <c r="IN48" s="100"/>
      <c r="IO48" s="100"/>
      <c r="IP48" s="100"/>
      <c r="IQ48" s="100"/>
      <c r="IR48" s="100"/>
      <c r="IS48" s="100"/>
      <c r="IT48" s="100"/>
      <c r="IU48" s="100"/>
      <c r="IV48" s="100"/>
      <c r="IW48" s="100"/>
      <c r="IX48" s="100"/>
      <c r="IY48" s="100"/>
      <c r="IZ48" s="100"/>
      <c r="JA48" s="100"/>
      <c r="JB48" s="100"/>
      <c r="JC48" s="100"/>
      <c r="JD48" s="100"/>
      <c r="JE48" s="100"/>
      <c r="JF48" s="100"/>
      <c r="JG48" s="100"/>
      <c r="JH48" s="100"/>
      <c r="JI48" s="100"/>
      <c r="JJ48" s="100"/>
      <c r="JK48" s="100"/>
      <c r="JL48" s="100"/>
      <c r="JM48" s="100"/>
      <c r="JN48" s="100"/>
      <c r="JO48" s="100"/>
      <c r="JP48" s="100"/>
      <c r="JQ48" s="100"/>
      <c r="JR48" s="100"/>
      <c r="JS48" s="100"/>
      <c r="JT48" s="100"/>
      <c r="JU48" s="100"/>
      <c r="JV48" s="100"/>
      <c r="JW48" s="100"/>
      <c r="JX48" s="100"/>
      <c r="JY48" s="100"/>
      <c r="JZ48" s="100"/>
      <c r="KA48" s="100"/>
      <c r="KB48" s="100"/>
      <c r="KC48" s="100"/>
      <c r="KD48" s="100"/>
      <c r="KE48" s="100"/>
      <c r="KF48" s="100"/>
      <c r="KG48" s="100"/>
      <c r="KH48" s="100"/>
      <c r="KI48" s="100"/>
      <c r="KJ48" s="100"/>
    </row>
    <row r="49" spans="1:296" s="39" customFormat="1" ht="18" x14ac:dyDescent="0.35">
      <c r="A49"/>
      <c r="B49" s="173" t="s">
        <v>0</v>
      </c>
      <c r="C49" s="173"/>
      <c r="D49" s="173"/>
      <c r="E49" s="173"/>
      <c r="F49" s="7"/>
      <c r="G49" s="5"/>
      <c r="H49"/>
      <c r="I49" s="28"/>
      <c r="K49" s="70"/>
      <c r="L49" s="75"/>
      <c r="M49" s="127"/>
      <c r="N49" s="77"/>
      <c r="O49" s="164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00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100"/>
      <c r="CX49" s="100"/>
      <c r="CY49" s="100"/>
      <c r="CZ49" s="100"/>
      <c r="DA49" s="100"/>
      <c r="DB49" s="100"/>
      <c r="DC49" s="100"/>
      <c r="DD49" s="100"/>
      <c r="DE49" s="100"/>
      <c r="DF49" s="100"/>
      <c r="DG49" s="100"/>
      <c r="DH49" s="100"/>
      <c r="DI49" s="100"/>
      <c r="DJ49" s="100"/>
      <c r="DK49" s="100"/>
      <c r="DL49" s="100"/>
      <c r="DM49" s="100"/>
      <c r="DN49" s="100"/>
      <c r="DO49" s="100"/>
      <c r="DP49" s="100"/>
      <c r="DQ49" s="100"/>
      <c r="DR49" s="100"/>
      <c r="DS49" s="100"/>
      <c r="DT49" s="100"/>
      <c r="DU49" s="100"/>
      <c r="DV49" s="100"/>
      <c r="DW49" s="100"/>
      <c r="DX49" s="100"/>
      <c r="DY49" s="100"/>
      <c r="DZ49" s="100"/>
      <c r="EA49" s="100"/>
      <c r="EB49" s="100"/>
      <c r="EC49" s="100"/>
      <c r="ED49" s="100"/>
      <c r="EE49" s="100"/>
      <c r="EF49" s="100"/>
      <c r="EG49" s="100"/>
      <c r="EH49" s="100"/>
      <c r="EI49" s="100"/>
      <c r="EJ49" s="100"/>
      <c r="EK49" s="100"/>
      <c r="EL49" s="100"/>
      <c r="EM49" s="100"/>
      <c r="EN49" s="100"/>
      <c r="EO49" s="100"/>
      <c r="EP49" s="100"/>
      <c r="EQ49" s="100"/>
      <c r="ER49" s="100"/>
      <c r="ES49" s="100"/>
      <c r="ET49" s="100"/>
      <c r="EU49" s="100"/>
      <c r="EV49" s="100"/>
      <c r="EW49" s="100"/>
      <c r="EX49" s="100"/>
      <c r="EY49" s="100"/>
      <c r="EZ49" s="100"/>
      <c r="FA49" s="100"/>
      <c r="FB49" s="100"/>
      <c r="FC49" s="100"/>
      <c r="FD49" s="100"/>
      <c r="FE49" s="100"/>
      <c r="FF49" s="100"/>
      <c r="FG49" s="100"/>
      <c r="FH49" s="100"/>
      <c r="FI49" s="100"/>
      <c r="FJ49" s="100"/>
      <c r="FK49" s="100"/>
      <c r="FL49" s="100"/>
      <c r="FM49" s="100"/>
      <c r="FN49" s="100"/>
      <c r="FO49" s="100"/>
      <c r="FP49" s="100"/>
      <c r="FQ49" s="100"/>
      <c r="FR49" s="100"/>
      <c r="FS49" s="100"/>
      <c r="FT49" s="100"/>
      <c r="FU49" s="100"/>
      <c r="FV49" s="100"/>
      <c r="FW49" s="100"/>
      <c r="FX49" s="100"/>
      <c r="FY49" s="100"/>
      <c r="FZ49" s="100"/>
      <c r="GA49" s="100"/>
      <c r="GB49" s="100"/>
      <c r="GC49" s="100"/>
      <c r="GD49" s="100"/>
      <c r="GE49" s="100"/>
      <c r="GF49" s="100"/>
      <c r="GG49" s="100"/>
      <c r="GH49" s="100"/>
      <c r="GI49" s="100"/>
      <c r="GJ49" s="100"/>
      <c r="GK49" s="100"/>
      <c r="GL49" s="100"/>
      <c r="GM49" s="100"/>
      <c r="GN49" s="100"/>
      <c r="GO49" s="100"/>
      <c r="GP49" s="100"/>
      <c r="GQ49" s="100"/>
      <c r="GR49" s="100"/>
      <c r="GS49" s="100"/>
      <c r="GT49" s="100"/>
      <c r="GU49" s="100"/>
      <c r="GV49" s="100"/>
      <c r="GW49" s="100"/>
      <c r="GX49" s="100"/>
      <c r="GY49" s="100"/>
      <c r="GZ49" s="100"/>
      <c r="HA49" s="100"/>
      <c r="HB49" s="100"/>
      <c r="HC49" s="100"/>
      <c r="HD49" s="100"/>
      <c r="HE49" s="100"/>
      <c r="HF49" s="100"/>
      <c r="HG49" s="100"/>
      <c r="HH49" s="100"/>
      <c r="HI49" s="100"/>
      <c r="HJ49" s="100"/>
      <c r="HK49" s="100"/>
      <c r="HL49" s="100"/>
      <c r="HM49" s="100"/>
      <c r="HN49" s="100"/>
      <c r="HO49" s="100"/>
      <c r="HP49" s="100"/>
      <c r="HQ49" s="100"/>
      <c r="HR49" s="100"/>
      <c r="HS49" s="100"/>
      <c r="HT49" s="100"/>
      <c r="HU49" s="100"/>
      <c r="HV49" s="100"/>
      <c r="HW49" s="100"/>
      <c r="HX49" s="100"/>
      <c r="HY49" s="100"/>
      <c r="HZ49" s="100"/>
      <c r="IA49" s="100"/>
      <c r="IB49" s="100"/>
      <c r="IC49" s="100"/>
      <c r="ID49" s="100"/>
      <c r="IE49" s="100"/>
      <c r="IF49" s="100"/>
      <c r="IG49" s="100"/>
      <c r="IH49" s="100"/>
      <c r="II49" s="100"/>
      <c r="IJ49" s="100"/>
      <c r="IK49" s="100"/>
      <c r="IL49" s="100"/>
      <c r="IM49" s="100"/>
      <c r="IN49" s="100"/>
      <c r="IO49" s="100"/>
      <c r="IP49" s="100"/>
      <c r="IQ49" s="100"/>
      <c r="IR49" s="100"/>
      <c r="IS49" s="100"/>
      <c r="IT49" s="100"/>
      <c r="IU49" s="100"/>
      <c r="IV49" s="100"/>
      <c r="IW49" s="100"/>
      <c r="IX49" s="100"/>
      <c r="IY49" s="100"/>
      <c r="IZ49" s="100"/>
      <c r="JA49" s="100"/>
      <c r="JB49" s="100"/>
      <c r="JC49" s="100"/>
      <c r="JD49" s="100"/>
      <c r="JE49" s="100"/>
      <c r="JF49" s="100"/>
      <c r="JG49" s="100"/>
      <c r="JH49" s="100"/>
      <c r="JI49" s="100"/>
      <c r="JJ49" s="100"/>
      <c r="JK49" s="100"/>
      <c r="JL49" s="100"/>
      <c r="JM49" s="100"/>
      <c r="JN49" s="100"/>
      <c r="JO49" s="100"/>
      <c r="JP49" s="100"/>
      <c r="JQ49" s="100"/>
      <c r="JR49" s="100"/>
      <c r="JS49" s="100"/>
      <c r="JT49" s="100"/>
      <c r="JU49" s="100"/>
      <c r="JV49" s="100"/>
      <c r="JW49" s="100"/>
      <c r="JX49" s="100"/>
      <c r="JY49" s="100"/>
      <c r="JZ49" s="100"/>
      <c r="KA49" s="100"/>
      <c r="KB49" s="100"/>
      <c r="KC49" s="100"/>
      <c r="KD49" s="100"/>
      <c r="KE49" s="100"/>
      <c r="KF49" s="100"/>
      <c r="KG49" s="100"/>
      <c r="KH49" s="100"/>
      <c r="KI49" s="100"/>
      <c r="KJ49" s="100"/>
    </row>
    <row r="50" spans="1:296" s="39" customFormat="1" x14ac:dyDescent="0.3">
      <c r="A50"/>
      <c r="B50" s="1" t="s">
        <v>2</v>
      </c>
      <c r="C50" s="4" t="s">
        <v>5</v>
      </c>
      <c r="D50" s="110" t="s">
        <v>4</v>
      </c>
      <c r="E50" s="6" t="s">
        <v>3</v>
      </c>
      <c r="F50" s="7"/>
      <c r="G50" s="5"/>
      <c r="H50"/>
      <c r="I50" s="28"/>
      <c r="K50" s="70"/>
      <c r="L50" s="75"/>
      <c r="M50" s="127"/>
      <c r="N50" s="77"/>
      <c r="O50" s="164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  <c r="BU50" s="100"/>
      <c r="BV50" s="100"/>
      <c r="BW50" s="100"/>
      <c r="BX50" s="100"/>
      <c r="BY50" s="100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/>
      <c r="CV50" s="100"/>
      <c r="CW50" s="100"/>
      <c r="CX50" s="100"/>
      <c r="CY50" s="100"/>
      <c r="CZ50" s="100"/>
      <c r="DA50" s="100"/>
      <c r="DB50" s="100"/>
      <c r="DC50" s="100"/>
      <c r="DD50" s="100"/>
      <c r="DE50" s="100"/>
      <c r="DF50" s="100"/>
      <c r="DG50" s="100"/>
      <c r="DH50" s="100"/>
      <c r="DI50" s="100"/>
      <c r="DJ50" s="100"/>
      <c r="DK50" s="100"/>
      <c r="DL50" s="100"/>
      <c r="DM50" s="100"/>
      <c r="DN50" s="100"/>
      <c r="DO50" s="100"/>
      <c r="DP50" s="100"/>
      <c r="DQ50" s="100"/>
      <c r="DR50" s="100"/>
      <c r="DS50" s="100"/>
      <c r="DT50" s="100"/>
      <c r="DU50" s="100"/>
      <c r="DV50" s="100"/>
      <c r="DW50" s="100"/>
      <c r="DX50" s="100"/>
      <c r="DY50" s="100"/>
      <c r="DZ50" s="100"/>
      <c r="EA50" s="100"/>
      <c r="EB50" s="100"/>
      <c r="EC50" s="100"/>
      <c r="ED50" s="100"/>
      <c r="EE50" s="100"/>
      <c r="EF50" s="100"/>
      <c r="EG50" s="100"/>
      <c r="EH50" s="100"/>
      <c r="EI50" s="100"/>
      <c r="EJ50" s="100"/>
      <c r="EK50" s="100"/>
      <c r="EL50" s="100"/>
      <c r="EM50" s="100"/>
      <c r="EN50" s="100"/>
      <c r="EO50" s="100"/>
      <c r="EP50" s="100"/>
      <c r="EQ50" s="100"/>
      <c r="ER50" s="100"/>
      <c r="ES50" s="100"/>
      <c r="ET50" s="100"/>
      <c r="EU50" s="100"/>
      <c r="EV50" s="100"/>
      <c r="EW50" s="100"/>
      <c r="EX50" s="100"/>
      <c r="EY50" s="100"/>
      <c r="EZ50" s="100"/>
      <c r="FA50" s="100"/>
      <c r="FB50" s="100"/>
      <c r="FC50" s="100"/>
      <c r="FD50" s="100"/>
      <c r="FE50" s="100"/>
      <c r="FF50" s="100"/>
      <c r="FG50" s="100"/>
      <c r="FH50" s="100"/>
      <c r="FI50" s="100"/>
      <c r="FJ50" s="100"/>
      <c r="FK50" s="100"/>
      <c r="FL50" s="100"/>
      <c r="FM50" s="100"/>
      <c r="FN50" s="100"/>
      <c r="FO50" s="100"/>
      <c r="FP50" s="100"/>
      <c r="FQ50" s="100"/>
      <c r="FR50" s="100"/>
      <c r="FS50" s="100"/>
      <c r="FT50" s="100"/>
      <c r="FU50" s="100"/>
      <c r="FV50" s="100"/>
      <c r="FW50" s="100"/>
      <c r="FX50" s="100"/>
      <c r="FY50" s="100"/>
      <c r="FZ50" s="100"/>
      <c r="GA50" s="100"/>
      <c r="GB50" s="100"/>
      <c r="GC50" s="100"/>
      <c r="GD50" s="100"/>
      <c r="GE50" s="100"/>
      <c r="GF50" s="100"/>
      <c r="GG50" s="100"/>
      <c r="GH50" s="100"/>
      <c r="GI50" s="100"/>
      <c r="GJ50" s="100"/>
      <c r="GK50" s="100"/>
      <c r="GL50" s="100"/>
      <c r="GM50" s="100"/>
      <c r="GN50" s="100"/>
      <c r="GO50" s="100"/>
      <c r="GP50" s="100"/>
      <c r="GQ50" s="100"/>
      <c r="GR50" s="100"/>
      <c r="GS50" s="100"/>
      <c r="GT50" s="100"/>
      <c r="GU50" s="100"/>
      <c r="GV50" s="100"/>
      <c r="GW50" s="100"/>
      <c r="GX50" s="100"/>
      <c r="GY50" s="100"/>
      <c r="GZ50" s="100"/>
      <c r="HA50" s="100"/>
      <c r="HB50" s="100"/>
      <c r="HC50" s="100"/>
      <c r="HD50" s="100"/>
      <c r="HE50" s="100"/>
      <c r="HF50" s="100"/>
      <c r="HG50" s="100"/>
      <c r="HH50" s="100"/>
      <c r="HI50" s="100"/>
      <c r="HJ50" s="100"/>
      <c r="HK50" s="100"/>
      <c r="HL50" s="100"/>
      <c r="HM50" s="100"/>
      <c r="HN50" s="100"/>
      <c r="HO50" s="100"/>
      <c r="HP50" s="100"/>
      <c r="HQ50" s="100"/>
      <c r="HR50" s="100"/>
      <c r="HS50" s="100"/>
      <c r="HT50" s="100"/>
      <c r="HU50" s="100"/>
      <c r="HV50" s="100"/>
      <c r="HW50" s="100"/>
      <c r="HX50" s="100"/>
      <c r="HY50" s="100"/>
      <c r="HZ50" s="100"/>
      <c r="IA50" s="100"/>
      <c r="IB50" s="100"/>
      <c r="IC50" s="100"/>
      <c r="ID50" s="100"/>
      <c r="IE50" s="100"/>
      <c r="IF50" s="100"/>
      <c r="IG50" s="100"/>
      <c r="IH50" s="100"/>
      <c r="II50" s="100"/>
      <c r="IJ50" s="100"/>
      <c r="IK50" s="100"/>
      <c r="IL50" s="100"/>
      <c r="IM50" s="100"/>
      <c r="IN50" s="100"/>
      <c r="IO50" s="100"/>
      <c r="IP50" s="100"/>
      <c r="IQ50" s="100"/>
      <c r="IR50" s="100"/>
      <c r="IS50" s="100"/>
      <c r="IT50" s="100"/>
      <c r="IU50" s="100"/>
      <c r="IV50" s="100"/>
      <c r="IW50" s="100"/>
      <c r="IX50" s="100"/>
      <c r="IY50" s="100"/>
      <c r="IZ50" s="100"/>
      <c r="JA50" s="100"/>
      <c r="JB50" s="100"/>
      <c r="JC50" s="100"/>
      <c r="JD50" s="100"/>
      <c r="JE50" s="100"/>
      <c r="JF50" s="100"/>
      <c r="JG50" s="100"/>
      <c r="JH50" s="100"/>
      <c r="JI50" s="100"/>
      <c r="JJ50" s="100"/>
      <c r="JK50" s="100"/>
      <c r="JL50" s="100"/>
      <c r="JM50" s="100"/>
      <c r="JN50" s="100"/>
      <c r="JO50" s="100"/>
      <c r="JP50" s="100"/>
      <c r="JQ50" s="100"/>
      <c r="JR50" s="100"/>
      <c r="JS50" s="100"/>
      <c r="JT50" s="100"/>
      <c r="JU50" s="100"/>
      <c r="JV50" s="100"/>
      <c r="JW50" s="100"/>
      <c r="JX50" s="100"/>
      <c r="JY50" s="100"/>
      <c r="JZ50" s="100"/>
      <c r="KA50" s="100"/>
      <c r="KB50" s="100"/>
      <c r="KC50" s="100"/>
      <c r="KD50" s="100"/>
      <c r="KE50" s="100"/>
      <c r="KF50" s="100"/>
      <c r="KG50" s="100"/>
      <c r="KH50" s="100"/>
      <c r="KI50" s="100"/>
      <c r="KJ50" s="100"/>
    </row>
    <row r="51" spans="1:296" s="39" customFormat="1" x14ac:dyDescent="0.3">
      <c r="A51"/>
      <c r="B51" t="s">
        <v>1</v>
      </c>
      <c r="C51" s="5">
        <v>18</v>
      </c>
      <c r="D51" s="111">
        <v>6</v>
      </c>
      <c r="E51" s="5">
        <f>-(+C51*D51)</f>
        <v>-108</v>
      </c>
      <c r="F51" s="7"/>
      <c r="G51" s="15"/>
      <c r="H51"/>
      <c r="I51" s="28"/>
      <c r="K51" s="70"/>
      <c r="L51" s="75"/>
      <c r="M51" s="127"/>
      <c r="N51" s="77"/>
      <c r="O51" s="164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0"/>
      <c r="DE51" s="100"/>
      <c r="DF51" s="100"/>
      <c r="DG51" s="100"/>
      <c r="DH51" s="100"/>
      <c r="DI51" s="100"/>
      <c r="DJ51" s="100"/>
      <c r="DK51" s="100"/>
      <c r="DL51" s="100"/>
      <c r="DM51" s="100"/>
      <c r="DN51" s="100"/>
      <c r="DO51" s="100"/>
      <c r="DP51" s="100"/>
      <c r="DQ51" s="100"/>
      <c r="DR51" s="100"/>
      <c r="DS51" s="100"/>
      <c r="DT51" s="100"/>
      <c r="DU51" s="100"/>
      <c r="DV51" s="100"/>
      <c r="DW51" s="100"/>
      <c r="DX51" s="100"/>
      <c r="DY51" s="100"/>
      <c r="DZ51" s="100"/>
      <c r="EA51" s="100"/>
      <c r="EB51" s="100"/>
      <c r="EC51" s="100"/>
      <c r="ED51" s="100"/>
      <c r="EE51" s="100"/>
      <c r="EF51" s="100"/>
      <c r="EG51" s="100"/>
      <c r="EH51" s="100"/>
      <c r="EI51" s="100"/>
      <c r="EJ51" s="100"/>
      <c r="EK51" s="100"/>
      <c r="EL51" s="100"/>
      <c r="EM51" s="100"/>
      <c r="EN51" s="100"/>
      <c r="EO51" s="100"/>
      <c r="EP51" s="100"/>
      <c r="EQ51" s="100"/>
      <c r="ER51" s="100"/>
      <c r="ES51" s="100"/>
      <c r="ET51" s="100"/>
      <c r="EU51" s="100"/>
      <c r="EV51" s="100"/>
      <c r="EW51" s="100"/>
      <c r="EX51" s="100"/>
      <c r="EY51" s="100"/>
      <c r="EZ51" s="100"/>
      <c r="FA51" s="100"/>
      <c r="FB51" s="100"/>
      <c r="FC51" s="100"/>
      <c r="FD51" s="100"/>
      <c r="FE51" s="100"/>
      <c r="FF51" s="100"/>
      <c r="FG51" s="100"/>
      <c r="FH51" s="100"/>
      <c r="FI51" s="100"/>
      <c r="FJ51" s="100"/>
      <c r="FK51" s="100"/>
      <c r="FL51" s="100"/>
      <c r="FM51" s="100"/>
      <c r="FN51" s="100"/>
      <c r="FO51" s="100"/>
      <c r="FP51" s="100"/>
      <c r="FQ51" s="100"/>
      <c r="FR51" s="100"/>
      <c r="FS51" s="100"/>
      <c r="FT51" s="100"/>
      <c r="FU51" s="100"/>
      <c r="FV51" s="100"/>
      <c r="FW51" s="100"/>
      <c r="FX51" s="100"/>
      <c r="FY51" s="100"/>
      <c r="FZ51" s="100"/>
      <c r="GA51" s="100"/>
      <c r="GB51" s="100"/>
      <c r="GC51" s="100"/>
      <c r="GD51" s="100"/>
      <c r="GE51" s="100"/>
      <c r="GF51" s="100"/>
      <c r="GG51" s="100"/>
      <c r="GH51" s="100"/>
      <c r="GI51" s="100"/>
      <c r="GJ51" s="100"/>
      <c r="GK51" s="100"/>
      <c r="GL51" s="100"/>
      <c r="GM51" s="100"/>
      <c r="GN51" s="100"/>
      <c r="GO51" s="100"/>
      <c r="GP51" s="100"/>
      <c r="GQ51" s="100"/>
      <c r="GR51" s="100"/>
      <c r="GS51" s="100"/>
      <c r="GT51" s="100"/>
      <c r="GU51" s="100"/>
      <c r="GV51" s="100"/>
      <c r="GW51" s="100"/>
      <c r="GX51" s="100"/>
      <c r="GY51" s="100"/>
      <c r="GZ51" s="100"/>
      <c r="HA51" s="100"/>
      <c r="HB51" s="100"/>
      <c r="HC51" s="100"/>
      <c r="HD51" s="100"/>
      <c r="HE51" s="100"/>
      <c r="HF51" s="100"/>
      <c r="HG51" s="100"/>
      <c r="HH51" s="100"/>
      <c r="HI51" s="100"/>
      <c r="HJ51" s="100"/>
      <c r="HK51" s="100"/>
      <c r="HL51" s="100"/>
      <c r="HM51" s="100"/>
      <c r="HN51" s="100"/>
      <c r="HO51" s="100"/>
      <c r="HP51" s="100"/>
      <c r="HQ51" s="100"/>
      <c r="HR51" s="100"/>
      <c r="HS51" s="100"/>
      <c r="HT51" s="100"/>
      <c r="HU51" s="100"/>
      <c r="HV51" s="100"/>
      <c r="HW51" s="100"/>
      <c r="HX51" s="100"/>
      <c r="HY51" s="100"/>
      <c r="HZ51" s="100"/>
      <c r="IA51" s="100"/>
      <c r="IB51" s="100"/>
      <c r="IC51" s="100"/>
      <c r="ID51" s="100"/>
      <c r="IE51" s="100"/>
      <c r="IF51" s="100"/>
      <c r="IG51" s="100"/>
      <c r="IH51" s="100"/>
      <c r="II51" s="100"/>
      <c r="IJ51" s="100"/>
      <c r="IK51" s="100"/>
      <c r="IL51" s="100"/>
      <c r="IM51" s="100"/>
      <c r="IN51" s="100"/>
      <c r="IO51" s="100"/>
      <c r="IP51" s="100"/>
      <c r="IQ51" s="100"/>
      <c r="IR51" s="100"/>
      <c r="IS51" s="100"/>
      <c r="IT51" s="100"/>
      <c r="IU51" s="100"/>
      <c r="IV51" s="100"/>
      <c r="IW51" s="100"/>
      <c r="IX51" s="100"/>
      <c r="IY51" s="100"/>
      <c r="IZ51" s="100"/>
      <c r="JA51" s="100"/>
      <c r="JB51" s="100"/>
      <c r="JC51" s="100"/>
      <c r="JD51" s="100"/>
      <c r="JE51" s="100"/>
      <c r="JF51" s="100"/>
      <c r="JG51" s="100"/>
      <c r="JH51" s="100"/>
      <c r="JI51" s="100"/>
      <c r="JJ51" s="100"/>
      <c r="JK51" s="100"/>
      <c r="JL51" s="100"/>
      <c r="JM51" s="100"/>
      <c r="JN51" s="100"/>
      <c r="JO51" s="100"/>
      <c r="JP51" s="100"/>
      <c r="JQ51" s="100"/>
      <c r="JR51" s="100"/>
      <c r="JS51" s="100"/>
      <c r="JT51" s="100"/>
      <c r="JU51" s="100"/>
      <c r="JV51" s="100"/>
      <c r="JW51" s="100"/>
      <c r="JX51" s="100"/>
      <c r="JY51" s="100"/>
      <c r="JZ51" s="100"/>
      <c r="KA51" s="100"/>
      <c r="KB51" s="100"/>
      <c r="KC51" s="100"/>
      <c r="KD51" s="100"/>
      <c r="KE51" s="100"/>
      <c r="KF51" s="100"/>
      <c r="KG51" s="100"/>
      <c r="KH51" s="100"/>
      <c r="KI51" s="100"/>
      <c r="KJ51" s="100"/>
    </row>
    <row r="52" spans="1:296" s="39" customFormat="1" x14ac:dyDescent="0.3">
      <c r="A52"/>
      <c r="B52" t="s">
        <v>6</v>
      </c>
      <c r="C52" s="5">
        <v>12.5</v>
      </c>
      <c r="D52" s="111">
        <v>6</v>
      </c>
      <c r="E52" s="5">
        <f t="shared" ref="E52:E59" si="1">-(+C52*D52)</f>
        <v>-75</v>
      </c>
      <c r="F52" s="18"/>
      <c r="G52" s="19"/>
      <c r="H52"/>
      <c r="I52" s="28"/>
      <c r="K52" s="70"/>
      <c r="L52" s="75"/>
      <c r="M52" s="127"/>
      <c r="N52" s="77"/>
      <c r="O52" s="164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0"/>
      <c r="BL52" s="100"/>
      <c r="BM52" s="100"/>
      <c r="BN52" s="100"/>
      <c r="BO52" s="100"/>
      <c r="BP52" s="100"/>
      <c r="BQ52" s="100"/>
      <c r="BR52" s="100"/>
      <c r="BS52" s="100"/>
      <c r="BT52" s="100"/>
      <c r="BU52" s="100"/>
      <c r="BV52" s="100"/>
      <c r="BW52" s="100"/>
      <c r="BX52" s="100"/>
      <c r="BY52" s="100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  <c r="DC52" s="100"/>
      <c r="DD52" s="100"/>
      <c r="DE52" s="100"/>
      <c r="DF52" s="100"/>
      <c r="DG52" s="100"/>
      <c r="DH52" s="100"/>
      <c r="DI52" s="100"/>
      <c r="DJ52" s="100"/>
      <c r="DK52" s="100"/>
      <c r="DL52" s="100"/>
      <c r="DM52" s="100"/>
      <c r="DN52" s="100"/>
      <c r="DO52" s="100"/>
      <c r="DP52" s="100"/>
      <c r="DQ52" s="100"/>
      <c r="DR52" s="100"/>
      <c r="DS52" s="100"/>
      <c r="DT52" s="100"/>
      <c r="DU52" s="100"/>
      <c r="DV52" s="100"/>
      <c r="DW52" s="100"/>
      <c r="DX52" s="100"/>
      <c r="DY52" s="100"/>
      <c r="DZ52" s="100"/>
      <c r="EA52" s="100"/>
      <c r="EB52" s="100"/>
      <c r="EC52" s="100"/>
      <c r="ED52" s="100"/>
      <c r="EE52" s="100"/>
      <c r="EF52" s="100"/>
      <c r="EG52" s="100"/>
      <c r="EH52" s="100"/>
      <c r="EI52" s="100"/>
      <c r="EJ52" s="100"/>
      <c r="EK52" s="100"/>
      <c r="EL52" s="100"/>
      <c r="EM52" s="100"/>
      <c r="EN52" s="100"/>
      <c r="EO52" s="100"/>
      <c r="EP52" s="100"/>
      <c r="EQ52" s="100"/>
      <c r="ER52" s="100"/>
      <c r="ES52" s="100"/>
      <c r="ET52" s="100"/>
      <c r="EU52" s="100"/>
      <c r="EV52" s="100"/>
      <c r="EW52" s="100"/>
      <c r="EX52" s="100"/>
      <c r="EY52" s="100"/>
      <c r="EZ52" s="100"/>
      <c r="FA52" s="100"/>
      <c r="FB52" s="100"/>
      <c r="FC52" s="100"/>
      <c r="FD52" s="100"/>
      <c r="FE52" s="100"/>
      <c r="FF52" s="100"/>
      <c r="FG52" s="100"/>
      <c r="FH52" s="100"/>
      <c r="FI52" s="100"/>
      <c r="FJ52" s="100"/>
      <c r="FK52" s="100"/>
      <c r="FL52" s="100"/>
      <c r="FM52" s="100"/>
      <c r="FN52" s="100"/>
      <c r="FO52" s="100"/>
      <c r="FP52" s="100"/>
      <c r="FQ52" s="100"/>
      <c r="FR52" s="100"/>
      <c r="FS52" s="100"/>
      <c r="FT52" s="100"/>
      <c r="FU52" s="100"/>
      <c r="FV52" s="100"/>
      <c r="FW52" s="100"/>
      <c r="FX52" s="100"/>
      <c r="FY52" s="100"/>
      <c r="FZ52" s="100"/>
      <c r="GA52" s="100"/>
      <c r="GB52" s="100"/>
      <c r="GC52" s="100"/>
      <c r="GD52" s="100"/>
      <c r="GE52" s="100"/>
      <c r="GF52" s="100"/>
      <c r="GG52" s="100"/>
      <c r="GH52" s="100"/>
      <c r="GI52" s="100"/>
      <c r="GJ52" s="100"/>
      <c r="GK52" s="100"/>
      <c r="GL52" s="100"/>
      <c r="GM52" s="100"/>
      <c r="GN52" s="100"/>
      <c r="GO52" s="100"/>
      <c r="GP52" s="100"/>
      <c r="GQ52" s="100"/>
      <c r="GR52" s="100"/>
      <c r="GS52" s="100"/>
      <c r="GT52" s="100"/>
      <c r="GU52" s="100"/>
      <c r="GV52" s="100"/>
      <c r="GW52" s="100"/>
      <c r="GX52" s="100"/>
      <c r="GY52" s="100"/>
      <c r="GZ52" s="100"/>
      <c r="HA52" s="100"/>
      <c r="HB52" s="100"/>
      <c r="HC52" s="100"/>
      <c r="HD52" s="100"/>
      <c r="HE52" s="100"/>
      <c r="HF52" s="100"/>
      <c r="HG52" s="100"/>
      <c r="HH52" s="100"/>
      <c r="HI52" s="100"/>
      <c r="HJ52" s="100"/>
      <c r="HK52" s="100"/>
      <c r="HL52" s="100"/>
      <c r="HM52" s="100"/>
      <c r="HN52" s="100"/>
      <c r="HO52" s="100"/>
      <c r="HP52" s="100"/>
      <c r="HQ52" s="100"/>
      <c r="HR52" s="100"/>
      <c r="HS52" s="100"/>
      <c r="HT52" s="100"/>
      <c r="HU52" s="100"/>
      <c r="HV52" s="100"/>
      <c r="HW52" s="100"/>
      <c r="HX52" s="100"/>
      <c r="HY52" s="100"/>
      <c r="HZ52" s="100"/>
      <c r="IA52" s="100"/>
      <c r="IB52" s="100"/>
      <c r="IC52" s="100"/>
      <c r="ID52" s="100"/>
      <c r="IE52" s="100"/>
      <c r="IF52" s="100"/>
      <c r="IG52" s="100"/>
      <c r="IH52" s="100"/>
      <c r="II52" s="100"/>
      <c r="IJ52" s="100"/>
      <c r="IK52" s="100"/>
      <c r="IL52" s="100"/>
      <c r="IM52" s="100"/>
      <c r="IN52" s="100"/>
      <c r="IO52" s="100"/>
      <c r="IP52" s="100"/>
      <c r="IQ52" s="100"/>
      <c r="IR52" s="100"/>
      <c r="IS52" s="100"/>
      <c r="IT52" s="100"/>
      <c r="IU52" s="100"/>
      <c r="IV52" s="100"/>
      <c r="IW52" s="100"/>
      <c r="IX52" s="100"/>
      <c r="IY52" s="100"/>
      <c r="IZ52" s="100"/>
      <c r="JA52" s="100"/>
      <c r="JB52" s="100"/>
      <c r="JC52" s="100"/>
      <c r="JD52" s="100"/>
      <c r="JE52" s="100"/>
      <c r="JF52" s="100"/>
      <c r="JG52" s="100"/>
      <c r="JH52" s="100"/>
      <c r="JI52" s="100"/>
      <c r="JJ52" s="100"/>
      <c r="JK52" s="100"/>
      <c r="JL52" s="100"/>
      <c r="JM52" s="100"/>
      <c r="JN52" s="100"/>
      <c r="JO52" s="100"/>
      <c r="JP52" s="100"/>
      <c r="JQ52" s="100"/>
      <c r="JR52" s="100"/>
      <c r="JS52" s="100"/>
      <c r="JT52" s="100"/>
      <c r="JU52" s="100"/>
      <c r="JV52" s="100"/>
      <c r="JW52" s="100"/>
      <c r="JX52" s="100"/>
      <c r="JY52" s="100"/>
      <c r="JZ52" s="100"/>
      <c r="KA52" s="100"/>
      <c r="KB52" s="100"/>
      <c r="KC52" s="100"/>
      <c r="KD52" s="100"/>
      <c r="KE52" s="100"/>
      <c r="KF52" s="100"/>
      <c r="KG52" s="100"/>
      <c r="KH52" s="100"/>
      <c r="KI52" s="100"/>
      <c r="KJ52" s="100"/>
    </row>
    <row r="53" spans="1:296" s="43" customFormat="1" x14ac:dyDescent="0.3">
      <c r="B53" s="130" t="s">
        <v>128</v>
      </c>
      <c r="C53" s="119">
        <v>15</v>
      </c>
      <c r="D53" s="120">
        <v>0</v>
      </c>
      <c r="E53" s="119">
        <f>-(+C53*D53)</f>
        <v>0</v>
      </c>
      <c r="F53" s="121"/>
      <c r="G53" s="119"/>
      <c r="I53" s="28"/>
      <c r="J53" s="39"/>
      <c r="K53" s="70"/>
      <c r="L53" s="75"/>
      <c r="M53" s="127"/>
      <c r="N53" s="77"/>
      <c r="O53" s="164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  <c r="DC53" s="100"/>
      <c r="DD53" s="100"/>
      <c r="DE53" s="100"/>
      <c r="DF53" s="100"/>
      <c r="DG53" s="100"/>
      <c r="DH53" s="100"/>
      <c r="DI53" s="100"/>
      <c r="DJ53" s="100"/>
      <c r="DK53" s="100"/>
      <c r="DL53" s="100"/>
      <c r="DM53" s="100"/>
      <c r="DN53" s="100"/>
      <c r="DO53" s="100"/>
      <c r="DP53" s="100"/>
      <c r="DQ53" s="100"/>
      <c r="DR53" s="100"/>
      <c r="DS53" s="100"/>
      <c r="DT53" s="100"/>
      <c r="DU53" s="100"/>
      <c r="DV53" s="100"/>
      <c r="DW53" s="100"/>
      <c r="DX53" s="100"/>
      <c r="DY53" s="100"/>
      <c r="DZ53" s="100"/>
      <c r="EA53" s="100"/>
      <c r="EB53" s="100"/>
      <c r="EC53" s="100"/>
      <c r="ED53" s="100"/>
      <c r="EE53" s="100"/>
      <c r="EF53" s="100"/>
      <c r="EG53" s="100"/>
      <c r="EH53" s="100"/>
      <c r="EI53" s="100"/>
      <c r="EJ53" s="100"/>
      <c r="EK53" s="100"/>
      <c r="EL53" s="100"/>
      <c r="EM53" s="100"/>
      <c r="EN53" s="100"/>
      <c r="EO53" s="100"/>
      <c r="EP53" s="100"/>
      <c r="EQ53" s="100"/>
      <c r="ER53" s="100"/>
      <c r="ES53" s="100"/>
      <c r="ET53" s="100"/>
      <c r="EU53" s="100"/>
      <c r="EV53" s="100"/>
      <c r="EW53" s="100"/>
      <c r="EX53" s="100"/>
      <c r="EY53" s="100"/>
      <c r="EZ53" s="100"/>
      <c r="FA53" s="100"/>
      <c r="FB53" s="100"/>
      <c r="FC53" s="100"/>
      <c r="FD53" s="100"/>
      <c r="FE53" s="100"/>
      <c r="FF53" s="100"/>
      <c r="FG53" s="100"/>
      <c r="FH53" s="100"/>
      <c r="FI53" s="100"/>
      <c r="FJ53" s="100"/>
      <c r="FK53" s="100"/>
      <c r="FL53" s="100"/>
      <c r="FM53" s="100"/>
      <c r="FN53" s="100"/>
      <c r="FO53" s="100"/>
      <c r="FP53" s="100"/>
      <c r="FQ53" s="100"/>
      <c r="FR53" s="100"/>
      <c r="FS53" s="100"/>
      <c r="FT53" s="100"/>
      <c r="FU53" s="100"/>
      <c r="FV53" s="100"/>
      <c r="FW53" s="100"/>
      <c r="FX53" s="100"/>
      <c r="FY53" s="100"/>
      <c r="FZ53" s="100"/>
      <c r="GA53" s="100"/>
      <c r="GB53" s="100"/>
      <c r="GC53" s="100"/>
      <c r="GD53" s="100"/>
      <c r="GE53" s="100"/>
      <c r="GF53" s="100"/>
      <c r="GG53" s="100"/>
      <c r="GH53" s="100"/>
      <c r="GI53" s="100"/>
      <c r="GJ53" s="100"/>
      <c r="GK53" s="100"/>
      <c r="GL53" s="100"/>
      <c r="GM53" s="100"/>
      <c r="GN53" s="100"/>
      <c r="GO53" s="100"/>
      <c r="GP53" s="100"/>
      <c r="GQ53" s="100"/>
      <c r="GR53" s="100"/>
      <c r="GS53" s="100"/>
      <c r="GT53" s="100"/>
      <c r="GU53" s="100"/>
      <c r="GV53" s="100"/>
      <c r="GW53" s="100"/>
      <c r="GX53" s="100"/>
      <c r="GY53" s="100"/>
      <c r="GZ53" s="100"/>
      <c r="HA53" s="100"/>
      <c r="HB53" s="100"/>
      <c r="HC53" s="100"/>
      <c r="HD53" s="100"/>
      <c r="HE53" s="100"/>
      <c r="HF53" s="100"/>
      <c r="HG53" s="100"/>
      <c r="HH53" s="100"/>
      <c r="HI53" s="100"/>
      <c r="HJ53" s="100"/>
      <c r="HK53" s="100"/>
      <c r="HL53" s="100"/>
      <c r="HM53" s="100"/>
      <c r="HN53" s="100"/>
      <c r="HO53" s="100"/>
      <c r="HP53" s="100"/>
      <c r="HQ53" s="100"/>
      <c r="HR53" s="100"/>
      <c r="HS53" s="100"/>
      <c r="HT53" s="100"/>
      <c r="HU53" s="100"/>
      <c r="HV53" s="100"/>
      <c r="HW53" s="100"/>
      <c r="HX53" s="100"/>
      <c r="HY53" s="100"/>
      <c r="HZ53" s="100"/>
      <c r="IA53" s="100"/>
      <c r="IB53" s="100"/>
      <c r="IC53" s="100"/>
      <c r="ID53" s="100"/>
      <c r="IE53" s="100"/>
      <c r="IF53" s="100"/>
      <c r="IG53" s="100"/>
      <c r="IH53" s="100"/>
      <c r="II53" s="100"/>
      <c r="IJ53" s="100"/>
      <c r="IK53" s="100"/>
      <c r="IL53" s="100"/>
      <c r="IM53" s="100"/>
      <c r="IN53" s="100"/>
      <c r="IO53" s="100"/>
      <c r="IP53" s="100"/>
      <c r="IQ53" s="100"/>
      <c r="IR53" s="100"/>
      <c r="IS53" s="100"/>
      <c r="IT53" s="100"/>
      <c r="IU53" s="100"/>
      <c r="IV53" s="100"/>
      <c r="IW53" s="100"/>
      <c r="IX53" s="100"/>
      <c r="IY53" s="100"/>
      <c r="IZ53" s="100"/>
      <c r="JA53" s="100"/>
      <c r="JB53" s="100"/>
      <c r="JC53" s="100"/>
      <c r="JD53" s="100"/>
      <c r="JE53" s="100"/>
      <c r="JF53" s="100"/>
      <c r="JG53" s="100"/>
      <c r="JH53" s="100"/>
      <c r="JI53" s="100"/>
      <c r="JJ53" s="100"/>
      <c r="JK53" s="100"/>
      <c r="JL53" s="100"/>
      <c r="JM53" s="100"/>
      <c r="JN53" s="100"/>
      <c r="JO53" s="100"/>
      <c r="JP53" s="100"/>
      <c r="JQ53" s="100"/>
      <c r="JR53" s="100"/>
      <c r="JS53" s="100"/>
      <c r="JT53" s="100"/>
      <c r="JU53" s="100"/>
      <c r="JV53" s="100"/>
      <c r="JW53" s="100"/>
      <c r="JX53" s="100"/>
      <c r="JY53" s="100"/>
      <c r="JZ53" s="100"/>
      <c r="KA53" s="100"/>
      <c r="KB53" s="100"/>
      <c r="KC53" s="100"/>
      <c r="KD53" s="100"/>
      <c r="KE53" s="100"/>
      <c r="KF53" s="100"/>
      <c r="KG53" s="100"/>
      <c r="KH53" s="100"/>
      <c r="KI53" s="100"/>
      <c r="KJ53" s="100"/>
    </row>
    <row r="54" spans="1:296" s="39" customFormat="1" x14ac:dyDescent="0.3">
      <c r="A54"/>
      <c r="B54" t="s">
        <v>7</v>
      </c>
      <c r="C54" s="5">
        <f>+'DIS. PRENDAS'!L12</f>
        <v>25.279583333333335</v>
      </c>
      <c r="D54" s="111">
        <v>5</v>
      </c>
      <c r="E54" s="5">
        <f t="shared" si="1"/>
        <v>-126.39791666666667</v>
      </c>
      <c r="F54" s="7"/>
      <c r="G54" s="5"/>
      <c r="H54"/>
      <c r="I54" s="28"/>
      <c r="K54" s="70"/>
      <c r="L54" s="75"/>
      <c r="M54" s="127"/>
      <c r="N54" s="77"/>
      <c r="O54" s="164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  <c r="DC54" s="100"/>
      <c r="DD54" s="100"/>
      <c r="DE54" s="100"/>
      <c r="DF54" s="100"/>
      <c r="DG54" s="100"/>
      <c r="DH54" s="100"/>
      <c r="DI54" s="100"/>
      <c r="DJ54" s="100"/>
      <c r="DK54" s="100"/>
      <c r="DL54" s="100"/>
      <c r="DM54" s="100"/>
      <c r="DN54" s="100"/>
      <c r="DO54" s="100"/>
      <c r="DP54" s="100"/>
      <c r="DQ54" s="100"/>
      <c r="DR54" s="100"/>
      <c r="DS54" s="100"/>
      <c r="DT54" s="100"/>
      <c r="DU54" s="100"/>
      <c r="DV54" s="100"/>
      <c r="DW54" s="100"/>
      <c r="DX54" s="100"/>
      <c r="DY54" s="100"/>
      <c r="DZ54" s="100"/>
      <c r="EA54" s="100"/>
      <c r="EB54" s="100"/>
      <c r="EC54" s="100"/>
      <c r="ED54" s="100"/>
      <c r="EE54" s="100"/>
      <c r="EF54" s="100"/>
      <c r="EG54" s="100"/>
      <c r="EH54" s="100"/>
      <c r="EI54" s="100"/>
      <c r="EJ54" s="100"/>
      <c r="EK54" s="100"/>
      <c r="EL54" s="100"/>
      <c r="EM54" s="100"/>
      <c r="EN54" s="100"/>
      <c r="EO54" s="100"/>
      <c r="EP54" s="100"/>
      <c r="EQ54" s="100"/>
      <c r="ER54" s="100"/>
      <c r="ES54" s="100"/>
      <c r="ET54" s="100"/>
      <c r="EU54" s="100"/>
      <c r="EV54" s="100"/>
      <c r="EW54" s="100"/>
      <c r="EX54" s="100"/>
      <c r="EY54" s="100"/>
      <c r="EZ54" s="100"/>
      <c r="FA54" s="100"/>
      <c r="FB54" s="100"/>
      <c r="FC54" s="100"/>
      <c r="FD54" s="100"/>
      <c r="FE54" s="100"/>
      <c r="FF54" s="100"/>
      <c r="FG54" s="100"/>
      <c r="FH54" s="100"/>
      <c r="FI54" s="100"/>
      <c r="FJ54" s="100"/>
      <c r="FK54" s="100"/>
      <c r="FL54" s="100"/>
      <c r="FM54" s="100"/>
      <c r="FN54" s="100"/>
      <c r="FO54" s="100"/>
      <c r="FP54" s="100"/>
      <c r="FQ54" s="100"/>
      <c r="FR54" s="100"/>
      <c r="FS54" s="100"/>
      <c r="FT54" s="100"/>
      <c r="FU54" s="100"/>
      <c r="FV54" s="100"/>
      <c r="FW54" s="100"/>
      <c r="FX54" s="100"/>
      <c r="FY54" s="100"/>
      <c r="FZ54" s="100"/>
      <c r="GA54" s="100"/>
      <c r="GB54" s="100"/>
      <c r="GC54" s="100"/>
      <c r="GD54" s="100"/>
      <c r="GE54" s="100"/>
      <c r="GF54" s="100"/>
      <c r="GG54" s="100"/>
      <c r="GH54" s="100"/>
      <c r="GI54" s="100"/>
      <c r="GJ54" s="100"/>
      <c r="GK54" s="100"/>
      <c r="GL54" s="100"/>
      <c r="GM54" s="100"/>
      <c r="GN54" s="100"/>
      <c r="GO54" s="100"/>
      <c r="GP54" s="100"/>
      <c r="GQ54" s="100"/>
      <c r="GR54" s="100"/>
      <c r="GS54" s="100"/>
      <c r="GT54" s="100"/>
      <c r="GU54" s="100"/>
      <c r="GV54" s="100"/>
      <c r="GW54" s="100"/>
      <c r="GX54" s="100"/>
      <c r="GY54" s="100"/>
      <c r="GZ54" s="100"/>
      <c r="HA54" s="100"/>
      <c r="HB54" s="100"/>
      <c r="HC54" s="100"/>
      <c r="HD54" s="100"/>
      <c r="HE54" s="100"/>
      <c r="HF54" s="100"/>
      <c r="HG54" s="100"/>
      <c r="HH54" s="100"/>
      <c r="HI54" s="100"/>
      <c r="HJ54" s="100"/>
      <c r="HK54" s="100"/>
      <c r="HL54" s="100"/>
      <c r="HM54" s="100"/>
      <c r="HN54" s="100"/>
      <c r="HO54" s="100"/>
      <c r="HP54" s="100"/>
      <c r="HQ54" s="100"/>
      <c r="HR54" s="100"/>
      <c r="HS54" s="100"/>
      <c r="HT54" s="100"/>
      <c r="HU54" s="100"/>
      <c r="HV54" s="100"/>
      <c r="HW54" s="100"/>
      <c r="HX54" s="100"/>
      <c r="HY54" s="100"/>
      <c r="HZ54" s="100"/>
      <c r="IA54" s="100"/>
      <c r="IB54" s="100"/>
      <c r="IC54" s="100"/>
      <c r="ID54" s="100"/>
      <c r="IE54" s="100"/>
      <c r="IF54" s="100"/>
      <c r="IG54" s="100"/>
      <c r="IH54" s="100"/>
      <c r="II54" s="100"/>
      <c r="IJ54" s="100"/>
      <c r="IK54" s="100"/>
      <c r="IL54" s="100"/>
      <c r="IM54" s="100"/>
      <c r="IN54" s="100"/>
      <c r="IO54" s="100"/>
      <c r="IP54" s="100"/>
      <c r="IQ54" s="100"/>
      <c r="IR54" s="100"/>
      <c r="IS54" s="100"/>
      <c r="IT54" s="100"/>
      <c r="IU54" s="100"/>
      <c r="IV54" s="100"/>
      <c r="IW54" s="100"/>
      <c r="IX54" s="100"/>
      <c r="IY54" s="100"/>
      <c r="IZ54" s="100"/>
      <c r="JA54" s="100"/>
      <c r="JB54" s="100"/>
      <c r="JC54" s="100"/>
      <c r="JD54" s="100"/>
      <c r="JE54" s="100"/>
      <c r="JF54" s="100"/>
      <c r="JG54" s="100"/>
      <c r="JH54" s="100"/>
      <c r="JI54" s="100"/>
      <c r="JJ54" s="100"/>
      <c r="JK54" s="100"/>
      <c r="JL54" s="100"/>
      <c r="JM54" s="100"/>
      <c r="JN54" s="100"/>
      <c r="JO54" s="100"/>
      <c r="JP54" s="100"/>
      <c r="JQ54" s="100"/>
      <c r="JR54" s="100"/>
      <c r="JS54" s="100"/>
      <c r="JT54" s="100"/>
      <c r="JU54" s="100"/>
      <c r="JV54" s="100"/>
      <c r="JW54" s="100"/>
      <c r="JX54" s="100"/>
      <c r="JY54" s="100"/>
      <c r="JZ54" s="100"/>
      <c r="KA54" s="100"/>
      <c r="KB54" s="100"/>
      <c r="KC54" s="100"/>
      <c r="KD54" s="100"/>
      <c r="KE54" s="100"/>
      <c r="KF54" s="100"/>
      <c r="KG54" s="100"/>
      <c r="KH54" s="100"/>
      <c r="KI54" s="100"/>
      <c r="KJ54" s="100"/>
    </row>
    <row r="55" spans="1:296" s="28" customFormat="1" x14ac:dyDescent="0.3">
      <c r="B55" s="28" t="s">
        <v>102</v>
      </c>
      <c r="C55" s="83">
        <f>'DIS. PRENDAS'!R12</f>
        <v>36.481249999999996</v>
      </c>
      <c r="D55" s="115">
        <v>6</v>
      </c>
      <c r="E55" s="83">
        <f t="shared" si="1"/>
        <v>-218.88749999999999</v>
      </c>
      <c r="F55" s="131"/>
      <c r="G55" s="83"/>
      <c r="J55" s="39"/>
      <c r="K55" s="70"/>
      <c r="L55" s="75"/>
      <c r="M55" s="127"/>
      <c r="N55" s="77"/>
      <c r="O55" s="164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0"/>
      <c r="BK55" s="100"/>
      <c r="BL55" s="100"/>
      <c r="BM55" s="100"/>
      <c r="BN55" s="100"/>
      <c r="BO55" s="100"/>
      <c r="BP55" s="100"/>
      <c r="BQ55" s="100"/>
      <c r="BR55" s="100"/>
      <c r="BS55" s="100"/>
      <c r="BT55" s="100"/>
      <c r="BU55" s="100"/>
      <c r="BV55" s="100"/>
      <c r="BW55" s="100"/>
      <c r="BX55" s="100"/>
      <c r="BY55" s="100"/>
      <c r="BZ55" s="100"/>
      <c r="CA55" s="100"/>
      <c r="CB55" s="100"/>
      <c r="CC55" s="100"/>
      <c r="CD55" s="100"/>
      <c r="CE55" s="10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  <c r="CT55" s="100"/>
      <c r="CU55" s="100"/>
      <c r="CV55" s="100"/>
      <c r="CW55" s="100"/>
      <c r="CX55" s="100"/>
      <c r="CY55" s="100"/>
      <c r="CZ55" s="100"/>
      <c r="DA55" s="100"/>
      <c r="DB55" s="100"/>
      <c r="DC55" s="100"/>
      <c r="DD55" s="100"/>
      <c r="DE55" s="100"/>
      <c r="DF55" s="100"/>
      <c r="DG55" s="100"/>
      <c r="DH55" s="100"/>
      <c r="DI55" s="100"/>
      <c r="DJ55" s="100"/>
      <c r="DK55" s="100"/>
      <c r="DL55" s="100"/>
      <c r="DM55" s="100"/>
      <c r="DN55" s="100"/>
      <c r="DO55" s="100"/>
      <c r="DP55" s="100"/>
      <c r="DQ55" s="100"/>
      <c r="DR55" s="100"/>
      <c r="DS55" s="100"/>
      <c r="DT55" s="100"/>
      <c r="DU55" s="100"/>
      <c r="DV55" s="100"/>
      <c r="DW55" s="100"/>
      <c r="DX55" s="100"/>
      <c r="DY55" s="100"/>
      <c r="DZ55" s="100"/>
      <c r="EA55" s="100"/>
      <c r="EB55" s="100"/>
      <c r="EC55" s="100"/>
      <c r="ED55" s="100"/>
      <c r="EE55" s="100"/>
      <c r="EF55" s="100"/>
      <c r="EG55" s="100"/>
      <c r="EH55" s="100"/>
      <c r="EI55" s="100"/>
      <c r="EJ55" s="100"/>
      <c r="EK55" s="100"/>
      <c r="EL55" s="100"/>
      <c r="EM55" s="100"/>
      <c r="EN55" s="100"/>
      <c r="EO55" s="100"/>
      <c r="EP55" s="100"/>
      <c r="EQ55" s="100"/>
      <c r="ER55" s="100"/>
      <c r="ES55" s="100"/>
      <c r="ET55" s="100"/>
      <c r="EU55" s="100"/>
      <c r="EV55" s="100"/>
      <c r="EW55" s="100"/>
      <c r="EX55" s="100"/>
      <c r="EY55" s="100"/>
      <c r="EZ55" s="100"/>
      <c r="FA55" s="100"/>
      <c r="FB55" s="100"/>
      <c r="FC55" s="100"/>
      <c r="FD55" s="100"/>
      <c r="FE55" s="100"/>
      <c r="FF55" s="100"/>
      <c r="FG55" s="100"/>
      <c r="FH55" s="100"/>
      <c r="FI55" s="100"/>
      <c r="FJ55" s="100"/>
      <c r="FK55" s="100"/>
      <c r="FL55" s="100"/>
      <c r="FM55" s="100"/>
      <c r="FN55" s="100"/>
      <c r="FO55" s="100"/>
      <c r="FP55" s="100"/>
      <c r="FQ55" s="100"/>
      <c r="FR55" s="100"/>
      <c r="FS55" s="100"/>
      <c r="FT55" s="100"/>
      <c r="FU55" s="100"/>
      <c r="FV55" s="100"/>
      <c r="FW55" s="100"/>
      <c r="FX55" s="100"/>
      <c r="FY55" s="100"/>
      <c r="FZ55" s="100"/>
      <c r="GA55" s="100"/>
      <c r="GB55" s="100"/>
      <c r="GC55" s="100"/>
      <c r="GD55" s="100"/>
      <c r="GE55" s="100"/>
      <c r="GF55" s="100"/>
      <c r="GG55" s="100"/>
      <c r="GH55" s="100"/>
      <c r="GI55" s="100"/>
      <c r="GJ55" s="100"/>
      <c r="GK55" s="100"/>
      <c r="GL55" s="100"/>
      <c r="GM55" s="100"/>
      <c r="GN55" s="100"/>
      <c r="GO55" s="100"/>
      <c r="GP55" s="100"/>
      <c r="GQ55" s="100"/>
      <c r="GR55" s="100"/>
      <c r="GS55" s="100"/>
      <c r="GT55" s="100"/>
      <c r="GU55" s="100"/>
      <c r="GV55" s="100"/>
      <c r="GW55" s="100"/>
      <c r="GX55" s="100"/>
      <c r="GY55" s="100"/>
      <c r="GZ55" s="100"/>
      <c r="HA55" s="100"/>
      <c r="HB55" s="100"/>
      <c r="HC55" s="100"/>
      <c r="HD55" s="100"/>
      <c r="HE55" s="100"/>
      <c r="HF55" s="100"/>
      <c r="HG55" s="100"/>
      <c r="HH55" s="100"/>
      <c r="HI55" s="100"/>
      <c r="HJ55" s="100"/>
      <c r="HK55" s="100"/>
      <c r="HL55" s="100"/>
      <c r="HM55" s="100"/>
      <c r="HN55" s="100"/>
      <c r="HO55" s="100"/>
      <c r="HP55" s="100"/>
      <c r="HQ55" s="100"/>
      <c r="HR55" s="100"/>
      <c r="HS55" s="100"/>
      <c r="HT55" s="100"/>
      <c r="HU55" s="100"/>
      <c r="HV55" s="100"/>
      <c r="HW55" s="100"/>
      <c r="HX55" s="100"/>
      <c r="HY55" s="100"/>
      <c r="HZ55" s="100"/>
      <c r="IA55" s="100"/>
      <c r="IB55" s="100"/>
      <c r="IC55" s="100"/>
      <c r="ID55" s="100"/>
      <c r="IE55" s="100"/>
      <c r="IF55" s="100"/>
      <c r="IG55" s="100"/>
      <c r="IH55" s="100"/>
      <c r="II55" s="100"/>
      <c r="IJ55" s="100"/>
      <c r="IK55" s="100"/>
      <c r="IL55" s="100"/>
      <c r="IM55" s="100"/>
      <c r="IN55" s="100"/>
      <c r="IO55" s="100"/>
      <c r="IP55" s="100"/>
      <c r="IQ55" s="100"/>
      <c r="IR55" s="100"/>
      <c r="IS55" s="100"/>
      <c r="IT55" s="100"/>
      <c r="IU55" s="100"/>
      <c r="IV55" s="100"/>
      <c r="IW55" s="100"/>
      <c r="IX55" s="100"/>
      <c r="IY55" s="100"/>
      <c r="IZ55" s="100"/>
      <c r="JA55" s="100"/>
      <c r="JB55" s="100"/>
      <c r="JC55" s="100"/>
      <c r="JD55" s="100"/>
      <c r="JE55" s="100"/>
      <c r="JF55" s="100"/>
      <c r="JG55" s="100"/>
      <c r="JH55" s="100"/>
      <c r="JI55" s="100"/>
      <c r="JJ55" s="100"/>
      <c r="JK55" s="100"/>
      <c r="JL55" s="100"/>
      <c r="JM55" s="100"/>
      <c r="JN55" s="100"/>
      <c r="JO55" s="100"/>
      <c r="JP55" s="100"/>
      <c r="JQ55" s="100"/>
      <c r="JR55" s="100"/>
      <c r="JS55" s="100"/>
      <c r="JT55" s="100"/>
      <c r="JU55" s="100"/>
      <c r="JV55" s="100"/>
      <c r="JW55" s="100"/>
      <c r="JX55" s="100"/>
      <c r="JY55" s="100"/>
      <c r="JZ55" s="100"/>
      <c r="KA55" s="100"/>
      <c r="KB55" s="100"/>
      <c r="KC55" s="100"/>
      <c r="KD55" s="100"/>
      <c r="KE55" s="100"/>
      <c r="KF55" s="100"/>
      <c r="KG55" s="100"/>
      <c r="KH55" s="100"/>
      <c r="KI55" s="100"/>
      <c r="KJ55" s="100"/>
    </row>
    <row r="56" spans="1:296" s="28" customFormat="1" x14ac:dyDescent="0.3">
      <c r="B56" s="28" t="s">
        <v>103</v>
      </c>
      <c r="C56" s="83">
        <f>+'DIS. PRENDAS'!O12</f>
        <v>31.502777777777776</v>
      </c>
      <c r="D56" s="115">
        <v>6</v>
      </c>
      <c r="E56" s="83">
        <f>-(+C56*D56)</f>
        <v>-189.01666666666665</v>
      </c>
      <c r="F56" s="117"/>
      <c r="G56" s="83"/>
      <c r="J56" s="39"/>
      <c r="K56" s="70"/>
      <c r="L56" s="75"/>
      <c r="M56" s="127"/>
      <c r="N56" s="77"/>
      <c r="O56" s="164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  <c r="BS56" s="100"/>
      <c r="BT56" s="100"/>
      <c r="BU56" s="100"/>
      <c r="BV56" s="100"/>
      <c r="BW56" s="100"/>
      <c r="BX56" s="100"/>
      <c r="BY56" s="100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100"/>
      <c r="CX56" s="100"/>
      <c r="CY56" s="100"/>
      <c r="CZ56" s="100"/>
      <c r="DA56" s="100"/>
      <c r="DB56" s="100"/>
      <c r="DC56" s="100"/>
      <c r="DD56" s="100"/>
      <c r="DE56" s="100"/>
      <c r="DF56" s="100"/>
      <c r="DG56" s="100"/>
      <c r="DH56" s="100"/>
      <c r="DI56" s="100"/>
      <c r="DJ56" s="100"/>
      <c r="DK56" s="100"/>
      <c r="DL56" s="100"/>
      <c r="DM56" s="100"/>
      <c r="DN56" s="100"/>
      <c r="DO56" s="100"/>
      <c r="DP56" s="100"/>
      <c r="DQ56" s="100"/>
      <c r="DR56" s="100"/>
      <c r="DS56" s="100"/>
      <c r="DT56" s="100"/>
      <c r="DU56" s="100"/>
      <c r="DV56" s="100"/>
      <c r="DW56" s="100"/>
      <c r="DX56" s="100"/>
      <c r="DY56" s="100"/>
      <c r="DZ56" s="100"/>
      <c r="EA56" s="100"/>
      <c r="EB56" s="100"/>
      <c r="EC56" s="100"/>
      <c r="ED56" s="100"/>
      <c r="EE56" s="100"/>
      <c r="EF56" s="100"/>
      <c r="EG56" s="100"/>
      <c r="EH56" s="100"/>
      <c r="EI56" s="100"/>
      <c r="EJ56" s="100"/>
      <c r="EK56" s="100"/>
      <c r="EL56" s="100"/>
      <c r="EM56" s="100"/>
      <c r="EN56" s="100"/>
      <c r="EO56" s="100"/>
      <c r="EP56" s="100"/>
      <c r="EQ56" s="100"/>
      <c r="ER56" s="100"/>
      <c r="ES56" s="100"/>
      <c r="ET56" s="100"/>
      <c r="EU56" s="100"/>
      <c r="EV56" s="100"/>
      <c r="EW56" s="100"/>
      <c r="EX56" s="100"/>
      <c r="EY56" s="100"/>
      <c r="EZ56" s="100"/>
      <c r="FA56" s="100"/>
      <c r="FB56" s="100"/>
      <c r="FC56" s="100"/>
      <c r="FD56" s="100"/>
      <c r="FE56" s="100"/>
      <c r="FF56" s="100"/>
      <c r="FG56" s="100"/>
      <c r="FH56" s="100"/>
      <c r="FI56" s="100"/>
      <c r="FJ56" s="100"/>
      <c r="FK56" s="100"/>
      <c r="FL56" s="100"/>
      <c r="FM56" s="100"/>
      <c r="FN56" s="100"/>
      <c r="FO56" s="100"/>
      <c r="FP56" s="100"/>
      <c r="FQ56" s="100"/>
      <c r="FR56" s="100"/>
      <c r="FS56" s="100"/>
      <c r="FT56" s="100"/>
      <c r="FU56" s="100"/>
      <c r="FV56" s="100"/>
      <c r="FW56" s="100"/>
      <c r="FX56" s="100"/>
      <c r="FY56" s="100"/>
      <c r="FZ56" s="100"/>
      <c r="GA56" s="100"/>
      <c r="GB56" s="100"/>
      <c r="GC56" s="100"/>
      <c r="GD56" s="100"/>
      <c r="GE56" s="100"/>
      <c r="GF56" s="100"/>
      <c r="GG56" s="100"/>
      <c r="GH56" s="100"/>
      <c r="GI56" s="100"/>
      <c r="GJ56" s="100"/>
      <c r="GK56" s="100"/>
      <c r="GL56" s="100"/>
      <c r="GM56" s="100"/>
      <c r="GN56" s="100"/>
      <c r="GO56" s="100"/>
      <c r="GP56" s="100"/>
      <c r="GQ56" s="100"/>
      <c r="GR56" s="100"/>
      <c r="GS56" s="100"/>
      <c r="GT56" s="100"/>
      <c r="GU56" s="100"/>
      <c r="GV56" s="100"/>
      <c r="GW56" s="100"/>
      <c r="GX56" s="100"/>
      <c r="GY56" s="100"/>
      <c r="GZ56" s="100"/>
      <c r="HA56" s="100"/>
      <c r="HB56" s="100"/>
      <c r="HC56" s="100"/>
      <c r="HD56" s="100"/>
      <c r="HE56" s="100"/>
      <c r="HF56" s="100"/>
      <c r="HG56" s="100"/>
      <c r="HH56" s="100"/>
      <c r="HI56" s="100"/>
      <c r="HJ56" s="100"/>
      <c r="HK56" s="100"/>
      <c r="HL56" s="100"/>
      <c r="HM56" s="100"/>
      <c r="HN56" s="100"/>
      <c r="HO56" s="100"/>
      <c r="HP56" s="100"/>
      <c r="HQ56" s="100"/>
      <c r="HR56" s="100"/>
      <c r="HS56" s="100"/>
      <c r="HT56" s="100"/>
      <c r="HU56" s="100"/>
      <c r="HV56" s="100"/>
      <c r="HW56" s="100"/>
      <c r="HX56" s="100"/>
      <c r="HY56" s="100"/>
      <c r="HZ56" s="100"/>
      <c r="IA56" s="100"/>
      <c r="IB56" s="100"/>
      <c r="IC56" s="100"/>
      <c r="ID56" s="100"/>
      <c r="IE56" s="100"/>
      <c r="IF56" s="100"/>
      <c r="IG56" s="100"/>
      <c r="IH56" s="100"/>
      <c r="II56" s="100"/>
      <c r="IJ56" s="100"/>
      <c r="IK56" s="100"/>
      <c r="IL56" s="100"/>
      <c r="IM56" s="100"/>
      <c r="IN56" s="100"/>
      <c r="IO56" s="100"/>
      <c r="IP56" s="100"/>
      <c r="IQ56" s="100"/>
      <c r="IR56" s="100"/>
      <c r="IS56" s="100"/>
      <c r="IT56" s="100"/>
      <c r="IU56" s="100"/>
      <c r="IV56" s="100"/>
      <c r="IW56" s="100"/>
      <c r="IX56" s="100"/>
      <c r="IY56" s="100"/>
      <c r="IZ56" s="100"/>
      <c r="JA56" s="100"/>
      <c r="JB56" s="100"/>
      <c r="JC56" s="100"/>
      <c r="JD56" s="100"/>
      <c r="JE56" s="100"/>
      <c r="JF56" s="100"/>
      <c r="JG56" s="100"/>
      <c r="JH56" s="100"/>
      <c r="JI56" s="100"/>
      <c r="JJ56" s="100"/>
      <c r="JK56" s="100"/>
      <c r="JL56" s="100"/>
      <c r="JM56" s="100"/>
      <c r="JN56" s="100"/>
      <c r="JO56" s="100"/>
      <c r="JP56" s="100"/>
      <c r="JQ56" s="100"/>
      <c r="JR56" s="100"/>
      <c r="JS56" s="100"/>
      <c r="JT56" s="100"/>
      <c r="JU56" s="100"/>
      <c r="JV56" s="100"/>
      <c r="JW56" s="100"/>
      <c r="JX56" s="100"/>
      <c r="JY56" s="100"/>
      <c r="JZ56" s="100"/>
      <c r="KA56" s="100"/>
      <c r="KB56" s="100"/>
      <c r="KC56" s="100"/>
      <c r="KD56" s="100"/>
      <c r="KE56" s="100"/>
      <c r="KF56" s="100"/>
      <c r="KG56" s="100"/>
      <c r="KH56" s="100"/>
      <c r="KI56" s="100"/>
      <c r="KJ56" s="100"/>
    </row>
    <row r="57" spans="1:296" s="28" customFormat="1" x14ac:dyDescent="0.3">
      <c r="B57" s="28" t="s">
        <v>8</v>
      </c>
      <c r="C57" s="83">
        <f>'DIS. PRENDAS'!L12</f>
        <v>25.279583333333335</v>
      </c>
      <c r="D57" s="115">
        <v>6</v>
      </c>
      <c r="E57" s="83">
        <f t="shared" si="1"/>
        <v>-151.67750000000001</v>
      </c>
      <c r="F57" s="117"/>
      <c r="G57" s="83"/>
      <c r="J57" s="39"/>
      <c r="K57" s="70"/>
      <c r="L57" s="75"/>
      <c r="M57" s="127"/>
      <c r="N57" s="77"/>
      <c r="O57" s="164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K57" s="100"/>
      <c r="BL57" s="100"/>
      <c r="BM57" s="100"/>
      <c r="BN57" s="100"/>
      <c r="BO57" s="100"/>
      <c r="BP57" s="100"/>
      <c r="BQ57" s="100"/>
      <c r="BR57" s="100"/>
      <c r="BS57" s="100"/>
      <c r="BT57" s="100"/>
      <c r="BU57" s="100"/>
      <c r="BV57" s="100"/>
      <c r="BW57" s="100"/>
      <c r="BX57" s="100"/>
      <c r="BY57" s="100"/>
      <c r="BZ57" s="100"/>
      <c r="CA57" s="100"/>
      <c r="CB57" s="100"/>
      <c r="CC57" s="100"/>
      <c r="CD57" s="100"/>
      <c r="CE57" s="10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100"/>
      <c r="CX57" s="100"/>
      <c r="CY57" s="100"/>
      <c r="CZ57" s="100"/>
      <c r="DA57" s="100"/>
      <c r="DB57" s="100"/>
      <c r="DC57" s="100"/>
      <c r="DD57" s="100"/>
      <c r="DE57" s="100"/>
      <c r="DF57" s="100"/>
      <c r="DG57" s="100"/>
      <c r="DH57" s="100"/>
      <c r="DI57" s="100"/>
      <c r="DJ57" s="100"/>
      <c r="DK57" s="100"/>
      <c r="DL57" s="100"/>
      <c r="DM57" s="100"/>
      <c r="DN57" s="100"/>
      <c r="DO57" s="100"/>
      <c r="DP57" s="100"/>
      <c r="DQ57" s="100"/>
      <c r="DR57" s="100"/>
      <c r="DS57" s="100"/>
      <c r="DT57" s="100"/>
      <c r="DU57" s="100"/>
      <c r="DV57" s="100"/>
      <c r="DW57" s="100"/>
      <c r="DX57" s="100"/>
      <c r="DY57" s="100"/>
      <c r="DZ57" s="100"/>
      <c r="EA57" s="100"/>
      <c r="EB57" s="100"/>
      <c r="EC57" s="100"/>
      <c r="ED57" s="100"/>
      <c r="EE57" s="100"/>
      <c r="EF57" s="100"/>
      <c r="EG57" s="100"/>
      <c r="EH57" s="100"/>
      <c r="EI57" s="100"/>
      <c r="EJ57" s="100"/>
      <c r="EK57" s="100"/>
      <c r="EL57" s="100"/>
      <c r="EM57" s="100"/>
      <c r="EN57" s="100"/>
      <c r="EO57" s="100"/>
      <c r="EP57" s="100"/>
      <c r="EQ57" s="100"/>
      <c r="ER57" s="100"/>
      <c r="ES57" s="100"/>
      <c r="ET57" s="100"/>
      <c r="EU57" s="100"/>
      <c r="EV57" s="100"/>
      <c r="EW57" s="100"/>
      <c r="EX57" s="100"/>
      <c r="EY57" s="100"/>
      <c r="EZ57" s="100"/>
      <c r="FA57" s="100"/>
      <c r="FB57" s="100"/>
      <c r="FC57" s="100"/>
      <c r="FD57" s="100"/>
      <c r="FE57" s="100"/>
      <c r="FF57" s="100"/>
      <c r="FG57" s="100"/>
      <c r="FH57" s="100"/>
      <c r="FI57" s="100"/>
      <c r="FJ57" s="100"/>
      <c r="FK57" s="100"/>
      <c r="FL57" s="100"/>
      <c r="FM57" s="100"/>
      <c r="FN57" s="100"/>
      <c r="FO57" s="100"/>
      <c r="FP57" s="100"/>
      <c r="FQ57" s="100"/>
      <c r="FR57" s="100"/>
      <c r="FS57" s="100"/>
      <c r="FT57" s="100"/>
      <c r="FU57" s="100"/>
      <c r="FV57" s="100"/>
      <c r="FW57" s="100"/>
      <c r="FX57" s="100"/>
      <c r="FY57" s="100"/>
      <c r="FZ57" s="100"/>
      <c r="GA57" s="100"/>
      <c r="GB57" s="100"/>
      <c r="GC57" s="100"/>
      <c r="GD57" s="100"/>
      <c r="GE57" s="100"/>
      <c r="GF57" s="100"/>
      <c r="GG57" s="100"/>
      <c r="GH57" s="100"/>
      <c r="GI57" s="100"/>
      <c r="GJ57" s="100"/>
      <c r="GK57" s="100"/>
      <c r="GL57" s="100"/>
      <c r="GM57" s="100"/>
      <c r="GN57" s="100"/>
      <c r="GO57" s="100"/>
      <c r="GP57" s="100"/>
      <c r="GQ57" s="100"/>
      <c r="GR57" s="100"/>
      <c r="GS57" s="100"/>
      <c r="GT57" s="100"/>
      <c r="GU57" s="100"/>
      <c r="GV57" s="100"/>
      <c r="GW57" s="100"/>
      <c r="GX57" s="100"/>
      <c r="GY57" s="100"/>
      <c r="GZ57" s="100"/>
      <c r="HA57" s="100"/>
      <c r="HB57" s="100"/>
      <c r="HC57" s="100"/>
      <c r="HD57" s="100"/>
      <c r="HE57" s="100"/>
      <c r="HF57" s="100"/>
      <c r="HG57" s="100"/>
      <c r="HH57" s="100"/>
      <c r="HI57" s="100"/>
      <c r="HJ57" s="100"/>
      <c r="HK57" s="100"/>
      <c r="HL57" s="100"/>
      <c r="HM57" s="100"/>
      <c r="HN57" s="100"/>
      <c r="HO57" s="100"/>
      <c r="HP57" s="100"/>
      <c r="HQ57" s="100"/>
      <c r="HR57" s="100"/>
      <c r="HS57" s="100"/>
      <c r="HT57" s="100"/>
      <c r="HU57" s="100"/>
      <c r="HV57" s="100"/>
      <c r="HW57" s="100"/>
      <c r="HX57" s="100"/>
      <c r="HY57" s="100"/>
      <c r="HZ57" s="100"/>
      <c r="IA57" s="100"/>
      <c r="IB57" s="100"/>
      <c r="IC57" s="100"/>
      <c r="ID57" s="100"/>
      <c r="IE57" s="100"/>
      <c r="IF57" s="100"/>
      <c r="IG57" s="100"/>
      <c r="IH57" s="100"/>
      <c r="II57" s="100"/>
      <c r="IJ57" s="100"/>
      <c r="IK57" s="100"/>
      <c r="IL57" s="100"/>
      <c r="IM57" s="100"/>
      <c r="IN57" s="100"/>
      <c r="IO57" s="100"/>
      <c r="IP57" s="100"/>
      <c r="IQ57" s="100"/>
      <c r="IR57" s="100"/>
      <c r="IS57" s="100"/>
      <c r="IT57" s="100"/>
      <c r="IU57" s="100"/>
      <c r="IV57" s="100"/>
      <c r="IW57" s="100"/>
      <c r="IX57" s="100"/>
      <c r="IY57" s="100"/>
      <c r="IZ57" s="100"/>
      <c r="JA57" s="100"/>
      <c r="JB57" s="100"/>
      <c r="JC57" s="100"/>
      <c r="JD57" s="100"/>
      <c r="JE57" s="100"/>
      <c r="JF57" s="100"/>
      <c r="JG57" s="100"/>
      <c r="JH57" s="100"/>
      <c r="JI57" s="100"/>
      <c r="JJ57" s="100"/>
      <c r="JK57" s="100"/>
      <c r="JL57" s="100"/>
      <c r="JM57" s="100"/>
      <c r="JN57" s="100"/>
      <c r="JO57" s="100"/>
      <c r="JP57" s="100"/>
      <c r="JQ57" s="100"/>
      <c r="JR57" s="100"/>
      <c r="JS57" s="100"/>
      <c r="JT57" s="100"/>
      <c r="JU57" s="100"/>
      <c r="JV57" s="100"/>
      <c r="JW57" s="100"/>
      <c r="JX57" s="100"/>
      <c r="JY57" s="100"/>
      <c r="JZ57" s="100"/>
      <c r="KA57" s="100"/>
      <c r="KB57" s="100"/>
      <c r="KC57" s="100"/>
      <c r="KD57" s="100"/>
      <c r="KE57" s="100"/>
      <c r="KF57" s="100"/>
      <c r="KG57" s="100"/>
      <c r="KH57" s="100"/>
      <c r="KI57" s="100"/>
      <c r="KJ57" s="100"/>
    </row>
    <row r="58" spans="1:296" s="28" customFormat="1" x14ac:dyDescent="0.3">
      <c r="B58" s="28" t="s">
        <v>120</v>
      </c>
      <c r="C58" s="83">
        <f>+'DIS. PRENDAS'!L12</f>
        <v>25.279583333333335</v>
      </c>
      <c r="D58" s="114">
        <v>0</v>
      </c>
      <c r="E58" s="83">
        <f>-(+C58*D58)</f>
        <v>0</v>
      </c>
      <c r="F58" s="117"/>
      <c r="G58" s="83"/>
      <c r="J58" s="39"/>
      <c r="K58" s="70"/>
      <c r="L58" s="75"/>
      <c r="M58" s="127"/>
      <c r="N58" s="77"/>
      <c r="O58" s="164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K58" s="100"/>
      <c r="BL58" s="100"/>
      <c r="BM58" s="100"/>
      <c r="BN58" s="100"/>
      <c r="BO58" s="100"/>
      <c r="BP58" s="100"/>
      <c r="BQ58" s="100"/>
      <c r="BR58" s="100"/>
      <c r="BS58" s="100"/>
      <c r="BT58" s="100"/>
      <c r="BU58" s="100"/>
      <c r="BV58" s="100"/>
      <c r="BW58" s="100"/>
      <c r="BX58" s="100"/>
      <c r="BY58" s="100"/>
      <c r="BZ58" s="100"/>
      <c r="CA58" s="100"/>
      <c r="CB58" s="100"/>
      <c r="CC58" s="100"/>
      <c r="CD58" s="100"/>
      <c r="CE58" s="100"/>
      <c r="CF58" s="100"/>
      <c r="CG58" s="100"/>
      <c r="CH58" s="100"/>
      <c r="CI58" s="100"/>
      <c r="CJ58" s="100"/>
      <c r="CK58" s="100"/>
      <c r="CL58" s="100"/>
      <c r="CM58" s="100"/>
      <c r="CN58" s="100"/>
      <c r="CO58" s="100"/>
      <c r="CP58" s="100"/>
      <c r="CQ58" s="100"/>
      <c r="CR58" s="100"/>
      <c r="CS58" s="100"/>
      <c r="CT58" s="100"/>
      <c r="CU58" s="100"/>
      <c r="CV58" s="100"/>
      <c r="CW58" s="100"/>
      <c r="CX58" s="100"/>
      <c r="CY58" s="100"/>
      <c r="CZ58" s="100"/>
      <c r="DA58" s="100"/>
      <c r="DB58" s="100"/>
      <c r="DC58" s="100"/>
      <c r="DD58" s="100"/>
      <c r="DE58" s="100"/>
      <c r="DF58" s="100"/>
      <c r="DG58" s="100"/>
      <c r="DH58" s="100"/>
      <c r="DI58" s="100"/>
      <c r="DJ58" s="100"/>
      <c r="DK58" s="100"/>
      <c r="DL58" s="100"/>
      <c r="DM58" s="100"/>
      <c r="DN58" s="100"/>
      <c r="DO58" s="100"/>
      <c r="DP58" s="100"/>
      <c r="DQ58" s="100"/>
      <c r="DR58" s="100"/>
      <c r="DS58" s="100"/>
      <c r="DT58" s="100"/>
      <c r="DU58" s="100"/>
      <c r="DV58" s="100"/>
      <c r="DW58" s="100"/>
      <c r="DX58" s="100"/>
      <c r="DY58" s="100"/>
      <c r="DZ58" s="100"/>
      <c r="EA58" s="100"/>
      <c r="EB58" s="100"/>
      <c r="EC58" s="100"/>
      <c r="ED58" s="100"/>
      <c r="EE58" s="100"/>
      <c r="EF58" s="100"/>
      <c r="EG58" s="100"/>
      <c r="EH58" s="100"/>
      <c r="EI58" s="100"/>
      <c r="EJ58" s="100"/>
      <c r="EK58" s="100"/>
      <c r="EL58" s="100"/>
      <c r="EM58" s="100"/>
      <c r="EN58" s="100"/>
      <c r="EO58" s="100"/>
      <c r="EP58" s="100"/>
      <c r="EQ58" s="100"/>
      <c r="ER58" s="100"/>
      <c r="ES58" s="100"/>
      <c r="ET58" s="100"/>
      <c r="EU58" s="100"/>
      <c r="EV58" s="100"/>
      <c r="EW58" s="100"/>
      <c r="EX58" s="100"/>
      <c r="EY58" s="100"/>
      <c r="EZ58" s="100"/>
      <c r="FA58" s="100"/>
      <c r="FB58" s="100"/>
      <c r="FC58" s="100"/>
      <c r="FD58" s="100"/>
      <c r="FE58" s="100"/>
      <c r="FF58" s="100"/>
      <c r="FG58" s="100"/>
      <c r="FH58" s="100"/>
      <c r="FI58" s="100"/>
      <c r="FJ58" s="100"/>
      <c r="FK58" s="100"/>
      <c r="FL58" s="100"/>
      <c r="FM58" s="100"/>
      <c r="FN58" s="100"/>
      <c r="FO58" s="100"/>
      <c r="FP58" s="100"/>
      <c r="FQ58" s="100"/>
      <c r="FR58" s="100"/>
      <c r="FS58" s="100"/>
      <c r="FT58" s="100"/>
      <c r="FU58" s="100"/>
      <c r="FV58" s="100"/>
      <c r="FW58" s="100"/>
      <c r="FX58" s="100"/>
      <c r="FY58" s="100"/>
      <c r="FZ58" s="100"/>
      <c r="GA58" s="100"/>
      <c r="GB58" s="100"/>
      <c r="GC58" s="100"/>
      <c r="GD58" s="100"/>
      <c r="GE58" s="100"/>
      <c r="GF58" s="100"/>
      <c r="GG58" s="100"/>
      <c r="GH58" s="100"/>
      <c r="GI58" s="100"/>
      <c r="GJ58" s="100"/>
      <c r="GK58" s="100"/>
      <c r="GL58" s="100"/>
      <c r="GM58" s="100"/>
      <c r="GN58" s="100"/>
      <c r="GO58" s="100"/>
      <c r="GP58" s="100"/>
      <c r="GQ58" s="100"/>
      <c r="GR58" s="100"/>
      <c r="GS58" s="100"/>
      <c r="GT58" s="100"/>
      <c r="GU58" s="100"/>
      <c r="GV58" s="100"/>
      <c r="GW58" s="100"/>
      <c r="GX58" s="100"/>
      <c r="GY58" s="100"/>
      <c r="GZ58" s="100"/>
      <c r="HA58" s="100"/>
      <c r="HB58" s="100"/>
      <c r="HC58" s="100"/>
      <c r="HD58" s="100"/>
      <c r="HE58" s="100"/>
      <c r="HF58" s="100"/>
      <c r="HG58" s="100"/>
      <c r="HH58" s="100"/>
      <c r="HI58" s="100"/>
      <c r="HJ58" s="100"/>
      <c r="HK58" s="100"/>
      <c r="HL58" s="100"/>
      <c r="HM58" s="100"/>
      <c r="HN58" s="100"/>
      <c r="HO58" s="100"/>
      <c r="HP58" s="100"/>
      <c r="HQ58" s="100"/>
      <c r="HR58" s="100"/>
      <c r="HS58" s="100"/>
      <c r="HT58" s="100"/>
      <c r="HU58" s="100"/>
      <c r="HV58" s="100"/>
      <c r="HW58" s="100"/>
      <c r="HX58" s="100"/>
      <c r="HY58" s="100"/>
      <c r="HZ58" s="100"/>
      <c r="IA58" s="100"/>
      <c r="IB58" s="100"/>
      <c r="IC58" s="100"/>
      <c r="ID58" s="100"/>
      <c r="IE58" s="100"/>
      <c r="IF58" s="100"/>
      <c r="IG58" s="100"/>
      <c r="IH58" s="100"/>
      <c r="II58" s="100"/>
      <c r="IJ58" s="100"/>
      <c r="IK58" s="100"/>
      <c r="IL58" s="100"/>
      <c r="IM58" s="100"/>
      <c r="IN58" s="100"/>
      <c r="IO58" s="100"/>
      <c r="IP58" s="100"/>
      <c r="IQ58" s="100"/>
      <c r="IR58" s="100"/>
      <c r="IS58" s="100"/>
      <c r="IT58" s="100"/>
      <c r="IU58" s="100"/>
      <c r="IV58" s="100"/>
      <c r="IW58" s="100"/>
      <c r="IX58" s="100"/>
      <c r="IY58" s="100"/>
      <c r="IZ58" s="100"/>
      <c r="JA58" s="100"/>
      <c r="JB58" s="100"/>
      <c r="JC58" s="100"/>
      <c r="JD58" s="100"/>
      <c r="JE58" s="100"/>
      <c r="JF58" s="100"/>
      <c r="JG58" s="100"/>
      <c r="JH58" s="100"/>
      <c r="JI58" s="100"/>
      <c r="JJ58" s="100"/>
      <c r="JK58" s="100"/>
      <c r="JL58" s="100"/>
      <c r="JM58" s="100"/>
      <c r="JN58" s="100"/>
      <c r="JO58" s="100"/>
      <c r="JP58" s="100"/>
      <c r="JQ58" s="100"/>
      <c r="JR58" s="100"/>
      <c r="JS58" s="100"/>
      <c r="JT58" s="100"/>
      <c r="JU58" s="100"/>
      <c r="JV58" s="100"/>
      <c r="JW58" s="100"/>
      <c r="JX58" s="100"/>
      <c r="JY58" s="100"/>
      <c r="JZ58" s="100"/>
      <c r="KA58" s="100"/>
      <c r="KB58" s="100"/>
      <c r="KC58" s="100"/>
      <c r="KD58" s="100"/>
      <c r="KE58" s="100"/>
      <c r="KF58" s="100"/>
      <c r="KG58" s="100"/>
      <c r="KH58" s="100"/>
      <c r="KI58" s="100"/>
      <c r="KJ58" s="100"/>
    </row>
    <row r="59" spans="1:296" s="43" customFormat="1" x14ac:dyDescent="0.3">
      <c r="B59" s="43" t="s">
        <v>9</v>
      </c>
      <c r="C59" s="119">
        <f>+'DIS. PRENDAS'!L12</f>
        <v>25.279583333333335</v>
      </c>
      <c r="D59" s="120">
        <v>0</v>
      </c>
      <c r="E59" s="119">
        <f t="shared" si="1"/>
        <v>0</v>
      </c>
      <c r="F59" s="121"/>
      <c r="G59" s="119"/>
      <c r="I59" s="28"/>
      <c r="J59" s="39"/>
      <c r="K59" s="70"/>
      <c r="L59" s="75"/>
      <c r="M59" s="127"/>
      <c r="N59" s="77"/>
      <c r="O59" s="164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00"/>
      <c r="BV59" s="100"/>
      <c r="BW59" s="100"/>
      <c r="BX59" s="100"/>
      <c r="BY59" s="100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100"/>
      <c r="CX59" s="100"/>
      <c r="CY59" s="100"/>
      <c r="CZ59" s="100"/>
      <c r="DA59" s="100"/>
      <c r="DB59" s="100"/>
      <c r="DC59" s="100"/>
      <c r="DD59" s="100"/>
      <c r="DE59" s="100"/>
      <c r="DF59" s="100"/>
      <c r="DG59" s="100"/>
      <c r="DH59" s="100"/>
      <c r="DI59" s="100"/>
      <c r="DJ59" s="100"/>
      <c r="DK59" s="100"/>
      <c r="DL59" s="100"/>
      <c r="DM59" s="100"/>
      <c r="DN59" s="100"/>
      <c r="DO59" s="100"/>
      <c r="DP59" s="100"/>
      <c r="DQ59" s="100"/>
      <c r="DR59" s="100"/>
      <c r="DS59" s="100"/>
      <c r="DT59" s="100"/>
      <c r="DU59" s="100"/>
      <c r="DV59" s="100"/>
      <c r="DW59" s="100"/>
      <c r="DX59" s="100"/>
      <c r="DY59" s="100"/>
      <c r="DZ59" s="100"/>
      <c r="EA59" s="100"/>
      <c r="EB59" s="100"/>
      <c r="EC59" s="100"/>
      <c r="ED59" s="100"/>
      <c r="EE59" s="100"/>
      <c r="EF59" s="100"/>
      <c r="EG59" s="100"/>
      <c r="EH59" s="100"/>
      <c r="EI59" s="100"/>
      <c r="EJ59" s="100"/>
      <c r="EK59" s="100"/>
      <c r="EL59" s="100"/>
      <c r="EM59" s="100"/>
      <c r="EN59" s="100"/>
      <c r="EO59" s="100"/>
      <c r="EP59" s="100"/>
      <c r="EQ59" s="100"/>
      <c r="ER59" s="100"/>
      <c r="ES59" s="100"/>
      <c r="ET59" s="100"/>
      <c r="EU59" s="100"/>
      <c r="EV59" s="100"/>
      <c r="EW59" s="100"/>
      <c r="EX59" s="100"/>
      <c r="EY59" s="100"/>
      <c r="EZ59" s="100"/>
      <c r="FA59" s="100"/>
      <c r="FB59" s="100"/>
      <c r="FC59" s="100"/>
      <c r="FD59" s="100"/>
      <c r="FE59" s="100"/>
      <c r="FF59" s="100"/>
      <c r="FG59" s="100"/>
      <c r="FH59" s="100"/>
      <c r="FI59" s="100"/>
      <c r="FJ59" s="100"/>
      <c r="FK59" s="100"/>
      <c r="FL59" s="100"/>
      <c r="FM59" s="100"/>
      <c r="FN59" s="100"/>
      <c r="FO59" s="100"/>
      <c r="FP59" s="100"/>
      <c r="FQ59" s="100"/>
      <c r="FR59" s="100"/>
      <c r="FS59" s="100"/>
      <c r="FT59" s="100"/>
      <c r="FU59" s="100"/>
      <c r="FV59" s="100"/>
      <c r="FW59" s="100"/>
      <c r="FX59" s="100"/>
      <c r="FY59" s="100"/>
      <c r="FZ59" s="100"/>
      <c r="GA59" s="100"/>
      <c r="GB59" s="100"/>
      <c r="GC59" s="100"/>
      <c r="GD59" s="100"/>
      <c r="GE59" s="100"/>
      <c r="GF59" s="100"/>
      <c r="GG59" s="100"/>
      <c r="GH59" s="100"/>
      <c r="GI59" s="100"/>
      <c r="GJ59" s="100"/>
      <c r="GK59" s="100"/>
      <c r="GL59" s="100"/>
      <c r="GM59" s="100"/>
      <c r="GN59" s="100"/>
      <c r="GO59" s="100"/>
      <c r="GP59" s="100"/>
      <c r="GQ59" s="100"/>
      <c r="GR59" s="100"/>
      <c r="GS59" s="100"/>
      <c r="GT59" s="100"/>
      <c r="GU59" s="100"/>
      <c r="GV59" s="100"/>
      <c r="GW59" s="100"/>
      <c r="GX59" s="100"/>
      <c r="GY59" s="100"/>
      <c r="GZ59" s="100"/>
      <c r="HA59" s="100"/>
      <c r="HB59" s="100"/>
      <c r="HC59" s="100"/>
      <c r="HD59" s="100"/>
      <c r="HE59" s="100"/>
      <c r="HF59" s="100"/>
      <c r="HG59" s="100"/>
      <c r="HH59" s="100"/>
      <c r="HI59" s="100"/>
      <c r="HJ59" s="100"/>
      <c r="HK59" s="100"/>
      <c r="HL59" s="100"/>
      <c r="HM59" s="100"/>
      <c r="HN59" s="100"/>
      <c r="HO59" s="100"/>
      <c r="HP59" s="100"/>
      <c r="HQ59" s="100"/>
      <c r="HR59" s="100"/>
      <c r="HS59" s="100"/>
      <c r="HT59" s="100"/>
      <c r="HU59" s="100"/>
      <c r="HV59" s="100"/>
      <c r="HW59" s="100"/>
      <c r="HX59" s="100"/>
      <c r="HY59" s="100"/>
      <c r="HZ59" s="100"/>
      <c r="IA59" s="100"/>
      <c r="IB59" s="100"/>
      <c r="IC59" s="100"/>
      <c r="ID59" s="100"/>
      <c r="IE59" s="100"/>
      <c r="IF59" s="100"/>
      <c r="IG59" s="100"/>
      <c r="IH59" s="100"/>
      <c r="II59" s="100"/>
      <c r="IJ59" s="100"/>
      <c r="IK59" s="100"/>
      <c r="IL59" s="100"/>
      <c r="IM59" s="100"/>
      <c r="IN59" s="100"/>
      <c r="IO59" s="100"/>
      <c r="IP59" s="100"/>
      <c r="IQ59" s="100"/>
      <c r="IR59" s="100"/>
      <c r="IS59" s="100"/>
      <c r="IT59" s="100"/>
      <c r="IU59" s="100"/>
      <c r="IV59" s="100"/>
      <c r="IW59" s="100"/>
      <c r="IX59" s="100"/>
      <c r="IY59" s="100"/>
      <c r="IZ59" s="100"/>
      <c r="JA59" s="100"/>
      <c r="JB59" s="100"/>
      <c r="JC59" s="100"/>
      <c r="JD59" s="100"/>
      <c r="JE59" s="100"/>
      <c r="JF59" s="100"/>
      <c r="JG59" s="100"/>
      <c r="JH59" s="100"/>
      <c r="JI59" s="100"/>
      <c r="JJ59" s="100"/>
      <c r="JK59" s="100"/>
      <c r="JL59" s="100"/>
      <c r="JM59" s="100"/>
      <c r="JN59" s="100"/>
      <c r="JO59" s="100"/>
      <c r="JP59" s="100"/>
      <c r="JQ59" s="100"/>
      <c r="JR59" s="100"/>
      <c r="JS59" s="100"/>
      <c r="JT59" s="100"/>
      <c r="JU59" s="100"/>
      <c r="JV59" s="100"/>
      <c r="JW59" s="100"/>
      <c r="JX59" s="100"/>
      <c r="JY59" s="100"/>
      <c r="JZ59" s="100"/>
      <c r="KA59" s="100"/>
      <c r="KB59" s="100"/>
      <c r="KC59" s="100"/>
      <c r="KD59" s="100"/>
      <c r="KE59" s="100"/>
      <c r="KF59" s="100"/>
      <c r="KG59" s="100"/>
      <c r="KH59" s="100"/>
      <c r="KI59" s="100"/>
      <c r="KJ59" s="100"/>
    </row>
    <row r="60" spans="1:296" s="43" customFormat="1" x14ac:dyDescent="0.3">
      <c r="B60" s="43" t="s">
        <v>122</v>
      </c>
      <c r="C60" s="119">
        <v>20</v>
      </c>
      <c r="D60" s="120">
        <v>0</v>
      </c>
      <c r="E60" s="119">
        <f>-(+C60*D60)</f>
        <v>0</v>
      </c>
      <c r="F60" s="121"/>
      <c r="G60" s="119"/>
      <c r="I60" s="28"/>
      <c r="J60" s="39"/>
      <c r="K60" s="70"/>
      <c r="L60" s="75"/>
      <c r="M60" s="127"/>
      <c r="N60" s="77"/>
      <c r="O60" s="164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00"/>
      <c r="BV60" s="100"/>
      <c r="BW60" s="100"/>
      <c r="BX60" s="100"/>
      <c r="BY60" s="100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100"/>
      <c r="CX60" s="100"/>
      <c r="CY60" s="100"/>
      <c r="CZ60" s="100"/>
      <c r="DA60" s="100"/>
      <c r="DB60" s="100"/>
      <c r="DC60" s="100"/>
      <c r="DD60" s="100"/>
      <c r="DE60" s="100"/>
      <c r="DF60" s="100"/>
      <c r="DG60" s="100"/>
      <c r="DH60" s="100"/>
      <c r="DI60" s="100"/>
      <c r="DJ60" s="100"/>
      <c r="DK60" s="100"/>
      <c r="DL60" s="100"/>
      <c r="DM60" s="100"/>
      <c r="DN60" s="100"/>
      <c r="DO60" s="100"/>
      <c r="DP60" s="100"/>
      <c r="DQ60" s="100"/>
      <c r="DR60" s="100"/>
      <c r="DS60" s="100"/>
      <c r="DT60" s="100"/>
      <c r="DU60" s="100"/>
      <c r="DV60" s="100"/>
      <c r="DW60" s="100"/>
      <c r="DX60" s="100"/>
      <c r="DY60" s="100"/>
      <c r="DZ60" s="100"/>
      <c r="EA60" s="100"/>
      <c r="EB60" s="100"/>
      <c r="EC60" s="100"/>
      <c r="ED60" s="100"/>
      <c r="EE60" s="100"/>
      <c r="EF60" s="100"/>
      <c r="EG60" s="100"/>
      <c r="EH60" s="100"/>
      <c r="EI60" s="100"/>
      <c r="EJ60" s="100"/>
      <c r="EK60" s="100"/>
      <c r="EL60" s="100"/>
      <c r="EM60" s="100"/>
      <c r="EN60" s="100"/>
      <c r="EO60" s="100"/>
      <c r="EP60" s="100"/>
      <c r="EQ60" s="100"/>
      <c r="ER60" s="100"/>
      <c r="ES60" s="100"/>
      <c r="ET60" s="100"/>
      <c r="EU60" s="100"/>
      <c r="EV60" s="100"/>
      <c r="EW60" s="100"/>
      <c r="EX60" s="100"/>
      <c r="EY60" s="100"/>
      <c r="EZ60" s="100"/>
      <c r="FA60" s="100"/>
      <c r="FB60" s="100"/>
      <c r="FC60" s="100"/>
      <c r="FD60" s="100"/>
      <c r="FE60" s="100"/>
      <c r="FF60" s="100"/>
      <c r="FG60" s="100"/>
      <c r="FH60" s="100"/>
      <c r="FI60" s="100"/>
      <c r="FJ60" s="100"/>
      <c r="FK60" s="100"/>
      <c r="FL60" s="100"/>
      <c r="FM60" s="100"/>
      <c r="FN60" s="100"/>
      <c r="FO60" s="100"/>
      <c r="FP60" s="100"/>
      <c r="FQ60" s="100"/>
      <c r="FR60" s="100"/>
      <c r="FS60" s="100"/>
      <c r="FT60" s="100"/>
      <c r="FU60" s="100"/>
      <c r="FV60" s="100"/>
      <c r="FW60" s="100"/>
      <c r="FX60" s="100"/>
      <c r="FY60" s="100"/>
      <c r="FZ60" s="100"/>
      <c r="GA60" s="100"/>
      <c r="GB60" s="100"/>
      <c r="GC60" s="100"/>
      <c r="GD60" s="100"/>
      <c r="GE60" s="100"/>
      <c r="GF60" s="100"/>
      <c r="GG60" s="100"/>
      <c r="GH60" s="100"/>
      <c r="GI60" s="100"/>
      <c r="GJ60" s="100"/>
      <c r="GK60" s="100"/>
      <c r="GL60" s="100"/>
      <c r="GM60" s="100"/>
      <c r="GN60" s="100"/>
      <c r="GO60" s="100"/>
      <c r="GP60" s="100"/>
      <c r="GQ60" s="100"/>
      <c r="GR60" s="100"/>
      <c r="GS60" s="100"/>
      <c r="GT60" s="100"/>
      <c r="GU60" s="100"/>
      <c r="GV60" s="100"/>
      <c r="GW60" s="100"/>
      <c r="GX60" s="100"/>
      <c r="GY60" s="100"/>
      <c r="GZ60" s="100"/>
      <c r="HA60" s="100"/>
      <c r="HB60" s="100"/>
      <c r="HC60" s="100"/>
      <c r="HD60" s="100"/>
      <c r="HE60" s="100"/>
      <c r="HF60" s="100"/>
      <c r="HG60" s="100"/>
      <c r="HH60" s="100"/>
      <c r="HI60" s="100"/>
      <c r="HJ60" s="100"/>
      <c r="HK60" s="100"/>
      <c r="HL60" s="100"/>
      <c r="HM60" s="100"/>
      <c r="HN60" s="100"/>
      <c r="HO60" s="100"/>
      <c r="HP60" s="100"/>
      <c r="HQ60" s="100"/>
      <c r="HR60" s="100"/>
      <c r="HS60" s="100"/>
      <c r="HT60" s="100"/>
      <c r="HU60" s="100"/>
      <c r="HV60" s="100"/>
      <c r="HW60" s="100"/>
      <c r="HX60" s="100"/>
      <c r="HY60" s="100"/>
      <c r="HZ60" s="100"/>
      <c r="IA60" s="100"/>
      <c r="IB60" s="100"/>
      <c r="IC60" s="100"/>
      <c r="ID60" s="100"/>
      <c r="IE60" s="100"/>
      <c r="IF60" s="100"/>
      <c r="IG60" s="100"/>
      <c r="IH60" s="100"/>
      <c r="II60" s="100"/>
      <c r="IJ60" s="100"/>
      <c r="IK60" s="100"/>
      <c r="IL60" s="100"/>
      <c r="IM60" s="100"/>
      <c r="IN60" s="100"/>
      <c r="IO60" s="100"/>
      <c r="IP60" s="100"/>
      <c r="IQ60" s="100"/>
      <c r="IR60" s="100"/>
      <c r="IS60" s="100"/>
      <c r="IT60" s="100"/>
      <c r="IU60" s="100"/>
      <c r="IV60" s="100"/>
      <c r="IW60" s="100"/>
      <c r="IX60" s="100"/>
      <c r="IY60" s="100"/>
      <c r="IZ60" s="100"/>
      <c r="JA60" s="100"/>
      <c r="JB60" s="100"/>
      <c r="JC60" s="100"/>
      <c r="JD60" s="100"/>
      <c r="JE60" s="100"/>
      <c r="JF60" s="100"/>
      <c r="JG60" s="100"/>
      <c r="JH60" s="100"/>
      <c r="JI60" s="100"/>
      <c r="JJ60" s="100"/>
      <c r="JK60" s="100"/>
      <c r="JL60" s="100"/>
      <c r="JM60" s="100"/>
      <c r="JN60" s="100"/>
      <c r="JO60" s="100"/>
      <c r="JP60" s="100"/>
      <c r="JQ60" s="100"/>
      <c r="JR60" s="100"/>
      <c r="JS60" s="100"/>
      <c r="JT60" s="100"/>
      <c r="JU60" s="100"/>
      <c r="JV60" s="100"/>
      <c r="JW60" s="100"/>
      <c r="JX60" s="100"/>
      <c r="JY60" s="100"/>
      <c r="JZ60" s="100"/>
      <c r="KA60" s="100"/>
      <c r="KB60" s="100"/>
      <c r="KC60" s="100"/>
      <c r="KD60" s="100"/>
      <c r="KE60" s="100"/>
      <c r="KF60" s="100"/>
      <c r="KG60" s="100"/>
      <c r="KH60" s="100"/>
      <c r="KI60" s="100"/>
      <c r="KJ60" s="100"/>
    </row>
    <row r="61" spans="1:296" x14ac:dyDescent="0.3">
      <c r="B61" t="s">
        <v>117</v>
      </c>
      <c r="C61" s="5">
        <v>15</v>
      </c>
      <c r="D61" s="111">
        <v>0</v>
      </c>
      <c r="E61" s="5">
        <f t="shared" ref="E61:E62" si="2">-(+C61*D61)</f>
        <v>0</v>
      </c>
      <c r="F61" s="98"/>
    </row>
    <row r="62" spans="1:296" x14ac:dyDescent="0.3">
      <c r="B62" t="s">
        <v>126</v>
      </c>
      <c r="C62" s="5">
        <f>+'DIS. PRENDAS'!L12</f>
        <v>25.279583333333335</v>
      </c>
      <c r="D62" s="111">
        <v>0</v>
      </c>
      <c r="E62" s="5">
        <f t="shared" si="2"/>
        <v>0</v>
      </c>
    </row>
    <row r="63" spans="1:296" s="43" customFormat="1" x14ac:dyDescent="0.3">
      <c r="B63" s="43" t="s">
        <v>123</v>
      </c>
      <c r="C63" s="119">
        <v>20</v>
      </c>
      <c r="D63" s="120">
        <v>0</v>
      </c>
      <c r="E63" s="119">
        <f>-(+C63*D63)</f>
        <v>0</v>
      </c>
      <c r="F63" s="121"/>
      <c r="G63" s="119"/>
      <c r="I63" s="28"/>
      <c r="J63" s="39"/>
      <c r="K63" s="70"/>
      <c r="L63" s="75"/>
      <c r="M63" s="127"/>
      <c r="N63" s="77"/>
      <c r="O63" s="164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00"/>
      <c r="BU63" s="100"/>
      <c r="BV63" s="100"/>
      <c r="BW63" s="100"/>
      <c r="BX63" s="100"/>
      <c r="BY63" s="100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100"/>
      <c r="CX63" s="100"/>
      <c r="CY63" s="100"/>
      <c r="CZ63" s="100"/>
      <c r="DA63" s="100"/>
      <c r="DB63" s="100"/>
      <c r="DC63" s="100"/>
      <c r="DD63" s="100"/>
      <c r="DE63" s="100"/>
      <c r="DF63" s="100"/>
      <c r="DG63" s="100"/>
      <c r="DH63" s="100"/>
      <c r="DI63" s="100"/>
      <c r="DJ63" s="100"/>
      <c r="DK63" s="100"/>
      <c r="DL63" s="100"/>
      <c r="DM63" s="100"/>
      <c r="DN63" s="100"/>
      <c r="DO63" s="100"/>
      <c r="DP63" s="100"/>
      <c r="DQ63" s="100"/>
      <c r="DR63" s="100"/>
      <c r="DS63" s="100"/>
      <c r="DT63" s="100"/>
      <c r="DU63" s="100"/>
      <c r="DV63" s="100"/>
      <c r="DW63" s="100"/>
      <c r="DX63" s="100"/>
      <c r="DY63" s="100"/>
      <c r="DZ63" s="100"/>
      <c r="EA63" s="100"/>
      <c r="EB63" s="100"/>
      <c r="EC63" s="100"/>
      <c r="ED63" s="100"/>
      <c r="EE63" s="100"/>
      <c r="EF63" s="100"/>
      <c r="EG63" s="100"/>
      <c r="EH63" s="100"/>
      <c r="EI63" s="100"/>
      <c r="EJ63" s="100"/>
      <c r="EK63" s="100"/>
      <c r="EL63" s="100"/>
      <c r="EM63" s="100"/>
      <c r="EN63" s="100"/>
      <c r="EO63" s="100"/>
      <c r="EP63" s="100"/>
      <c r="EQ63" s="100"/>
      <c r="ER63" s="100"/>
      <c r="ES63" s="100"/>
      <c r="ET63" s="100"/>
      <c r="EU63" s="100"/>
      <c r="EV63" s="100"/>
      <c r="EW63" s="100"/>
      <c r="EX63" s="100"/>
      <c r="EY63" s="100"/>
      <c r="EZ63" s="100"/>
      <c r="FA63" s="100"/>
      <c r="FB63" s="100"/>
      <c r="FC63" s="100"/>
      <c r="FD63" s="100"/>
      <c r="FE63" s="100"/>
      <c r="FF63" s="100"/>
      <c r="FG63" s="100"/>
      <c r="FH63" s="100"/>
      <c r="FI63" s="100"/>
      <c r="FJ63" s="100"/>
      <c r="FK63" s="100"/>
      <c r="FL63" s="100"/>
      <c r="FM63" s="100"/>
      <c r="FN63" s="100"/>
      <c r="FO63" s="100"/>
      <c r="FP63" s="100"/>
      <c r="FQ63" s="100"/>
      <c r="FR63" s="100"/>
      <c r="FS63" s="100"/>
      <c r="FT63" s="100"/>
      <c r="FU63" s="100"/>
      <c r="FV63" s="100"/>
      <c r="FW63" s="100"/>
      <c r="FX63" s="100"/>
      <c r="FY63" s="100"/>
      <c r="FZ63" s="100"/>
      <c r="GA63" s="100"/>
      <c r="GB63" s="100"/>
      <c r="GC63" s="100"/>
      <c r="GD63" s="100"/>
      <c r="GE63" s="100"/>
      <c r="GF63" s="100"/>
      <c r="GG63" s="100"/>
      <c r="GH63" s="100"/>
      <c r="GI63" s="100"/>
      <c r="GJ63" s="100"/>
      <c r="GK63" s="100"/>
      <c r="GL63" s="100"/>
      <c r="GM63" s="100"/>
      <c r="GN63" s="100"/>
      <c r="GO63" s="100"/>
      <c r="GP63" s="100"/>
      <c r="GQ63" s="100"/>
      <c r="GR63" s="100"/>
      <c r="GS63" s="100"/>
      <c r="GT63" s="100"/>
      <c r="GU63" s="100"/>
      <c r="GV63" s="100"/>
      <c r="GW63" s="100"/>
      <c r="GX63" s="100"/>
      <c r="GY63" s="100"/>
      <c r="GZ63" s="100"/>
      <c r="HA63" s="100"/>
      <c r="HB63" s="100"/>
      <c r="HC63" s="100"/>
      <c r="HD63" s="100"/>
      <c r="HE63" s="100"/>
      <c r="HF63" s="100"/>
      <c r="HG63" s="100"/>
      <c r="HH63" s="100"/>
      <c r="HI63" s="100"/>
      <c r="HJ63" s="100"/>
      <c r="HK63" s="100"/>
      <c r="HL63" s="100"/>
      <c r="HM63" s="100"/>
      <c r="HN63" s="100"/>
      <c r="HO63" s="100"/>
      <c r="HP63" s="100"/>
      <c r="HQ63" s="100"/>
      <c r="HR63" s="100"/>
      <c r="HS63" s="100"/>
      <c r="HT63" s="100"/>
      <c r="HU63" s="100"/>
      <c r="HV63" s="100"/>
      <c r="HW63" s="100"/>
      <c r="HX63" s="100"/>
      <c r="HY63" s="100"/>
      <c r="HZ63" s="100"/>
      <c r="IA63" s="100"/>
      <c r="IB63" s="100"/>
      <c r="IC63" s="100"/>
      <c r="ID63" s="100"/>
      <c r="IE63" s="100"/>
      <c r="IF63" s="100"/>
      <c r="IG63" s="100"/>
      <c r="IH63" s="100"/>
      <c r="II63" s="100"/>
      <c r="IJ63" s="100"/>
      <c r="IK63" s="100"/>
      <c r="IL63" s="100"/>
      <c r="IM63" s="100"/>
      <c r="IN63" s="100"/>
      <c r="IO63" s="100"/>
      <c r="IP63" s="100"/>
      <c r="IQ63" s="100"/>
      <c r="IR63" s="100"/>
      <c r="IS63" s="100"/>
      <c r="IT63" s="100"/>
      <c r="IU63" s="100"/>
      <c r="IV63" s="100"/>
      <c r="IW63" s="100"/>
      <c r="IX63" s="100"/>
      <c r="IY63" s="100"/>
      <c r="IZ63" s="100"/>
      <c r="JA63" s="100"/>
      <c r="JB63" s="100"/>
      <c r="JC63" s="100"/>
      <c r="JD63" s="100"/>
      <c r="JE63" s="100"/>
      <c r="JF63" s="100"/>
      <c r="JG63" s="100"/>
      <c r="JH63" s="100"/>
      <c r="JI63" s="100"/>
      <c r="JJ63" s="100"/>
      <c r="JK63" s="100"/>
      <c r="JL63" s="100"/>
      <c r="JM63" s="100"/>
      <c r="JN63" s="100"/>
      <c r="JO63" s="100"/>
      <c r="JP63" s="100"/>
      <c r="JQ63" s="100"/>
      <c r="JR63" s="100"/>
      <c r="JS63" s="100"/>
      <c r="JT63" s="100"/>
      <c r="JU63" s="100"/>
      <c r="JV63" s="100"/>
      <c r="JW63" s="100"/>
      <c r="JX63" s="100"/>
      <c r="JY63" s="100"/>
      <c r="JZ63" s="100"/>
      <c r="KA63" s="100"/>
      <c r="KB63" s="100"/>
      <c r="KC63" s="100"/>
      <c r="KD63" s="100"/>
      <c r="KE63" s="100"/>
      <c r="KF63" s="100"/>
      <c r="KG63" s="100"/>
      <c r="KH63" s="100"/>
      <c r="KI63" s="100"/>
      <c r="KJ63" s="100"/>
    </row>
    <row r="64" spans="1:296" s="43" customFormat="1" x14ac:dyDescent="0.3">
      <c r="B64" s="43" t="s">
        <v>130</v>
      </c>
      <c r="C64" s="119">
        <v>20</v>
      </c>
      <c r="D64" s="120">
        <v>0</v>
      </c>
      <c r="E64" s="119">
        <f>-(+C64*D64)</f>
        <v>0</v>
      </c>
      <c r="F64" s="121"/>
      <c r="G64" s="119"/>
      <c r="I64" s="28"/>
      <c r="J64" s="39"/>
      <c r="K64" s="70"/>
      <c r="L64" s="75"/>
      <c r="M64" s="127"/>
      <c r="N64" s="77"/>
      <c r="O64" s="164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00"/>
      <c r="BR64" s="100"/>
      <c r="BS64" s="100"/>
      <c r="BT64" s="100"/>
      <c r="BU64" s="100"/>
      <c r="BV64" s="100"/>
      <c r="BW64" s="100"/>
      <c r="BX64" s="100"/>
      <c r="BY64" s="100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100"/>
      <c r="CX64" s="100"/>
      <c r="CY64" s="100"/>
      <c r="CZ64" s="100"/>
      <c r="DA64" s="100"/>
      <c r="DB64" s="100"/>
      <c r="DC64" s="100"/>
      <c r="DD64" s="100"/>
      <c r="DE64" s="100"/>
      <c r="DF64" s="100"/>
      <c r="DG64" s="100"/>
      <c r="DH64" s="100"/>
      <c r="DI64" s="100"/>
      <c r="DJ64" s="100"/>
      <c r="DK64" s="100"/>
      <c r="DL64" s="100"/>
      <c r="DM64" s="100"/>
      <c r="DN64" s="100"/>
      <c r="DO64" s="100"/>
      <c r="DP64" s="100"/>
      <c r="DQ64" s="100"/>
      <c r="DR64" s="100"/>
      <c r="DS64" s="100"/>
      <c r="DT64" s="100"/>
      <c r="DU64" s="100"/>
      <c r="DV64" s="100"/>
      <c r="DW64" s="100"/>
      <c r="DX64" s="100"/>
      <c r="DY64" s="100"/>
      <c r="DZ64" s="100"/>
      <c r="EA64" s="100"/>
      <c r="EB64" s="100"/>
      <c r="EC64" s="100"/>
      <c r="ED64" s="100"/>
      <c r="EE64" s="100"/>
      <c r="EF64" s="100"/>
      <c r="EG64" s="100"/>
      <c r="EH64" s="100"/>
      <c r="EI64" s="100"/>
      <c r="EJ64" s="100"/>
      <c r="EK64" s="100"/>
      <c r="EL64" s="100"/>
      <c r="EM64" s="100"/>
      <c r="EN64" s="100"/>
      <c r="EO64" s="100"/>
      <c r="EP64" s="100"/>
      <c r="EQ64" s="100"/>
      <c r="ER64" s="100"/>
      <c r="ES64" s="100"/>
      <c r="ET64" s="100"/>
      <c r="EU64" s="100"/>
      <c r="EV64" s="100"/>
      <c r="EW64" s="100"/>
      <c r="EX64" s="100"/>
      <c r="EY64" s="100"/>
      <c r="EZ64" s="100"/>
      <c r="FA64" s="100"/>
      <c r="FB64" s="100"/>
      <c r="FC64" s="100"/>
      <c r="FD64" s="100"/>
      <c r="FE64" s="100"/>
      <c r="FF64" s="100"/>
      <c r="FG64" s="100"/>
      <c r="FH64" s="100"/>
      <c r="FI64" s="100"/>
      <c r="FJ64" s="100"/>
      <c r="FK64" s="100"/>
      <c r="FL64" s="100"/>
      <c r="FM64" s="100"/>
      <c r="FN64" s="100"/>
      <c r="FO64" s="100"/>
      <c r="FP64" s="100"/>
      <c r="FQ64" s="100"/>
      <c r="FR64" s="100"/>
      <c r="FS64" s="100"/>
      <c r="FT64" s="100"/>
      <c r="FU64" s="100"/>
      <c r="FV64" s="100"/>
      <c r="FW64" s="100"/>
      <c r="FX64" s="100"/>
      <c r="FY64" s="100"/>
      <c r="FZ64" s="100"/>
      <c r="GA64" s="100"/>
      <c r="GB64" s="100"/>
      <c r="GC64" s="100"/>
      <c r="GD64" s="100"/>
      <c r="GE64" s="100"/>
      <c r="GF64" s="100"/>
      <c r="GG64" s="100"/>
      <c r="GH64" s="100"/>
      <c r="GI64" s="100"/>
      <c r="GJ64" s="100"/>
      <c r="GK64" s="100"/>
      <c r="GL64" s="100"/>
      <c r="GM64" s="100"/>
      <c r="GN64" s="100"/>
      <c r="GO64" s="100"/>
      <c r="GP64" s="100"/>
      <c r="GQ64" s="100"/>
      <c r="GR64" s="100"/>
      <c r="GS64" s="100"/>
      <c r="GT64" s="100"/>
      <c r="GU64" s="100"/>
      <c r="GV64" s="100"/>
      <c r="GW64" s="100"/>
      <c r="GX64" s="100"/>
      <c r="GY64" s="100"/>
      <c r="GZ64" s="100"/>
      <c r="HA64" s="100"/>
      <c r="HB64" s="100"/>
      <c r="HC64" s="100"/>
      <c r="HD64" s="100"/>
      <c r="HE64" s="100"/>
      <c r="HF64" s="100"/>
      <c r="HG64" s="100"/>
      <c r="HH64" s="100"/>
      <c r="HI64" s="100"/>
      <c r="HJ64" s="100"/>
      <c r="HK64" s="100"/>
      <c r="HL64" s="100"/>
      <c r="HM64" s="100"/>
      <c r="HN64" s="100"/>
      <c r="HO64" s="100"/>
      <c r="HP64" s="100"/>
      <c r="HQ64" s="100"/>
      <c r="HR64" s="100"/>
      <c r="HS64" s="100"/>
      <c r="HT64" s="100"/>
      <c r="HU64" s="100"/>
      <c r="HV64" s="100"/>
      <c r="HW64" s="100"/>
      <c r="HX64" s="100"/>
      <c r="HY64" s="100"/>
      <c r="HZ64" s="100"/>
      <c r="IA64" s="100"/>
      <c r="IB64" s="100"/>
      <c r="IC64" s="100"/>
      <c r="ID64" s="100"/>
      <c r="IE64" s="100"/>
      <c r="IF64" s="100"/>
      <c r="IG64" s="100"/>
      <c r="IH64" s="100"/>
      <c r="II64" s="100"/>
      <c r="IJ64" s="100"/>
      <c r="IK64" s="100"/>
      <c r="IL64" s="100"/>
      <c r="IM64" s="100"/>
      <c r="IN64" s="100"/>
      <c r="IO64" s="100"/>
      <c r="IP64" s="100"/>
      <c r="IQ64" s="100"/>
      <c r="IR64" s="100"/>
      <c r="IS64" s="100"/>
      <c r="IT64" s="100"/>
      <c r="IU64" s="100"/>
      <c r="IV64" s="100"/>
      <c r="IW64" s="100"/>
      <c r="IX64" s="100"/>
      <c r="IY64" s="100"/>
      <c r="IZ64" s="100"/>
      <c r="JA64" s="100"/>
      <c r="JB64" s="100"/>
      <c r="JC64" s="100"/>
      <c r="JD64" s="100"/>
      <c r="JE64" s="100"/>
      <c r="JF64" s="100"/>
      <c r="JG64" s="100"/>
      <c r="JH64" s="100"/>
      <c r="JI64" s="100"/>
      <c r="JJ64" s="100"/>
      <c r="JK64" s="100"/>
      <c r="JL64" s="100"/>
      <c r="JM64" s="100"/>
      <c r="JN64" s="100"/>
      <c r="JO64" s="100"/>
      <c r="JP64" s="100"/>
      <c r="JQ64" s="100"/>
      <c r="JR64" s="100"/>
      <c r="JS64" s="100"/>
      <c r="JT64" s="100"/>
      <c r="JU64" s="100"/>
      <c r="JV64" s="100"/>
      <c r="JW64" s="100"/>
      <c r="JX64" s="100"/>
      <c r="JY64" s="100"/>
      <c r="JZ64" s="100"/>
      <c r="KA64" s="100"/>
      <c r="KB64" s="100"/>
      <c r="KC64" s="100"/>
      <c r="KD64" s="100"/>
      <c r="KE64" s="100"/>
      <c r="KF64" s="100"/>
      <c r="KG64" s="100"/>
      <c r="KH64" s="100"/>
      <c r="KI64" s="100"/>
      <c r="KJ64" s="100"/>
    </row>
    <row r="65" spans="1:296" s="43" customFormat="1" x14ac:dyDescent="0.3">
      <c r="B65" s="130" t="s">
        <v>127</v>
      </c>
      <c r="C65" s="119">
        <v>25</v>
      </c>
      <c r="D65" s="120">
        <v>0</v>
      </c>
      <c r="E65" s="119">
        <f>-(+C65*D65)</f>
        <v>0</v>
      </c>
      <c r="F65" s="121"/>
      <c r="G65" s="119"/>
      <c r="I65" s="28"/>
      <c r="J65" s="39"/>
      <c r="K65" s="70"/>
      <c r="L65" s="75"/>
      <c r="M65" s="127"/>
      <c r="N65" s="77"/>
      <c r="O65" s="164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100"/>
      <c r="BS65" s="100"/>
      <c r="BT65" s="100"/>
      <c r="BU65" s="100"/>
      <c r="BV65" s="100"/>
      <c r="BW65" s="100"/>
      <c r="BX65" s="100"/>
      <c r="BY65" s="100"/>
      <c r="BZ65" s="100"/>
      <c r="CA65" s="100"/>
      <c r="CB65" s="100"/>
      <c r="CC65" s="100"/>
      <c r="CD65" s="100"/>
      <c r="CE65" s="10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  <c r="CU65" s="100"/>
      <c r="CV65" s="100"/>
      <c r="CW65" s="100"/>
      <c r="CX65" s="100"/>
      <c r="CY65" s="100"/>
      <c r="CZ65" s="100"/>
      <c r="DA65" s="100"/>
      <c r="DB65" s="100"/>
      <c r="DC65" s="100"/>
      <c r="DD65" s="100"/>
      <c r="DE65" s="100"/>
      <c r="DF65" s="100"/>
      <c r="DG65" s="100"/>
      <c r="DH65" s="100"/>
      <c r="DI65" s="100"/>
      <c r="DJ65" s="100"/>
      <c r="DK65" s="100"/>
      <c r="DL65" s="100"/>
      <c r="DM65" s="100"/>
      <c r="DN65" s="100"/>
      <c r="DO65" s="100"/>
      <c r="DP65" s="100"/>
      <c r="DQ65" s="100"/>
      <c r="DR65" s="100"/>
      <c r="DS65" s="100"/>
      <c r="DT65" s="100"/>
      <c r="DU65" s="100"/>
      <c r="DV65" s="100"/>
      <c r="DW65" s="100"/>
      <c r="DX65" s="100"/>
      <c r="DY65" s="100"/>
      <c r="DZ65" s="100"/>
      <c r="EA65" s="100"/>
      <c r="EB65" s="100"/>
      <c r="EC65" s="100"/>
      <c r="ED65" s="100"/>
      <c r="EE65" s="100"/>
      <c r="EF65" s="100"/>
      <c r="EG65" s="100"/>
      <c r="EH65" s="100"/>
      <c r="EI65" s="100"/>
      <c r="EJ65" s="100"/>
      <c r="EK65" s="100"/>
      <c r="EL65" s="100"/>
      <c r="EM65" s="100"/>
      <c r="EN65" s="100"/>
      <c r="EO65" s="100"/>
      <c r="EP65" s="100"/>
      <c r="EQ65" s="100"/>
      <c r="ER65" s="100"/>
      <c r="ES65" s="100"/>
      <c r="ET65" s="100"/>
      <c r="EU65" s="100"/>
      <c r="EV65" s="100"/>
      <c r="EW65" s="100"/>
      <c r="EX65" s="100"/>
      <c r="EY65" s="100"/>
      <c r="EZ65" s="100"/>
      <c r="FA65" s="100"/>
      <c r="FB65" s="100"/>
      <c r="FC65" s="100"/>
      <c r="FD65" s="100"/>
      <c r="FE65" s="100"/>
      <c r="FF65" s="100"/>
      <c r="FG65" s="100"/>
      <c r="FH65" s="100"/>
      <c r="FI65" s="100"/>
      <c r="FJ65" s="100"/>
      <c r="FK65" s="100"/>
      <c r="FL65" s="100"/>
      <c r="FM65" s="100"/>
      <c r="FN65" s="100"/>
      <c r="FO65" s="100"/>
      <c r="FP65" s="100"/>
      <c r="FQ65" s="100"/>
      <c r="FR65" s="100"/>
      <c r="FS65" s="100"/>
      <c r="FT65" s="100"/>
      <c r="FU65" s="100"/>
      <c r="FV65" s="100"/>
      <c r="FW65" s="100"/>
      <c r="FX65" s="100"/>
      <c r="FY65" s="100"/>
      <c r="FZ65" s="100"/>
      <c r="GA65" s="100"/>
      <c r="GB65" s="100"/>
      <c r="GC65" s="100"/>
      <c r="GD65" s="100"/>
      <c r="GE65" s="100"/>
      <c r="GF65" s="100"/>
      <c r="GG65" s="100"/>
      <c r="GH65" s="100"/>
      <c r="GI65" s="100"/>
      <c r="GJ65" s="100"/>
      <c r="GK65" s="100"/>
      <c r="GL65" s="100"/>
      <c r="GM65" s="100"/>
      <c r="GN65" s="100"/>
      <c r="GO65" s="100"/>
      <c r="GP65" s="100"/>
      <c r="GQ65" s="100"/>
      <c r="GR65" s="100"/>
      <c r="GS65" s="100"/>
      <c r="GT65" s="100"/>
      <c r="GU65" s="100"/>
      <c r="GV65" s="100"/>
      <c r="GW65" s="100"/>
      <c r="GX65" s="100"/>
      <c r="GY65" s="100"/>
      <c r="GZ65" s="100"/>
      <c r="HA65" s="100"/>
      <c r="HB65" s="100"/>
      <c r="HC65" s="100"/>
      <c r="HD65" s="100"/>
      <c r="HE65" s="100"/>
      <c r="HF65" s="100"/>
      <c r="HG65" s="100"/>
      <c r="HH65" s="100"/>
      <c r="HI65" s="100"/>
      <c r="HJ65" s="100"/>
      <c r="HK65" s="100"/>
      <c r="HL65" s="100"/>
      <c r="HM65" s="100"/>
      <c r="HN65" s="100"/>
      <c r="HO65" s="100"/>
      <c r="HP65" s="100"/>
      <c r="HQ65" s="100"/>
      <c r="HR65" s="100"/>
      <c r="HS65" s="100"/>
      <c r="HT65" s="100"/>
      <c r="HU65" s="100"/>
      <c r="HV65" s="100"/>
      <c r="HW65" s="100"/>
      <c r="HX65" s="100"/>
      <c r="HY65" s="100"/>
      <c r="HZ65" s="100"/>
      <c r="IA65" s="100"/>
      <c r="IB65" s="100"/>
      <c r="IC65" s="100"/>
      <c r="ID65" s="100"/>
      <c r="IE65" s="100"/>
      <c r="IF65" s="100"/>
      <c r="IG65" s="100"/>
      <c r="IH65" s="100"/>
      <c r="II65" s="100"/>
      <c r="IJ65" s="100"/>
      <c r="IK65" s="100"/>
      <c r="IL65" s="100"/>
      <c r="IM65" s="100"/>
      <c r="IN65" s="100"/>
      <c r="IO65" s="100"/>
      <c r="IP65" s="100"/>
      <c r="IQ65" s="100"/>
      <c r="IR65" s="100"/>
      <c r="IS65" s="100"/>
      <c r="IT65" s="100"/>
      <c r="IU65" s="100"/>
      <c r="IV65" s="100"/>
      <c r="IW65" s="100"/>
      <c r="IX65" s="100"/>
      <c r="IY65" s="100"/>
      <c r="IZ65" s="100"/>
      <c r="JA65" s="100"/>
      <c r="JB65" s="100"/>
      <c r="JC65" s="100"/>
      <c r="JD65" s="100"/>
      <c r="JE65" s="100"/>
      <c r="JF65" s="100"/>
      <c r="JG65" s="100"/>
      <c r="JH65" s="100"/>
      <c r="JI65" s="100"/>
      <c r="JJ65" s="100"/>
      <c r="JK65" s="100"/>
      <c r="JL65" s="100"/>
      <c r="JM65" s="100"/>
      <c r="JN65" s="100"/>
      <c r="JO65" s="100"/>
      <c r="JP65" s="100"/>
      <c r="JQ65" s="100"/>
      <c r="JR65" s="100"/>
      <c r="JS65" s="100"/>
      <c r="JT65" s="100"/>
      <c r="JU65" s="100"/>
      <c r="JV65" s="100"/>
      <c r="JW65" s="100"/>
      <c r="JX65" s="100"/>
      <c r="JY65" s="100"/>
      <c r="JZ65" s="100"/>
      <c r="KA65" s="100"/>
      <c r="KB65" s="100"/>
      <c r="KC65" s="100"/>
      <c r="KD65" s="100"/>
      <c r="KE65" s="100"/>
      <c r="KF65" s="100"/>
      <c r="KG65" s="100"/>
      <c r="KH65" s="100"/>
      <c r="KI65" s="100"/>
      <c r="KJ65" s="100"/>
    </row>
    <row r="66" spans="1:296" x14ac:dyDescent="0.3">
      <c r="C66" s="5"/>
      <c r="D66" s="112"/>
      <c r="E66" s="94">
        <f>SUM(E51:E65)</f>
        <v>-868.97958333333327</v>
      </c>
    </row>
    <row r="67" spans="1:296" s="100" customFormat="1" x14ac:dyDescent="0.3">
      <c r="C67" s="116"/>
      <c r="D67" s="124"/>
      <c r="E67" s="125"/>
      <c r="F67" s="96"/>
      <c r="G67" s="116"/>
      <c r="I67" s="28"/>
      <c r="J67" s="39"/>
      <c r="K67" s="70"/>
      <c r="L67" s="75"/>
      <c r="M67" s="127"/>
      <c r="N67" s="77"/>
      <c r="O67" s="164"/>
    </row>
    <row r="68" spans="1:296" x14ac:dyDescent="0.3">
      <c r="C68" s="5"/>
      <c r="D68" s="112"/>
      <c r="E68" s="27"/>
    </row>
    <row r="69" spans="1:296" ht="25.8" x14ac:dyDescent="0.3">
      <c r="F69" s="174" t="s">
        <v>22</v>
      </c>
      <c r="G69" s="174"/>
      <c r="H69" s="174"/>
      <c r="I69" s="85"/>
    </row>
    <row r="70" spans="1:296" ht="28.8" x14ac:dyDescent="0.3">
      <c r="B70" s="3" t="s">
        <v>2</v>
      </c>
      <c r="C70" s="12" t="s">
        <v>12</v>
      </c>
      <c r="D70" s="175" t="s">
        <v>17</v>
      </c>
      <c r="E70" s="176"/>
      <c r="F70" s="11" t="s">
        <v>15</v>
      </c>
      <c r="G70" s="14" t="s">
        <v>16</v>
      </c>
      <c r="H70" s="13" t="s">
        <v>138</v>
      </c>
      <c r="I70" s="86" t="s">
        <v>41</v>
      </c>
      <c r="J70" s="40" t="s">
        <v>42</v>
      </c>
      <c r="K70" s="149" t="s">
        <v>95</v>
      </c>
      <c r="L70" s="76" t="s">
        <v>96</v>
      </c>
      <c r="M70" s="128" t="s">
        <v>125</v>
      </c>
      <c r="N70" s="78" t="s">
        <v>94</v>
      </c>
      <c r="O70" s="162" t="s">
        <v>161</v>
      </c>
    </row>
    <row r="71" spans="1:296" ht="13.8" customHeight="1" x14ac:dyDescent="0.3">
      <c r="B71" s="3"/>
      <c r="C71" s="67">
        <f>SUM(C72:C284)</f>
        <v>0</v>
      </c>
      <c r="D71" s="122" t="s">
        <v>20</v>
      </c>
      <c r="E71" s="67">
        <f>SUM(E72:E284)</f>
        <v>0</v>
      </c>
      <c r="F71" s="67">
        <f t="shared" ref="F71:O71" si="3">SUM(F72:F284)</f>
        <v>0</v>
      </c>
      <c r="G71" s="67">
        <f t="shared" si="3"/>
        <v>0</v>
      </c>
      <c r="H71" s="67">
        <f t="shared" si="3"/>
        <v>0</v>
      </c>
      <c r="I71" s="67">
        <f t="shared" si="3"/>
        <v>0</v>
      </c>
      <c r="J71" s="67">
        <f t="shared" si="3"/>
        <v>0</v>
      </c>
      <c r="K71" s="67">
        <f t="shared" si="3"/>
        <v>0</v>
      </c>
      <c r="L71" s="67">
        <f t="shared" si="3"/>
        <v>0</v>
      </c>
      <c r="M71" s="67">
        <f t="shared" si="3"/>
        <v>0</v>
      </c>
      <c r="N71" s="67">
        <f t="shared" si="3"/>
        <v>0</v>
      </c>
      <c r="O71" s="67">
        <f t="shared" si="3"/>
        <v>0</v>
      </c>
    </row>
    <row r="72" spans="1:296" ht="13.8" customHeight="1" x14ac:dyDescent="0.3">
      <c r="B72" s="169"/>
      <c r="C72" s="118"/>
      <c r="D72" s="122"/>
      <c r="E72" s="67"/>
      <c r="F72" s="67"/>
      <c r="G72" s="118"/>
      <c r="H72" s="118"/>
      <c r="I72" s="118"/>
      <c r="J72" s="118"/>
      <c r="K72" s="118"/>
      <c r="L72" s="118"/>
      <c r="M72" s="118"/>
      <c r="N72" s="118"/>
      <c r="O72" s="168"/>
    </row>
    <row r="73" spans="1:296" ht="13.8" customHeight="1" x14ac:dyDescent="0.3">
      <c r="B73" s="169"/>
      <c r="C73" s="118"/>
      <c r="D73" s="122"/>
      <c r="E73" s="67"/>
      <c r="F73" s="67"/>
      <c r="G73" s="118"/>
      <c r="H73" s="118"/>
      <c r="I73" s="118"/>
      <c r="J73" s="118"/>
      <c r="K73" s="118"/>
      <c r="L73" s="118"/>
      <c r="M73" s="118"/>
      <c r="N73" s="118"/>
      <c r="O73" s="168"/>
    </row>
    <row r="74" spans="1:296" ht="13.8" customHeight="1" x14ac:dyDescent="0.3">
      <c r="B74" s="146"/>
      <c r="C74" s="99"/>
      <c r="D74" s="122"/>
      <c r="E74" s="67"/>
      <c r="F74" s="67"/>
      <c r="G74" s="118"/>
      <c r="H74" s="118"/>
      <c r="I74" s="118"/>
      <c r="J74" s="118"/>
      <c r="K74" s="118"/>
      <c r="L74" s="118"/>
      <c r="M74" s="118"/>
      <c r="N74" s="118"/>
    </row>
    <row r="75" spans="1:296" ht="13.8" customHeight="1" x14ac:dyDescent="0.3">
      <c r="B75" s="146"/>
      <c r="C75" s="99"/>
      <c r="D75" s="122"/>
      <c r="E75" s="67"/>
      <c r="F75" s="67"/>
      <c r="G75" s="118"/>
      <c r="H75" s="118"/>
      <c r="I75" s="118"/>
      <c r="J75" s="118"/>
      <c r="K75" s="118"/>
      <c r="L75" s="118"/>
      <c r="M75" s="118"/>
      <c r="N75" s="118"/>
    </row>
    <row r="76" spans="1:296" ht="13.8" customHeight="1" x14ac:dyDescent="0.3">
      <c r="B76" s="146"/>
      <c r="C76" s="99"/>
      <c r="D76" s="122"/>
      <c r="E76" s="67"/>
      <c r="F76" s="67"/>
      <c r="G76" s="118"/>
      <c r="H76" s="118"/>
      <c r="I76" s="118"/>
      <c r="J76" s="118"/>
      <c r="K76" s="118"/>
      <c r="L76" s="118"/>
      <c r="M76" s="118"/>
      <c r="N76" s="118"/>
    </row>
    <row r="77" spans="1:296" ht="13.8" customHeight="1" x14ac:dyDescent="0.3">
      <c r="B77" s="146"/>
      <c r="C77" s="99"/>
      <c r="D77" s="122"/>
      <c r="E77" s="67"/>
      <c r="F77" s="67"/>
      <c r="G77" s="118"/>
      <c r="H77" s="118"/>
      <c r="I77" s="118"/>
      <c r="J77" s="118"/>
      <c r="K77" s="118"/>
      <c r="L77" s="118"/>
      <c r="M77" s="118"/>
      <c r="N77" s="118"/>
    </row>
    <row r="78" spans="1:296" s="5" customFormat="1" x14ac:dyDescent="0.3">
      <c r="A78"/>
      <c r="B78" t="s">
        <v>13</v>
      </c>
      <c r="C78"/>
      <c r="D78" s="147">
        <v>5429</v>
      </c>
      <c r="E78" s="95">
        <v>0</v>
      </c>
      <c r="F78" s="97" t="s">
        <v>142</v>
      </c>
      <c r="H78"/>
      <c r="I78" s="28"/>
      <c r="J78" s="39"/>
      <c r="K78" s="70"/>
      <c r="L78" s="75"/>
      <c r="M78" s="127"/>
      <c r="N78" s="77"/>
      <c r="O78" s="165"/>
    </row>
    <row r="79" spans="1:296" s="100" customFormat="1" x14ac:dyDescent="0.3">
      <c r="A79"/>
      <c r="B79" s="126" t="s">
        <v>13</v>
      </c>
      <c r="D79" s="147">
        <v>6070</v>
      </c>
      <c r="E79" s="24"/>
      <c r="F79" s="132" t="s">
        <v>131</v>
      </c>
      <c r="G79" s="5"/>
      <c r="H79"/>
      <c r="I79" s="28"/>
      <c r="J79" s="39"/>
      <c r="K79" s="70"/>
      <c r="L79" s="75"/>
      <c r="M79" s="127"/>
      <c r="N79" s="77"/>
      <c r="O79" s="164"/>
    </row>
    <row r="80" spans="1:296" s="100" customFormat="1" x14ac:dyDescent="0.3">
      <c r="A80"/>
      <c r="B80" s="123" t="s">
        <v>13</v>
      </c>
      <c r="D80" s="147">
        <v>6119</v>
      </c>
      <c r="E80" s="24">
        <v>0</v>
      </c>
      <c r="F80" s="132" t="s">
        <v>132</v>
      </c>
      <c r="G80" s="5"/>
      <c r="H80"/>
      <c r="I80" s="28"/>
      <c r="J80" s="39"/>
      <c r="K80" s="70"/>
      <c r="L80" s="75"/>
      <c r="M80" s="127"/>
      <c r="N80" s="77"/>
      <c r="O80" s="164"/>
    </row>
    <row r="81" spans="1:296" s="100" customFormat="1" x14ac:dyDescent="0.3">
      <c r="A81"/>
      <c r="B81" s="126" t="s">
        <v>13</v>
      </c>
      <c r="C81"/>
      <c r="D81" s="147">
        <v>6150</v>
      </c>
      <c r="E81" s="24"/>
      <c r="F81" s="132" t="s">
        <v>151</v>
      </c>
      <c r="G81" s="5"/>
      <c r="H81"/>
      <c r="I81" s="28"/>
      <c r="J81" s="39"/>
      <c r="K81" s="70"/>
      <c r="L81" s="75"/>
      <c r="M81" s="127"/>
      <c r="N81" s="77"/>
      <c r="O81" s="164"/>
    </row>
    <row r="82" spans="1:296" s="100" customFormat="1" x14ac:dyDescent="0.3">
      <c r="A82"/>
      <c r="B82" s="126" t="s">
        <v>13</v>
      </c>
      <c r="C82"/>
      <c r="D82" s="113">
        <v>6266</v>
      </c>
      <c r="E82" s="24">
        <v>0</v>
      </c>
      <c r="F82" s="170" t="s">
        <v>179</v>
      </c>
      <c r="H82"/>
      <c r="I82" s="28"/>
      <c r="J82" s="39"/>
      <c r="K82" s="70"/>
      <c r="L82" s="75"/>
      <c r="M82" s="127"/>
      <c r="N82" s="77"/>
      <c r="O82" s="164"/>
    </row>
    <row r="83" spans="1:296" s="5" customFormat="1" x14ac:dyDescent="0.3">
      <c r="A83"/>
      <c r="B83" s="137" t="s">
        <v>13</v>
      </c>
      <c r="C83"/>
      <c r="D83" s="113">
        <v>6279</v>
      </c>
      <c r="E83" s="24"/>
      <c r="F83" s="171" t="s">
        <v>180</v>
      </c>
      <c r="H83"/>
      <c r="I83" s="28"/>
      <c r="J83" s="39"/>
      <c r="K83" s="70"/>
      <c r="L83" s="75"/>
      <c r="M83" s="127"/>
      <c r="N83" s="77"/>
      <c r="O83" s="164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  <c r="BD83" s="100"/>
      <c r="BE83" s="100"/>
      <c r="BF83" s="100"/>
      <c r="BG83" s="100"/>
      <c r="BH83" s="100"/>
      <c r="BI83" s="100"/>
      <c r="BJ83" s="100"/>
      <c r="BK83" s="100"/>
      <c r="BL83" s="100"/>
      <c r="BM83" s="100"/>
      <c r="BN83" s="100"/>
      <c r="BO83" s="100"/>
      <c r="BP83" s="100"/>
      <c r="BQ83" s="100"/>
      <c r="BR83" s="100"/>
      <c r="BS83" s="100"/>
      <c r="BT83" s="100"/>
      <c r="BU83" s="100"/>
      <c r="BV83" s="100"/>
      <c r="BW83" s="100"/>
      <c r="BX83" s="100"/>
      <c r="BY83" s="100"/>
      <c r="BZ83" s="100"/>
      <c r="CA83" s="100"/>
      <c r="CB83" s="100"/>
      <c r="CC83" s="100"/>
      <c r="CD83" s="100"/>
      <c r="CE83" s="100"/>
      <c r="CF83" s="100"/>
      <c r="CG83" s="100"/>
      <c r="CH83" s="100"/>
      <c r="CI83" s="100"/>
      <c r="CJ83" s="100"/>
      <c r="CK83" s="100"/>
      <c r="CL83" s="100"/>
      <c r="CM83" s="100"/>
      <c r="CN83" s="100"/>
      <c r="CO83" s="100"/>
      <c r="CP83" s="100"/>
      <c r="CQ83" s="100"/>
      <c r="CR83" s="100"/>
      <c r="CS83" s="100"/>
      <c r="CT83" s="100"/>
      <c r="CU83" s="100"/>
      <c r="CV83" s="100"/>
      <c r="CW83" s="100"/>
      <c r="CX83" s="100"/>
      <c r="CY83" s="100"/>
      <c r="CZ83" s="100"/>
      <c r="DA83" s="100"/>
      <c r="DB83" s="100"/>
      <c r="DC83" s="100"/>
      <c r="DD83" s="100"/>
      <c r="DE83" s="100"/>
      <c r="DF83" s="100"/>
      <c r="DG83" s="100"/>
      <c r="DH83" s="100"/>
      <c r="DI83" s="100"/>
      <c r="DJ83" s="100"/>
      <c r="DK83" s="100"/>
      <c r="DL83" s="100"/>
      <c r="DM83" s="100"/>
      <c r="DN83" s="100"/>
      <c r="DO83" s="100"/>
      <c r="DP83" s="100"/>
      <c r="DQ83" s="100"/>
      <c r="DR83" s="100"/>
      <c r="DS83" s="100"/>
      <c r="DT83" s="100"/>
      <c r="DU83" s="100"/>
      <c r="DV83" s="100"/>
      <c r="DW83" s="100"/>
      <c r="DX83" s="100"/>
      <c r="DY83" s="100"/>
      <c r="DZ83" s="100"/>
      <c r="EA83" s="100"/>
      <c r="EB83" s="100"/>
      <c r="EC83" s="100"/>
      <c r="ED83" s="100"/>
      <c r="EE83" s="100"/>
      <c r="EF83" s="100"/>
      <c r="EG83" s="100"/>
      <c r="EH83" s="100"/>
      <c r="EI83" s="100"/>
      <c r="EJ83" s="100"/>
      <c r="EK83" s="100"/>
      <c r="EL83" s="100"/>
      <c r="EM83" s="100"/>
      <c r="EN83" s="100"/>
      <c r="EO83" s="100"/>
      <c r="EP83" s="100"/>
      <c r="EQ83" s="100"/>
      <c r="ER83" s="100"/>
      <c r="ES83" s="100"/>
      <c r="ET83" s="100"/>
      <c r="EU83" s="100"/>
      <c r="EV83" s="100"/>
      <c r="EW83" s="100"/>
      <c r="EX83" s="100"/>
      <c r="EY83" s="100"/>
      <c r="EZ83" s="100"/>
      <c r="FA83" s="100"/>
      <c r="FB83" s="100"/>
      <c r="FC83" s="100"/>
      <c r="FD83" s="100"/>
      <c r="FE83" s="100"/>
      <c r="FF83" s="100"/>
      <c r="FG83" s="100"/>
      <c r="FH83" s="100"/>
      <c r="FI83" s="100"/>
      <c r="FJ83" s="100"/>
      <c r="FK83" s="100"/>
      <c r="FL83" s="100"/>
      <c r="FM83" s="100"/>
      <c r="FN83" s="100"/>
      <c r="FO83" s="100"/>
      <c r="FP83" s="100"/>
      <c r="FQ83" s="100"/>
      <c r="FR83" s="100"/>
      <c r="FS83" s="100"/>
      <c r="FT83" s="100"/>
      <c r="FU83" s="100"/>
      <c r="FV83" s="100"/>
      <c r="FW83" s="100"/>
      <c r="FX83" s="100"/>
      <c r="FY83" s="100"/>
      <c r="FZ83" s="100"/>
      <c r="GA83" s="100"/>
      <c r="GB83" s="100"/>
      <c r="GC83" s="100"/>
      <c r="GD83" s="100"/>
      <c r="GE83" s="100"/>
      <c r="GF83" s="100"/>
      <c r="GG83" s="100"/>
      <c r="GH83" s="100"/>
      <c r="GI83" s="100"/>
      <c r="GJ83" s="100"/>
      <c r="GK83" s="100"/>
      <c r="GL83" s="100"/>
      <c r="GM83" s="100"/>
      <c r="GN83" s="100"/>
      <c r="GO83" s="100"/>
      <c r="GP83" s="100"/>
      <c r="GQ83" s="100"/>
      <c r="GR83" s="100"/>
      <c r="GS83" s="100"/>
      <c r="GT83" s="100"/>
      <c r="GU83" s="100"/>
      <c r="GV83" s="100"/>
      <c r="GW83" s="100"/>
      <c r="GX83" s="100"/>
      <c r="GY83" s="100"/>
      <c r="GZ83" s="100"/>
      <c r="HA83" s="100"/>
      <c r="HB83" s="100"/>
      <c r="HC83" s="100"/>
      <c r="HD83" s="100"/>
      <c r="HE83" s="100"/>
      <c r="HF83" s="100"/>
      <c r="HG83" s="100"/>
      <c r="HH83" s="100"/>
      <c r="HI83" s="100"/>
      <c r="HJ83" s="100"/>
      <c r="HK83" s="100"/>
      <c r="HL83" s="100"/>
      <c r="HM83" s="100"/>
      <c r="HN83" s="100"/>
      <c r="HO83" s="100"/>
      <c r="HP83" s="100"/>
      <c r="HQ83" s="100"/>
      <c r="HR83" s="100"/>
      <c r="HS83" s="100"/>
      <c r="HT83" s="100"/>
      <c r="HU83" s="100"/>
      <c r="HV83" s="100"/>
      <c r="HW83" s="100"/>
      <c r="HX83" s="100"/>
      <c r="HY83" s="100"/>
      <c r="HZ83" s="100"/>
      <c r="IA83" s="100"/>
      <c r="IB83" s="100"/>
      <c r="IC83" s="100"/>
      <c r="ID83" s="100"/>
      <c r="IE83" s="100"/>
      <c r="IF83" s="100"/>
      <c r="IG83" s="100"/>
      <c r="IH83" s="100"/>
      <c r="II83" s="100"/>
      <c r="IJ83" s="100"/>
      <c r="IK83" s="100"/>
      <c r="IL83" s="100"/>
      <c r="IM83" s="100"/>
      <c r="IN83" s="100"/>
      <c r="IO83" s="100"/>
      <c r="IP83" s="100"/>
      <c r="IQ83" s="100"/>
      <c r="IR83" s="100"/>
      <c r="IS83" s="100"/>
      <c r="IT83" s="100"/>
      <c r="IU83" s="100"/>
      <c r="IV83" s="100"/>
      <c r="IW83" s="100"/>
      <c r="IX83" s="100"/>
      <c r="IY83" s="100"/>
      <c r="IZ83" s="100"/>
      <c r="JA83" s="100"/>
      <c r="JB83" s="100"/>
      <c r="JC83" s="100"/>
      <c r="JD83" s="100"/>
      <c r="JE83" s="100"/>
      <c r="JF83" s="100"/>
      <c r="JG83" s="100"/>
      <c r="JH83" s="100"/>
      <c r="JI83" s="100"/>
      <c r="JJ83" s="100"/>
      <c r="JK83" s="100"/>
      <c r="JL83" s="100"/>
      <c r="JM83" s="100"/>
      <c r="JN83" s="100"/>
      <c r="JO83" s="100"/>
      <c r="JP83" s="100"/>
      <c r="JQ83" s="100"/>
      <c r="JR83" s="100"/>
      <c r="JS83" s="100"/>
      <c r="JT83" s="100"/>
      <c r="JU83" s="100"/>
      <c r="JV83" s="100"/>
      <c r="JW83" s="100"/>
      <c r="JX83" s="100"/>
      <c r="JY83" s="100"/>
      <c r="JZ83" s="100"/>
      <c r="KA83" s="100"/>
      <c r="KB83" s="100"/>
      <c r="KC83" s="100"/>
      <c r="KD83" s="100"/>
      <c r="KE83" s="100"/>
      <c r="KF83" s="100"/>
      <c r="KG83" s="100"/>
      <c r="KH83" s="100"/>
      <c r="KI83" s="100"/>
      <c r="KJ83" s="100"/>
    </row>
    <row r="84" spans="1:296" s="5" customFormat="1" x14ac:dyDescent="0.3">
      <c r="A84"/>
      <c r="B84" s="126" t="s">
        <v>13</v>
      </c>
      <c r="C84"/>
      <c r="D84" s="113">
        <v>6280</v>
      </c>
      <c r="E84" s="24"/>
      <c r="F84" s="171" t="s">
        <v>180</v>
      </c>
      <c r="H84"/>
      <c r="I84" s="28"/>
      <c r="J84" s="39"/>
      <c r="K84" s="70"/>
      <c r="L84" s="75"/>
      <c r="M84" s="127"/>
      <c r="N84" s="77"/>
      <c r="O84" s="164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100"/>
      <c r="BE84" s="100"/>
      <c r="BF84" s="100"/>
      <c r="BG84" s="100"/>
      <c r="BH84" s="100"/>
      <c r="BI84" s="100"/>
      <c r="BJ84" s="100"/>
      <c r="BK84" s="100"/>
      <c r="BL84" s="100"/>
      <c r="BM84" s="100"/>
      <c r="BN84" s="100"/>
      <c r="BO84" s="100"/>
      <c r="BP84" s="100"/>
      <c r="BQ84" s="100"/>
      <c r="BR84" s="100"/>
      <c r="BS84" s="100"/>
      <c r="BT84" s="100"/>
      <c r="BU84" s="100"/>
      <c r="BV84" s="100"/>
      <c r="BW84" s="100"/>
      <c r="BX84" s="100"/>
      <c r="BY84" s="100"/>
      <c r="BZ84" s="100"/>
      <c r="CA84" s="100"/>
      <c r="CB84" s="100"/>
      <c r="CC84" s="100"/>
      <c r="CD84" s="100"/>
      <c r="CE84" s="100"/>
      <c r="CF84" s="100"/>
      <c r="CG84" s="100"/>
      <c r="CH84" s="100"/>
      <c r="CI84" s="100"/>
      <c r="CJ84" s="100"/>
      <c r="CK84" s="100"/>
      <c r="CL84" s="100"/>
      <c r="CM84" s="100"/>
      <c r="CN84" s="100"/>
      <c r="CO84" s="100"/>
      <c r="CP84" s="100"/>
      <c r="CQ84" s="100"/>
      <c r="CR84" s="100"/>
      <c r="CS84" s="100"/>
      <c r="CT84" s="100"/>
      <c r="CU84" s="100"/>
      <c r="CV84" s="100"/>
      <c r="CW84" s="100"/>
      <c r="CX84" s="100"/>
      <c r="CY84" s="100"/>
      <c r="CZ84" s="100"/>
      <c r="DA84" s="100"/>
      <c r="DB84" s="100"/>
      <c r="DC84" s="100"/>
      <c r="DD84" s="100"/>
      <c r="DE84" s="100"/>
      <c r="DF84" s="100"/>
      <c r="DG84" s="100"/>
      <c r="DH84" s="100"/>
      <c r="DI84" s="100"/>
      <c r="DJ84" s="100"/>
      <c r="DK84" s="100"/>
      <c r="DL84" s="100"/>
      <c r="DM84" s="100"/>
      <c r="DN84" s="100"/>
      <c r="DO84" s="100"/>
      <c r="DP84" s="100"/>
      <c r="DQ84" s="100"/>
      <c r="DR84" s="100"/>
      <c r="DS84" s="100"/>
      <c r="DT84" s="100"/>
      <c r="DU84" s="100"/>
      <c r="DV84" s="100"/>
      <c r="DW84" s="100"/>
      <c r="DX84" s="100"/>
      <c r="DY84" s="100"/>
      <c r="DZ84" s="100"/>
      <c r="EA84" s="100"/>
      <c r="EB84" s="100"/>
      <c r="EC84" s="100"/>
      <c r="ED84" s="100"/>
      <c r="EE84" s="100"/>
      <c r="EF84" s="100"/>
      <c r="EG84" s="100"/>
      <c r="EH84" s="100"/>
      <c r="EI84" s="100"/>
      <c r="EJ84" s="100"/>
      <c r="EK84" s="100"/>
      <c r="EL84" s="100"/>
      <c r="EM84" s="100"/>
      <c r="EN84" s="100"/>
      <c r="EO84" s="100"/>
      <c r="EP84" s="100"/>
      <c r="EQ84" s="100"/>
      <c r="ER84" s="100"/>
      <c r="ES84" s="100"/>
      <c r="ET84" s="100"/>
      <c r="EU84" s="100"/>
      <c r="EV84" s="100"/>
      <c r="EW84" s="100"/>
      <c r="EX84" s="100"/>
      <c r="EY84" s="100"/>
      <c r="EZ84" s="100"/>
      <c r="FA84" s="100"/>
      <c r="FB84" s="100"/>
      <c r="FC84" s="100"/>
      <c r="FD84" s="100"/>
      <c r="FE84" s="100"/>
      <c r="FF84" s="100"/>
      <c r="FG84" s="100"/>
      <c r="FH84" s="100"/>
      <c r="FI84" s="100"/>
      <c r="FJ84" s="100"/>
      <c r="FK84" s="100"/>
      <c r="FL84" s="100"/>
      <c r="FM84" s="100"/>
      <c r="FN84" s="100"/>
      <c r="FO84" s="100"/>
      <c r="FP84" s="100"/>
      <c r="FQ84" s="100"/>
      <c r="FR84" s="100"/>
      <c r="FS84" s="100"/>
      <c r="FT84" s="100"/>
      <c r="FU84" s="100"/>
      <c r="FV84" s="100"/>
      <c r="FW84" s="100"/>
      <c r="FX84" s="100"/>
      <c r="FY84" s="100"/>
      <c r="FZ84" s="100"/>
      <c r="GA84" s="100"/>
      <c r="GB84" s="100"/>
      <c r="GC84" s="100"/>
      <c r="GD84" s="100"/>
      <c r="GE84" s="100"/>
      <c r="GF84" s="100"/>
      <c r="GG84" s="100"/>
      <c r="GH84" s="100"/>
      <c r="GI84" s="100"/>
      <c r="GJ84" s="100"/>
      <c r="GK84" s="100"/>
      <c r="GL84" s="100"/>
      <c r="GM84" s="100"/>
      <c r="GN84" s="100"/>
      <c r="GO84" s="100"/>
      <c r="GP84" s="100"/>
      <c r="GQ84" s="100"/>
      <c r="GR84" s="100"/>
      <c r="GS84" s="100"/>
      <c r="GT84" s="100"/>
      <c r="GU84" s="100"/>
      <c r="GV84" s="100"/>
      <c r="GW84" s="100"/>
      <c r="GX84" s="100"/>
      <c r="GY84" s="100"/>
      <c r="GZ84" s="100"/>
      <c r="HA84" s="100"/>
      <c r="HB84" s="100"/>
      <c r="HC84" s="100"/>
      <c r="HD84" s="100"/>
      <c r="HE84" s="100"/>
      <c r="HF84" s="100"/>
      <c r="HG84" s="100"/>
      <c r="HH84" s="100"/>
      <c r="HI84" s="100"/>
      <c r="HJ84" s="100"/>
      <c r="HK84" s="100"/>
      <c r="HL84" s="100"/>
      <c r="HM84" s="100"/>
      <c r="HN84" s="100"/>
      <c r="HO84" s="100"/>
      <c r="HP84" s="100"/>
      <c r="HQ84" s="100"/>
      <c r="HR84" s="100"/>
      <c r="HS84" s="100"/>
      <c r="HT84" s="100"/>
      <c r="HU84" s="100"/>
      <c r="HV84" s="100"/>
      <c r="HW84" s="100"/>
      <c r="HX84" s="100"/>
      <c r="HY84" s="100"/>
      <c r="HZ84" s="100"/>
      <c r="IA84" s="100"/>
      <c r="IB84" s="100"/>
      <c r="IC84" s="100"/>
      <c r="ID84" s="100"/>
      <c r="IE84" s="100"/>
      <c r="IF84" s="100"/>
      <c r="IG84" s="100"/>
      <c r="IH84" s="100"/>
      <c r="II84" s="100"/>
      <c r="IJ84" s="100"/>
      <c r="IK84" s="100"/>
      <c r="IL84" s="100"/>
      <c r="IM84" s="100"/>
      <c r="IN84" s="100"/>
      <c r="IO84" s="100"/>
      <c r="IP84" s="100"/>
      <c r="IQ84" s="100"/>
      <c r="IR84" s="100"/>
      <c r="IS84" s="100"/>
      <c r="IT84" s="100"/>
      <c r="IU84" s="100"/>
      <c r="IV84" s="100"/>
      <c r="IW84" s="100"/>
      <c r="IX84" s="100"/>
      <c r="IY84" s="100"/>
      <c r="IZ84" s="100"/>
      <c r="JA84" s="100"/>
      <c r="JB84" s="100"/>
      <c r="JC84" s="100"/>
      <c r="JD84" s="100"/>
      <c r="JE84" s="100"/>
      <c r="JF84" s="100"/>
      <c r="JG84" s="100"/>
      <c r="JH84" s="100"/>
      <c r="JI84" s="100"/>
      <c r="JJ84" s="100"/>
      <c r="JK84" s="100"/>
      <c r="JL84" s="100"/>
      <c r="JM84" s="100"/>
      <c r="JN84" s="100"/>
      <c r="JO84" s="100"/>
      <c r="JP84" s="100"/>
      <c r="JQ84" s="100"/>
      <c r="JR84" s="100"/>
      <c r="JS84" s="100"/>
      <c r="JT84" s="100"/>
      <c r="JU84" s="100"/>
      <c r="JV84" s="100"/>
      <c r="JW84" s="100"/>
      <c r="JX84" s="100"/>
      <c r="JY84" s="100"/>
      <c r="JZ84" s="100"/>
      <c r="KA84" s="100"/>
      <c r="KB84" s="100"/>
      <c r="KC84" s="100"/>
      <c r="KD84" s="100"/>
      <c r="KE84" s="100"/>
      <c r="KF84" s="100"/>
      <c r="KG84" s="100"/>
      <c r="KH84" s="100"/>
      <c r="KI84" s="100"/>
      <c r="KJ84" s="100"/>
    </row>
    <row r="85" spans="1:296" x14ac:dyDescent="0.3">
      <c r="B85" s="126" t="s">
        <v>13</v>
      </c>
      <c r="D85" s="113">
        <v>6282</v>
      </c>
      <c r="E85" s="24"/>
      <c r="F85" s="30"/>
    </row>
    <row r="86" spans="1:296" x14ac:dyDescent="0.3">
      <c r="B86" s="126" t="s">
        <v>13</v>
      </c>
      <c r="D86" s="113">
        <v>6283</v>
      </c>
      <c r="E86" s="24"/>
      <c r="F86" s="30"/>
    </row>
    <row r="87" spans="1:296" x14ac:dyDescent="0.3">
      <c r="B87" s="126" t="s">
        <v>13</v>
      </c>
      <c r="D87" s="113">
        <v>6284</v>
      </c>
      <c r="E87" s="24"/>
      <c r="F87" s="30"/>
    </row>
    <row r="88" spans="1:296" x14ac:dyDescent="0.3">
      <c r="B88" s="126" t="s">
        <v>13</v>
      </c>
      <c r="D88" s="113">
        <v>6285</v>
      </c>
      <c r="E88" s="24"/>
      <c r="F88" s="30"/>
    </row>
    <row r="89" spans="1:296" x14ac:dyDescent="0.3">
      <c r="B89" s="126" t="s">
        <v>13</v>
      </c>
      <c r="D89" s="113">
        <v>6286</v>
      </c>
      <c r="E89" s="24"/>
      <c r="F89" s="30"/>
    </row>
    <row r="90" spans="1:296" x14ac:dyDescent="0.3">
      <c r="B90" s="126" t="s">
        <v>13</v>
      </c>
      <c r="D90" s="113">
        <v>6287</v>
      </c>
      <c r="E90" s="24"/>
      <c r="F90" s="30"/>
    </row>
    <row r="91" spans="1:296" x14ac:dyDescent="0.3">
      <c r="B91" s="126" t="s">
        <v>13</v>
      </c>
      <c r="D91" s="113">
        <v>6288</v>
      </c>
      <c r="E91" s="24"/>
      <c r="F91" s="30"/>
    </row>
    <row r="92" spans="1:296" x14ac:dyDescent="0.3">
      <c r="B92" s="126" t="s">
        <v>13</v>
      </c>
      <c r="D92" s="113">
        <v>6289</v>
      </c>
      <c r="E92" s="24"/>
      <c r="F92" s="30"/>
    </row>
    <row r="93" spans="1:296" x14ac:dyDescent="0.3">
      <c r="B93" s="126" t="s">
        <v>13</v>
      </c>
      <c r="D93" s="113">
        <v>6290</v>
      </c>
      <c r="E93" s="24"/>
      <c r="F93" s="30"/>
    </row>
    <row r="94" spans="1:296" x14ac:dyDescent="0.3">
      <c r="B94" s="126" t="s">
        <v>13</v>
      </c>
      <c r="D94" s="113">
        <v>6291</v>
      </c>
      <c r="E94" s="24"/>
      <c r="F94" s="30"/>
    </row>
    <row r="95" spans="1:296" x14ac:dyDescent="0.3">
      <c r="B95" s="126" t="s">
        <v>13</v>
      </c>
      <c r="D95" s="113">
        <v>6292</v>
      </c>
      <c r="E95" s="24"/>
      <c r="F95" s="30"/>
    </row>
    <row r="96" spans="1:296" x14ac:dyDescent="0.3">
      <c r="B96" s="126" t="s">
        <v>13</v>
      </c>
      <c r="D96" s="113">
        <v>6293</v>
      </c>
      <c r="E96" s="24"/>
      <c r="F96" s="30"/>
    </row>
    <row r="97" spans="2:6" x14ac:dyDescent="0.3">
      <c r="B97" s="126" t="s">
        <v>13</v>
      </c>
      <c r="D97" s="113">
        <v>6294</v>
      </c>
      <c r="E97" s="24"/>
      <c r="F97" s="30"/>
    </row>
    <row r="98" spans="2:6" x14ac:dyDescent="0.3">
      <c r="B98" s="126" t="s">
        <v>13</v>
      </c>
      <c r="D98" s="113">
        <v>6295</v>
      </c>
      <c r="E98" s="24"/>
      <c r="F98" s="30"/>
    </row>
    <row r="99" spans="2:6" x14ac:dyDescent="0.3">
      <c r="B99" s="126" t="s">
        <v>13</v>
      </c>
      <c r="D99" s="113">
        <v>6296</v>
      </c>
      <c r="E99" s="24"/>
      <c r="F99" s="30"/>
    </row>
    <row r="100" spans="2:6" x14ac:dyDescent="0.3">
      <c r="B100" s="126" t="s">
        <v>13</v>
      </c>
      <c r="D100" s="113">
        <v>6297</v>
      </c>
      <c r="E100" s="24"/>
      <c r="F100" s="30"/>
    </row>
    <row r="101" spans="2:6" x14ac:dyDescent="0.3">
      <c r="B101" s="126" t="s">
        <v>13</v>
      </c>
      <c r="D101" s="113">
        <v>6298</v>
      </c>
      <c r="E101" s="24"/>
      <c r="F101" s="30"/>
    </row>
    <row r="102" spans="2:6" x14ac:dyDescent="0.3">
      <c r="B102" s="126" t="s">
        <v>13</v>
      </c>
      <c r="D102" s="113">
        <v>6299</v>
      </c>
      <c r="E102" s="24"/>
      <c r="F102" s="30"/>
    </row>
    <row r="103" spans="2:6" x14ac:dyDescent="0.3">
      <c r="B103" s="126" t="s">
        <v>13</v>
      </c>
      <c r="D103" s="113">
        <v>6300</v>
      </c>
      <c r="E103" s="24"/>
      <c r="F103" s="30"/>
    </row>
  </sheetData>
  <mergeCells count="3">
    <mergeCell ref="B49:E49"/>
    <mergeCell ref="F69:H69"/>
    <mergeCell ref="D70:E70"/>
  </mergeCells>
  <pageMargins left="0.70866141732283472" right="0.70866141732283472" top="0.74803149606299213" bottom="0.74803149606299213" header="0.31496062992125984" footer="0.31496062992125984"/>
  <pageSetup paperSize="9" scale="68" fitToHeight="0" orientation="landscape" horizontalDpi="360" verticalDpi="360" r:id="rId1"/>
  <headerFooter>
    <oddFooter>&amp;RSEMANA &amp;A                 &amp;P de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B558-CA1A-4BB5-902C-4A8DA5C26EF6}">
  <sheetPr codeName="Hoja21">
    <pageSetUpPr fitToPage="1"/>
  </sheetPr>
  <dimension ref="A1:J6"/>
  <sheetViews>
    <sheetView workbookViewId="0">
      <selection activeCell="G15" sqref="G15"/>
    </sheetView>
  </sheetViews>
  <sheetFormatPr baseColWidth="10" defaultRowHeight="14.4" x14ac:dyDescent="0.3"/>
  <cols>
    <col min="1" max="1" width="11.88671875" bestFit="1" customWidth="1"/>
    <col min="2" max="2" width="11.88671875" customWidth="1"/>
    <col min="3" max="3" width="22.6640625" customWidth="1"/>
    <col min="4" max="4" width="47.109375" bestFit="1" customWidth="1"/>
    <col min="5" max="5" width="10.5546875" bestFit="1" customWidth="1"/>
    <col min="6" max="6" width="11.88671875" style="139" bestFit="1" customWidth="1"/>
    <col min="7" max="7" width="14.21875" style="139" customWidth="1"/>
    <col min="8" max="8" width="11.5546875" style="139"/>
    <col min="9" max="9" width="12.5546875" style="31" bestFit="1" customWidth="1"/>
  </cols>
  <sheetData>
    <row r="1" spans="1:10" x14ac:dyDescent="0.3">
      <c r="F1" s="138">
        <f>+SUM(F3:F6)</f>
        <v>4827.83</v>
      </c>
      <c r="G1" s="138">
        <f>+SUM(G3:G6)</f>
        <v>-5955.5962682043173</v>
      </c>
      <c r="J1" s="140">
        <f>+F1+G1</f>
        <v>-1127.7662682043174</v>
      </c>
    </row>
    <row r="2" spans="1:10" ht="21" x14ac:dyDescent="0.3">
      <c r="E2" s="3" t="s">
        <v>134</v>
      </c>
      <c r="F2" s="3" t="s">
        <v>135</v>
      </c>
      <c r="G2" s="3" t="s">
        <v>10</v>
      </c>
      <c r="H2" s="3" t="s">
        <v>136</v>
      </c>
      <c r="I2" s="3" t="s">
        <v>129</v>
      </c>
      <c r="J2" s="21" t="s">
        <v>21</v>
      </c>
    </row>
    <row r="3" spans="1:10" s="43" customFormat="1" x14ac:dyDescent="0.3">
      <c r="A3" s="177" t="s">
        <v>98</v>
      </c>
      <c r="B3" s="133">
        <v>96</v>
      </c>
      <c r="C3" s="141" t="str">
        <f>'96'!B2</f>
        <v>SEMANA 96 CALANDRA</v>
      </c>
      <c r="D3" s="142" t="str">
        <f>+'96'!B3</f>
        <v>Lunes 5 ENERO al sábado 10 de ENERO del 2026</v>
      </c>
      <c r="E3" s="143">
        <v>45936</v>
      </c>
      <c r="F3" s="144">
        <f>'96'!E4</f>
        <v>444.5</v>
      </c>
      <c r="G3" s="144">
        <f>'96'!F5</f>
        <v>-1140.085853415156</v>
      </c>
      <c r="H3" s="145">
        <f>'96'!E6</f>
        <v>-695.58585341515595</v>
      </c>
      <c r="I3" s="136">
        <f>SUM(H3:H6)</f>
        <v>-1127.7662682043174</v>
      </c>
      <c r="J3" s="134">
        <f>SUM(H3:H254)</f>
        <v>-1127.7662682043174</v>
      </c>
    </row>
    <row r="4" spans="1:10" s="43" customFormat="1" x14ac:dyDescent="0.3">
      <c r="A4" s="177"/>
      <c r="B4" s="133">
        <v>97</v>
      </c>
      <c r="C4" s="141" t="str">
        <f>'97'!B2</f>
        <v>SEMANA 97 CALANDRA</v>
      </c>
      <c r="D4" s="142" t="str">
        <f>+'97'!B3</f>
        <v>Lunes 12 ENERO al sábado 17 de ENERO del 2026</v>
      </c>
      <c r="E4" s="143">
        <v>45936</v>
      </c>
      <c r="F4" s="144">
        <f>'97'!E4</f>
        <v>3662.41</v>
      </c>
      <c r="G4" s="144">
        <f>'97'!F5</f>
        <v>-2511.5387111506438</v>
      </c>
      <c r="H4" s="145">
        <f>'97'!E6</f>
        <v>1150.871288849356</v>
      </c>
      <c r="I4" s="135"/>
    </row>
    <row r="5" spans="1:10" s="43" customFormat="1" x14ac:dyDescent="0.3">
      <c r="A5" s="177"/>
      <c r="B5" s="148">
        <v>98</v>
      </c>
      <c r="C5" s="141" t="str">
        <f>'98'!B2</f>
        <v>SEMANA 98 CALANDRA</v>
      </c>
      <c r="D5" s="142" t="str">
        <f>+'98'!B3</f>
        <v>Lunes 19 ENERO al sábado 24 de ENERO del 2026</v>
      </c>
      <c r="E5" s="143">
        <v>45936</v>
      </c>
      <c r="F5" s="144">
        <f>'98'!E4</f>
        <v>720.92</v>
      </c>
      <c r="G5" s="144">
        <f>'98'!F5</f>
        <v>-1301.1667316677435</v>
      </c>
      <c r="H5" s="145">
        <f>'98'!E6</f>
        <v>-580.24673166774357</v>
      </c>
      <c r="I5" s="135"/>
    </row>
    <row r="6" spans="1:10" s="43" customFormat="1" ht="12.6" customHeight="1" x14ac:dyDescent="0.3">
      <c r="A6" s="177"/>
      <c r="B6" s="148">
        <v>99</v>
      </c>
      <c r="C6" s="141" t="str">
        <f>'99'!B2</f>
        <v>SEMANA 99 CALANDRA</v>
      </c>
      <c r="D6" s="142" t="str">
        <f>+'99'!B3</f>
        <v>Lunes 26 ENERO al sábado 31 de ENERO del 2026</v>
      </c>
      <c r="E6" s="143">
        <v>45936</v>
      </c>
      <c r="F6" s="144">
        <f>'99'!E4</f>
        <v>0</v>
      </c>
      <c r="G6" s="144">
        <f>'99'!F5</f>
        <v>-1002.804971970774</v>
      </c>
      <c r="H6" s="145">
        <f>'99'!E6</f>
        <v>-1002.804971970774</v>
      </c>
      <c r="I6" s="135"/>
    </row>
  </sheetData>
  <mergeCells count="1">
    <mergeCell ref="A3:A6"/>
  </mergeCells>
  <pageMargins left="0.7" right="0.7" top="0.75" bottom="0.75" header="0.3" footer="0.3"/>
  <pageSetup paperSize="9" scale="64" fitToWidth="0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D886-9250-43A1-9CA8-C3C549FF154B}">
  <sheetPr>
    <pageSetUpPr fitToPage="1"/>
  </sheetPr>
  <dimension ref="A1:H6"/>
  <sheetViews>
    <sheetView workbookViewId="0">
      <selection activeCell="D10" sqref="D10"/>
    </sheetView>
  </sheetViews>
  <sheetFormatPr baseColWidth="10" defaultRowHeight="14.4" x14ac:dyDescent="0.3"/>
  <cols>
    <col min="1" max="1" width="11.88671875" bestFit="1" customWidth="1"/>
    <col min="2" max="2" width="11.88671875" customWidth="1"/>
    <col min="3" max="3" width="22.6640625" customWidth="1"/>
    <col min="4" max="4" width="47.109375" bestFit="1" customWidth="1"/>
    <col min="5" max="5" width="10.5546875" bestFit="1" customWidth="1"/>
    <col min="6" max="6" width="11.88671875" style="139" bestFit="1" customWidth="1"/>
    <col min="7" max="7" width="12.5546875" style="31" bestFit="1" customWidth="1"/>
  </cols>
  <sheetData>
    <row r="1" spans="1:8" ht="31.2" x14ac:dyDescent="0.6">
      <c r="A1" s="172" t="s">
        <v>186</v>
      </c>
      <c r="F1" s="138"/>
      <c r="H1" s="140"/>
    </row>
    <row r="2" spans="1:8" ht="21" x14ac:dyDescent="0.3">
      <c r="E2" s="3" t="s">
        <v>134</v>
      </c>
      <c r="F2" s="3" t="s">
        <v>135</v>
      </c>
      <c r="G2" s="3" t="s">
        <v>129</v>
      </c>
      <c r="H2" s="21" t="s">
        <v>21</v>
      </c>
    </row>
    <row r="3" spans="1:8" s="43" customFormat="1" x14ac:dyDescent="0.3">
      <c r="A3" s="177" t="s">
        <v>98</v>
      </c>
      <c r="B3" s="166">
        <v>96</v>
      </c>
      <c r="C3" s="141" t="str">
        <f>'96'!B2</f>
        <v>SEMANA 96 CALANDRA</v>
      </c>
      <c r="D3" s="142" t="str">
        <f>+'96'!B3</f>
        <v>Lunes 5 ENERO al sábado 10 de ENERO del 2026</v>
      </c>
      <c r="E3" s="143">
        <v>45936</v>
      </c>
      <c r="F3" s="144">
        <f>SUM('96'!C9,'96'!C34,'96'!C37,'96'!C8)</f>
        <v>76.759921117729249</v>
      </c>
      <c r="G3" s="136">
        <f>SUM(F3:F6)</f>
        <v>778.22045431934419</v>
      </c>
      <c r="H3" s="134">
        <f>SUM(F3:F254)</f>
        <v>778.22045431934419</v>
      </c>
    </row>
    <row r="4" spans="1:8" s="43" customFormat="1" x14ac:dyDescent="0.3">
      <c r="A4" s="177"/>
      <c r="B4" s="166">
        <v>97</v>
      </c>
      <c r="C4" s="141" t="str">
        <f>'97'!B2</f>
        <v>SEMANA 97 CALANDRA</v>
      </c>
      <c r="D4" s="142" t="str">
        <f>+'97'!B3</f>
        <v>Lunes 12 ENERO al sábado 17 de ENERO del 2026</v>
      </c>
      <c r="E4" s="143">
        <v>45936</v>
      </c>
      <c r="F4" s="144">
        <f>SUM('97'!C9,'97'!C34,'97'!C37,'97'!C8)</f>
        <v>523.06157502369319</v>
      </c>
      <c r="G4" s="135"/>
    </row>
    <row r="5" spans="1:8" s="43" customFormat="1" x14ac:dyDescent="0.3">
      <c r="A5" s="177"/>
      <c r="B5" s="166">
        <v>98</v>
      </c>
      <c r="C5" s="141" t="str">
        <f>'98'!B2</f>
        <v>SEMANA 98 CALANDRA</v>
      </c>
      <c r="D5" s="142" t="str">
        <f>+'98'!B3</f>
        <v>Lunes 19 ENERO al sábado 24 de ENERO del 2026</v>
      </c>
      <c r="E5" s="143">
        <v>45936</v>
      </c>
      <c r="F5" s="144">
        <f>SUM('98'!C9,'98'!C34,'98'!C37,'98'!C8)</f>
        <v>89.199479088960899</v>
      </c>
      <c r="G5" s="135"/>
    </row>
    <row r="6" spans="1:8" s="43" customFormat="1" ht="12.6" customHeight="1" x14ac:dyDescent="0.3">
      <c r="A6" s="177"/>
      <c r="B6" s="166">
        <v>99</v>
      </c>
      <c r="C6" s="141" t="str">
        <f>'99'!B2</f>
        <v>SEMANA 99 CALANDRA</v>
      </c>
      <c r="D6" s="142" t="str">
        <f>+'99'!B3</f>
        <v>Lunes 26 ENERO al sábado 31 de ENERO del 2026</v>
      </c>
      <c r="E6" s="143">
        <v>45936</v>
      </c>
      <c r="F6" s="144">
        <f>SUM('99'!C9,'99'!C34,'99'!C37,'99'!C8)</f>
        <v>89.199479088960899</v>
      </c>
      <c r="G6" s="135"/>
    </row>
  </sheetData>
  <mergeCells count="1">
    <mergeCell ref="A3:A6"/>
  </mergeCells>
  <pageMargins left="0.7" right="0.7" top="0.75" bottom="0.75" header="0.3" footer="0.3"/>
  <pageSetup paperSize="9" scale="64" fitToWidth="0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9EED-B45A-4A1E-BD66-DC6A51AF97A6}">
  <sheetPr codeName="Hoja22">
    <pageSetUpPr fitToPage="1"/>
  </sheetPr>
  <dimension ref="A1:S24"/>
  <sheetViews>
    <sheetView workbookViewId="0">
      <selection activeCell="E8" sqref="E8"/>
    </sheetView>
  </sheetViews>
  <sheetFormatPr baseColWidth="10" defaultRowHeight="14.4" x14ac:dyDescent="0.3"/>
  <cols>
    <col min="1" max="1" width="2.6640625" style="59" customWidth="1"/>
    <col min="2" max="2" width="11.6640625" style="31" bestFit="1" customWidth="1"/>
    <col min="3" max="3" width="11.44140625" style="31"/>
    <col min="4" max="4" width="7" style="31" customWidth="1"/>
    <col min="5" max="5" width="11.44140625" style="31"/>
    <col min="6" max="6" width="11.44140625" style="3"/>
    <col min="7" max="7" width="2.6640625" style="59" customWidth="1"/>
    <col min="8" max="8" width="23.33203125" style="55" bestFit="1" customWidth="1"/>
    <col min="9" max="9" width="9.5546875" customWidth="1"/>
    <col min="10" max="10" width="2.6640625" style="59" customWidth="1"/>
    <col min="11" max="11" width="27.109375" customWidth="1"/>
    <col min="12" max="12" width="12.5546875" customWidth="1"/>
    <col min="13" max="13" width="2.6640625" style="59" customWidth="1"/>
    <col min="14" max="14" width="25.6640625" bestFit="1" customWidth="1"/>
    <col min="16" max="16" width="2.6640625" style="59" customWidth="1"/>
    <col min="17" max="17" width="25.6640625" bestFit="1" customWidth="1"/>
    <col min="19" max="19" width="2.6640625" style="59" customWidth="1"/>
  </cols>
  <sheetData>
    <row r="1" spans="2:18" ht="21" x14ac:dyDescent="0.3">
      <c r="B1" s="178" t="s">
        <v>26</v>
      </c>
      <c r="C1" s="178"/>
      <c r="D1" s="178"/>
      <c r="E1" s="178"/>
      <c r="F1" s="178"/>
      <c r="H1" s="55" t="s">
        <v>67</v>
      </c>
      <c r="I1" s="46">
        <f>+AVERAGE(C3:C20)</f>
        <v>707</v>
      </c>
      <c r="K1" s="179" t="s">
        <v>112</v>
      </c>
      <c r="L1" s="179"/>
      <c r="N1" s="179" t="s">
        <v>73</v>
      </c>
      <c r="O1" s="179"/>
      <c r="Q1" s="179" t="s">
        <v>90</v>
      </c>
      <c r="R1" s="179"/>
    </row>
    <row r="2" spans="2:18" x14ac:dyDescent="0.3">
      <c r="B2" s="3" t="s">
        <v>139</v>
      </c>
      <c r="C2" s="93" t="s">
        <v>55</v>
      </c>
      <c r="D2" s="3" t="s">
        <v>18</v>
      </c>
      <c r="E2" s="3" t="s">
        <v>14</v>
      </c>
      <c r="F2" s="3" t="s">
        <v>11</v>
      </c>
      <c r="H2" s="54" t="s">
        <v>70</v>
      </c>
      <c r="I2" s="52">
        <f>+L11</f>
        <v>606.71</v>
      </c>
      <c r="K2" t="s">
        <v>56</v>
      </c>
      <c r="L2" s="49">
        <v>475</v>
      </c>
      <c r="N2" t="s">
        <v>56</v>
      </c>
      <c r="O2" s="49">
        <v>600</v>
      </c>
      <c r="Q2" t="s">
        <v>56</v>
      </c>
      <c r="R2" s="49">
        <v>700</v>
      </c>
    </row>
    <row r="3" spans="2:18" x14ac:dyDescent="0.3">
      <c r="B3" s="31" t="s">
        <v>98</v>
      </c>
      <c r="C3" s="31">
        <v>707</v>
      </c>
      <c r="D3" s="31">
        <v>5</v>
      </c>
      <c r="E3" s="31">
        <v>54</v>
      </c>
      <c r="F3" s="33">
        <f>SUM(C3:E3)</f>
        <v>766</v>
      </c>
      <c r="H3" s="56" t="s">
        <v>71</v>
      </c>
      <c r="I3" s="53">
        <f>+I2/I1</f>
        <v>0.85814710042432818</v>
      </c>
      <c r="K3" t="s">
        <v>63</v>
      </c>
      <c r="L3" s="47">
        <f>ROUND(L2*11.15%,2)</f>
        <v>52.96</v>
      </c>
      <c r="N3" t="s">
        <v>63</v>
      </c>
      <c r="O3" s="47">
        <f>ROUND(O2*11.15%,2)</f>
        <v>66.900000000000006</v>
      </c>
      <c r="Q3" t="s">
        <v>63</v>
      </c>
      <c r="R3" s="47">
        <f>ROUND(R2*11.15%,2)</f>
        <v>78.05</v>
      </c>
    </row>
    <row r="4" spans="2:18" x14ac:dyDescent="0.3">
      <c r="B4" s="31" t="s">
        <v>99</v>
      </c>
      <c r="F4" s="33"/>
      <c r="K4" s="2" t="s">
        <v>57</v>
      </c>
      <c r="L4" s="50">
        <f>+L2+L3</f>
        <v>527.96</v>
      </c>
      <c r="N4" s="2" t="s">
        <v>57</v>
      </c>
      <c r="O4" s="50">
        <f>+O2+O3</f>
        <v>666.9</v>
      </c>
      <c r="Q4" s="2" t="s">
        <v>57</v>
      </c>
      <c r="R4" s="50">
        <f>+R2+R3</f>
        <v>778.05</v>
      </c>
    </row>
    <row r="5" spans="2:18" x14ac:dyDescent="0.3">
      <c r="B5" s="31" t="s">
        <v>100</v>
      </c>
      <c r="F5" s="33"/>
      <c r="H5" s="55" t="s">
        <v>67</v>
      </c>
      <c r="I5" s="46">
        <f>+I1</f>
        <v>707</v>
      </c>
      <c r="K5" s="2"/>
      <c r="L5" s="50"/>
      <c r="N5" s="2"/>
      <c r="O5" s="50"/>
      <c r="Q5" s="2"/>
      <c r="R5" s="50"/>
    </row>
    <row r="6" spans="2:18" x14ac:dyDescent="0.3">
      <c r="B6" s="31" t="s">
        <v>101</v>
      </c>
      <c r="F6" s="33"/>
      <c r="H6" s="54" t="s">
        <v>72</v>
      </c>
      <c r="I6" s="52">
        <f>+L11</f>
        <v>606.71</v>
      </c>
      <c r="K6" s="2" t="s">
        <v>58</v>
      </c>
      <c r="L6" s="48">
        <f>+L4*12</f>
        <v>6335.52</v>
      </c>
      <c r="N6" s="2" t="s">
        <v>58</v>
      </c>
      <c r="O6" s="48">
        <f>+O4*12</f>
        <v>8002.7999999999993</v>
      </c>
      <c r="Q6" s="2" t="s">
        <v>58</v>
      </c>
      <c r="R6" s="48">
        <f>+R4*12</f>
        <v>9336.5999999999985</v>
      </c>
    </row>
    <row r="7" spans="2:18" x14ac:dyDescent="0.3">
      <c r="B7" s="31" t="s">
        <v>25</v>
      </c>
      <c r="F7" s="33"/>
      <c r="H7" s="56" t="s">
        <v>71</v>
      </c>
      <c r="I7" s="53">
        <f>+I6/I5</f>
        <v>0.85814710042432818</v>
      </c>
      <c r="K7" t="s">
        <v>65</v>
      </c>
      <c r="L7" s="20">
        <f>+L2</f>
        <v>475</v>
      </c>
      <c r="N7" t="s">
        <v>65</v>
      </c>
      <c r="O7" s="20">
        <f>+O2</f>
        <v>600</v>
      </c>
      <c r="Q7" t="s">
        <v>65</v>
      </c>
      <c r="R7" s="20">
        <f>+R2</f>
        <v>700</v>
      </c>
    </row>
    <row r="8" spans="2:18" x14ac:dyDescent="0.3">
      <c r="B8" s="31" t="s">
        <v>23</v>
      </c>
      <c r="F8" s="33"/>
      <c r="K8" s="2" t="s">
        <v>66</v>
      </c>
      <c r="L8" s="47">
        <v>470</v>
      </c>
      <c r="N8" s="2" t="s">
        <v>66</v>
      </c>
      <c r="O8" s="47">
        <v>470</v>
      </c>
      <c r="Q8" s="2" t="s">
        <v>66</v>
      </c>
      <c r="R8" s="47">
        <v>470</v>
      </c>
    </row>
    <row r="9" spans="2:18" x14ac:dyDescent="0.3">
      <c r="B9" s="31" t="s">
        <v>27</v>
      </c>
      <c r="H9" s="55" t="s">
        <v>67</v>
      </c>
      <c r="I9" s="46">
        <f>+I5</f>
        <v>707</v>
      </c>
    </row>
    <row r="10" spans="2:18" x14ac:dyDescent="0.3">
      <c r="B10" s="31" t="s">
        <v>39</v>
      </c>
      <c r="H10" s="54" t="s">
        <v>111</v>
      </c>
      <c r="I10" s="52">
        <f>+L11</f>
        <v>606.71</v>
      </c>
      <c r="K10" s="2" t="s">
        <v>59</v>
      </c>
      <c r="L10" s="50">
        <f>+L6+L7+L8</f>
        <v>7280.52</v>
      </c>
      <c r="N10" s="2" t="s">
        <v>59</v>
      </c>
      <c r="O10" s="50">
        <f>+O6+O7+O8</f>
        <v>9072.7999999999993</v>
      </c>
      <c r="Q10" s="2" t="s">
        <v>59</v>
      </c>
      <c r="R10" s="50">
        <f>+R6+R7+R8</f>
        <v>10506.599999999999</v>
      </c>
    </row>
    <row r="11" spans="2:18" x14ac:dyDescent="0.3">
      <c r="B11" s="31" t="s">
        <v>54</v>
      </c>
      <c r="H11" s="56" t="s">
        <v>71</v>
      </c>
      <c r="I11" s="53">
        <f>+I10/I9</f>
        <v>0.85814710042432818</v>
      </c>
      <c r="K11" s="51" t="s">
        <v>60</v>
      </c>
      <c r="L11" s="52">
        <f>+L10/12</f>
        <v>606.71</v>
      </c>
      <c r="N11" s="51" t="s">
        <v>60</v>
      </c>
      <c r="O11" s="52">
        <f>+O10/12</f>
        <v>756.06666666666661</v>
      </c>
      <c r="Q11" s="51" t="s">
        <v>60</v>
      </c>
      <c r="R11" s="52">
        <f>+R10/12</f>
        <v>875.54999999999984</v>
      </c>
    </row>
    <row r="12" spans="2:18" x14ac:dyDescent="0.3">
      <c r="B12" s="31" t="s">
        <v>91</v>
      </c>
      <c r="K12" t="s">
        <v>61</v>
      </c>
      <c r="L12" s="74">
        <f>+L11/24</f>
        <v>25.279583333333335</v>
      </c>
      <c r="N12" t="s">
        <v>61</v>
      </c>
      <c r="O12" s="74">
        <f>+O11/24</f>
        <v>31.502777777777776</v>
      </c>
      <c r="Q12" t="s">
        <v>61</v>
      </c>
      <c r="R12" s="74">
        <f>+R11/24</f>
        <v>36.481249999999996</v>
      </c>
    </row>
    <row r="13" spans="2:18" x14ac:dyDescent="0.3">
      <c r="B13" s="31" t="s">
        <v>92</v>
      </c>
      <c r="H13" s="55" t="s">
        <v>67</v>
      </c>
      <c r="I13" s="46">
        <f>+I5</f>
        <v>707</v>
      </c>
    </row>
    <row r="14" spans="2:18" x14ac:dyDescent="0.3">
      <c r="B14" s="31" t="s">
        <v>93</v>
      </c>
      <c r="H14" s="54" t="s">
        <v>110</v>
      </c>
      <c r="I14" s="52">
        <f>+O11</f>
        <v>756.06666666666661</v>
      </c>
      <c r="K14" t="s">
        <v>75</v>
      </c>
      <c r="L14">
        <f>+L2*9.45%</f>
        <v>44.887499999999996</v>
      </c>
      <c r="N14" t="s">
        <v>62</v>
      </c>
      <c r="O14">
        <f>+O2*9.45%</f>
        <v>56.699999999999989</v>
      </c>
      <c r="Q14" t="s">
        <v>62</v>
      </c>
      <c r="R14">
        <f>+R2*9.45%</f>
        <v>66.149999999999991</v>
      </c>
    </row>
    <row r="15" spans="2:18" x14ac:dyDescent="0.3">
      <c r="H15" s="56" t="s">
        <v>71</v>
      </c>
      <c r="I15" s="53">
        <f>+I14/I13</f>
        <v>1.0694012258368693</v>
      </c>
      <c r="K15" t="s">
        <v>64</v>
      </c>
      <c r="L15" s="20">
        <f>+L11-L14</f>
        <v>561.82249999999999</v>
      </c>
      <c r="N15" t="s">
        <v>64</v>
      </c>
      <c r="O15" s="20">
        <f>+O11-O14</f>
        <v>699.36666666666656</v>
      </c>
      <c r="Q15" t="s">
        <v>64</v>
      </c>
      <c r="R15" s="20">
        <f>+R11-R14</f>
        <v>809.39999999999986</v>
      </c>
    </row>
    <row r="16" spans="2:18" x14ac:dyDescent="0.3">
      <c r="K16" t="s">
        <v>68</v>
      </c>
      <c r="L16" s="47">
        <f>+L11/(8*24)</f>
        <v>3.1599479166666669</v>
      </c>
      <c r="N16" t="s">
        <v>68</v>
      </c>
      <c r="O16" s="47">
        <f>+O11/(8*24)</f>
        <v>3.9378472222222221</v>
      </c>
      <c r="Q16" t="s">
        <v>68</v>
      </c>
      <c r="R16" s="47">
        <f>+R11/(8*24)</f>
        <v>4.5601562499999995</v>
      </c>
    </row>
    <row r="17" spans="8:18" x14ac:dyDescent="0.3">
      <c r="H17" s="55" t="s">
        <v>67</v>
      </c>
      <c r="I17" s="46">
        <f>+I9</f>
        <v>707</v>
      </c>
      <c r="K17" t="s">
        <v>69</v>
      </c>
      <c r="L17" s="47">
        <f>+L2/(8*24)</f>
        <v>2.4739583333333335</v>
      </c>
      <c r="O17" s="47"/>
      <c r="R17" s="47"/>
    </row>
    <row r="18" spans="8:18" x14ac:dyDescent="0.3">
      <c r="H18" s="54" t="s">
        <v>113</v>
      </c>
      <c r="I18" s="52">
        <f>+R11</f>
        <v>875.54999999999984</v>
      </c>
    </row>
    <row r="19" spans="8:18" x14ac:dyDescent="0.3">
      <c r="H19" s="56" t="s">
        <v>71</v>
      </c>
      <c r="I19" s="53">
        <f>+I18/I17</f>
        <v>1.2384016973125882</v>
      </c>
    </row>
    <row r="20" spans="8:18" x14ac:dyDescent="0.3">
      <c r="H20" s="55" t="s">
        <v>40</v>
      </c>
      <c r="L20" s="20">
        <f>+L2-L14</f>
        <v>430.11250000000001</v>
      </c>
    </row>
    <row r="21" spans="8:18" x14ac:dyDescent="0.3">
      <c r="H21" s="57" t="s">
        <v>74</v>
      </c>
      <c r="I21" s="58">
        <f>ROUND(+I19+I15+I11+I7+I3,2)</f>
        <v>4.88</v>
      </c>
    </row>
    <row r="23" spans="8:18" x14ac:dyDescent="0.3">
      <c r="L23">
        <f>+L7/12</f>
        <v>39.583333333333336</v>
      </c>
    </row>
    <row r="24" spans="8:18" x14ac:dyDescent="0.3">
      <c r="L24">
        <f>+L23*4</f>
        <v>158.33333333333334</v>
      </c>
    </row>
  </sheetData>
  <mergeCells count="4">
    <mergeCell ref="B1:F1"/>
    <mergeCell ref="K1:L1"/>
    <mergeCell ref="N1:O1"/>
    <mergeCell ref="Q1:R1"/>
  </mergeCells>
  <pageMargins left="0.7" right="0.7" top="0.75" bottom="0.75" header="0.3" footer="0.3"/>
  <pageSetup paperSize="9" scale="61" fitToHeight="0" orientation="landscape" horizontalDpi="360" verticalDpi="36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F331E-D568-4357-BB16-F24A40D7F554}">
  <sheetPr codeName="Hoja23"/>
  <dimension ref="A1:AL17"/>
  <sheetViews>
    <sheetView workbookViewId="0">
      <pane xSplit="3" ySplit="2" topLeftCell="T3" activePane="bottomRight" state="frozenSplit"/>
      <selection pane="topRight" activeCell="F1" sqref="F1"/>
      <selection pane="bottomLeft" activeCell="A14" sqref="A14"/>
      <selection pane="bottomRight" activeCell="AA14" sqref="AA14"/>
    </sheetView>
  </sheetViews>
  <sheetFormatPr baseColWidth="10" defaultRowHeight="14.4" x14ac:dyDescent="0.3"/>
  <cols>
    <col min="1" max="1" width="7.33203125" customWidth="1"/>
    <col min="2" max="2" width="13.109375" customWidth="1"/>
    <col min="3" max="3" width="2.6640625" style="59" customWidth="1"/>
    <col min="4" max="4" width="10.6640625" customWidth="1"/>
    <col min="5" max="5" width="3.88671875" customWidth="1"/>
    <col min="6" max="6" width="14.5546875" bestFit="1" customWidth="1"/>
    <col min="7" max="7" width="10" customWidth="1"/>
    <col min="8" max="8" width="2.6640625" style="59" customWidth="1"/>
    <col min="9" max="9" width="10.6640625" customWidth="1"/>
    <col min="10" max="10" width="3.88671875" customWidth="1"/>
    <col min="11" max="11" width="14.5546875" bestFit="1" customWidth="1"/>
    <col min="12" max="12" width="10" customWidth="1"/>
    <col min="13" max="13" width="2.6640625" style="59" customWidth="1"/>
    <col min="14" max="14" width="10.6640625" customWidth="1"/>
    <col min="15" max="15" width="3.88671875" customWidth="1"/>
    <col min="16" max="16" width="14.5546875" bestFit="1" customWidth="1"/>
    <col min="17" max="17" width="10" customWidth="1"/>
    <col min="18" max="18" width="2.6640625" style="59" customWidth="1"/>
    <col min="19" max="19" width="10.6640625" customWidth="1"/>
    <col min="20" max="20" width="3.88671875" customWidth="1"/>
    <col min="21" max="21" width="14.5546875" bestFit="1" customWidth="1"/>
    <col min="22" max="22" width="10" customWidth="1"/>
    <col min="23" max="23" width="2.6640625" style="59" customWidth="1"/>
    <col min="24" max="24" width="10.6640625" customWidth="1"/>
    <col min="25" max="25" width="3.88671875" customWidth="1"/>
    <col min="26" max="26" width="14.5546875" bestFit="1" customWidth="1"/>
    <col min="27" max="27" width="10" customWidth="1"/>
    <col min="28" max="28" width="2.6640625" style="59" customWidth="1"/>
    <col min="29" max="29" width="10.6640625" customWidth="1"/>
    <col min="30" max="30" width="3.88671875" customWidth="1"/>
    <col min="31" max="31" width="14.5546875" bestFit="1" customWidth="1"/>
    <col min="32" max="32" width="10" customWidth="1"/>
    <col min="33" max="33" width="2.6640625" style="59" customWidth="1"/>
    <col min="34" max="34" width="10.6640625" customWidth="1"/>
    <col min="35" max="35" width="3.88671875" customWidth="1"/>
    <col min="36" max="36" width="14.5546875" bestFit="1" customWidth="1"/>
    <col min="37" max="37" width="10" customWidth="1"/>
    <col min="38" max="38" width="2.6640625" style="59" customWidth="1"/>
  </cols>
  <sheetData>
    <row r="1" spans="1:37" ht="21" x14ac:dyDescent="0.4">
      <c r="B1" s="62">
        <f>+STDEVA(B3:B16)</f>
        <v>6.2595218749578491E-2</v>
      </c>
      <c r="D1" s="180">
        <v>1</v>
      </c>
      <c r="E1" s="180"/>
      <c r="F1" s="180"/>
      <c r="G1" s="180"/>
      <c r="I1" s="180">
        <f>+D1+1</f>
        <v>2</v>
      </c>
      <c r="J1" s="180"/>
      <c r="K1" s="180"/>
      <c r="L1" s="180"/>
      <c r="N1" s="180">
        <f>+I1+1</f>
        <v>3</v>
      </c>
      <c r="O1" s="180"/>
      <c r="P1" s="180"/>
      <c r="Q1" s="180"/>
      <c r="S1" s="180">
        <f>+N1+1</f>
        <v>4</v>
      </c>
      <c r="T1" s="180"/>
      <c r="U1" s="180"/>
      <c r="V1" s="180"/>
      <c r="X1" s="180">
        <f>+S1+1</f>
        <v>5</v>
      </c>
      <c r="Y1" s="180"/>
      <c r="Z1" s="180"/>
      <c r="AA1" s="180"/>
      <c r="AC1" s="180">
        <f>+X1+1</f>
        <v>6</v>
      </c>
      <c r="AD1" s="180"/>
      <c r="AE1" s="180"/>
      <c r="AF1" s="180"/>
      <c r="AH1" s="180">
        <f>+AC1+1</f>
        <v>7</v>
      </c>
      <c r="AI1" s="180"/>
      <c r="AJ1" s="180"/>
      <c r="AK1" s="180"/>
    </row>
    <row r="2" spans="1:37" x14ac:dyDescent="0.3">
      <c r="B2" s="2" t="s">
        <v>82</v>
      </c>
      <c r="D2" s="2">
        <f>+SUM(D4:D19)</f>
        <v>76.39</v>
      </c>
      <c r="F2" t="s">
        <v>77</v>
      </c>
      <c r="G2">
        <v>24.52</v>
      </c>
      <c r="I2" s="2">
        <f>+SUM(I4:I19)</f>
        <v>84.029999999999987</v>
      </c>
      <c r="K2" t="s">
        <v>77</v>
      </c>
      <c r="L2">
        <v>24.56</v>
      </c>
      <c r="N2" s="2">
        <f>+SUM(N4:N19)</f>
        <v>86.95</v>
      </c>
      <c r="P2" t="s">
        <v>77</v>
      </c>
      <c r="Q2">
        <v>24.48</v>
      </c>
      <c r="S2" s="2">
        <f>+SUM(S4:S19)</f>
        <v>86.02</v>
      </c>
      <c r="U2" t="s">
        <v>77</v>
      </c>
      <c r="V2">
        <v>23.86</v>
      </c>
      <c r="X2" s="2">
        <f>+SUM(X4:X19)</f>
        <v>88.4</v>
      </c>
      <c r="Z2" t="s">
        <v>77</v>
      </c>
      <c r="AA2">
        <v>24.5</v>
      </c>
      <c r="AC2" s="2">
        <f>+SUM(AC4:AC19)</f>
        <v>95.55</v>
      </c>
      <c r="AE2" t="s">
        <v>77</v>
      </c>
      <c r="AF2">
        <v>26</v>
      </c>
      <c r="AH2" s="2">
        <f>+SUM(AH4:AH19)</f>
        <v>90.97</v>
      </c>
      <c r="AJ2" t="s">
        <v>77</v>
      </c>
      <c r="AK2">
        <v>25.9</v>
      </c>
    </row>
    <row r="3" spans="1:37" ht="30.75" customHeight="1" x14ac:dyDescent="0.3">
      <c r="A3" s="64" t="s">
        <v>83</v>
      </c>
      <c r="B3" s="65">
        <f>+G8</f>
        <v>0.21974080377012681</v>
      </c>
      <c r="D3" s="63" t="s">
        <v>76</v>
      </c>
      <c r="F3" t="s">
        <v>78</v>
      </c>
      <c r="G3">
        <v>3.8</v>
      </c>
      <c r="I3" s="63" t="s">
        <v>76</v>
      </c>
      <c r="K3" t="s">
        <v>78</v>
      </c>
      <c r="L3">
        <v>3.8</v>
      </c>
      <c r="N3" s="63" t="s">
        <v>76</v>
      </c>
      <c r="P3" t="s">
        <v>78</v>
      </c>
      <c r="Q3">
        <v>3.8</v>
      </c>
      <c r="S3" s="63" t="s">
        <v>76</v>
      </c>
      <c r="U3" t="s">
        <v>78</v>
      </c>
      <c r="V3">
        <v>3.8</v>
      </c>
      <c r="X3" s="63" t="s">
        <v>76</v>
      </c>
      <c r="Z3" t="s">
        <v>78</v>
      </c>
      <c r="AA3">
        <v>3.8</v>
      </c>
      <c r="AC3" s="63" t="s">
        <v>76</v>
      </c>
      <c r="AE3" t="s">
        <v>78</v>
      </c>
      <c r="AF3">
        <v>3.8</v>
      </c>
      <c r="AH3" s="63" t="s">
        <v>76</v>
      </c>
      <c r="AJ3" t="s">
        <v>78</v>
      </c>
      <c r="AK3">
        <v>3.8</v>
      </c>
    </row>
    <row r="4" spans="1:37" x14ac:dyDescent="0.3">
      <c r="A4" s="64" t="s">
        <v>84</v>
      </c>
      <c r="B4" s="65">
        <f>+L8</f>
        <v>0.11065095799119366</v>
      </c>
      <c r="D4">
        <v>16.940000000000001</v>
      </c>
      <c r="I4">
        <v>45.45</v>
      </c>
      <c r="N4">
        <v>88.76</v>
      </c>
      <c r="S4">
        <v>21.84</v>
      </c>
      <c r="X4">
        <v>46.3</v>
      </c>
      <c r="AC4">
        <v>32.049999999999997</v>
      </c>
      <c r="AH4">
        <v>90.97</v>
      </c>
    </row>
    <row r="5" spans="1:37" x14ac:dyDescent="0.3">
      <c r="A5" s="64" t="s">
        <v>85</v>
      </c>
      <c r="B5" s="65">
        <f>+Q8</f>
        <v>6.9856239217941318E-2</v>
      </c>
      <c r="D5">
        <v>34.1</v>
      </c>
      <c r="F5" s="46" t="s">
        <v>79</v>
      </c>
      <c r="G5" s="46">
        <f>+G2*G3</f>
        <v>93.175999999999988</v>
      </c>
      <c r="I5">
        <v>11.37</v>
      </c>
      <c r="K5" s="46" t="s">
        <v>79</v>
      </c>
      <c r="L5" s="46">
        <f>+L2*L3</f>
        <v>93.327999999999989</v>
      </c>
      <c r="N5">
        <v>-1.81</v>
      </c>
      <c r="P5" s="46" t="s">
        <v>79</v>
      </c>
      <c r="Q5" s="46">
        <f>+Q2*Q3</f>
        <v>93.024000000000001</v>
      </c>
      <c r="S5">
        <v>1.75</v>
      </c>
      <c r="U5" s="46" t="s">
        <v>79</v>
      </c>
      <c r="V5" s="46">
        <f>+V2*V3</f>
        <v>90.667999999999992</v>
      </c>
      <c r="X5">
        <v>13.8</v>
      </c>
      <c r="Z5" s="46" t="s">
        <v>79</v>
      </c>
      <c r="AA5" s="46">
        <f>+AA2*AA3</f>
        <v>93.1</v>
      </c>
      <c r="AC5">
        <v>31</v>
      </c>
      <c r="AE5" s="46" t="s">
        <v>79</v>
      </c>
      <c r="AF5" s="46">
        <f>+AF2*AF3</f>
        <v>98.8</v>
      </c>
      <c r="AJ5" s="46" t="s">
        <v>79</v>
      </c>
      <c r="AK5" s="46">
        <f>+AK2*AK3</f>
        <v>98.419999999999987</v>
      </c>
    </row>
    <row r="6" spans="1:37" x14ac:dyDescent="0.3">
      <c r="A6" s="64" t="s">
        <v>86</v>
      </c>
      <c r="B6" s="65">
        <f>+V8</f>
        <v>5.4033945594047852E-2</v>
      </c>
      <c r="D6">
        <v>21.33</v>
      </c>
      <c r="I6">
        <v>27.03</v>
      </c>
      <c r="S6">
        <v>59.71</v>
      </c>
      <c r="X6">
        <v>9.2100000000000009</v>
      </c>
      <c r="AC6">
        <v>2.5</v>
      </c>
    </row>
    <row r="7" spans="1:37" x14ac:dyDescent="0.3">
      <c r="A7" s="64" t="s">
        <v>87</v>
      </c>
      <c r="B7" s="65">
        <f>+AA8</f>
        <v>5.3167420814479505E-2</v>
      </c>
      <c r="D7">
        <v>-0.83</v>
      </c>
      <c r="F7" t="s">
        <v>80</v>
      </c>
      <c r="G7">
        <f>+G5-D2</f>
        <v>16.785999999999987</v>
      </c>
      <c r="I7">
        <v>5.12</v>
      </c>
      <c r="K7" t="s">
        <v>80</v>
      </c>
      <c r="L7">
        <f>+L5-I2</f>
        <v>9.2980000000000018</v>
      </c>
      <c r="P7" t="s">
        <v>80</v>
      </c>
      <c r="Q7">
        <f>+Q5-N2</f>
        <v>6.0739999999999981</v>
      </c>
      <c r="S7">
        <v>2.72</v>
      </c>
      <c r="U7" t="s">
        <v>80</v>
      </c>
      <c r="V7">
        <f>+V5-S2</f>
        <v>4.6479999999999961</v>
      </c>
      <c r="X7">
        <v>25.41</v>
      </c>
      <c r="Z7" t="s">
        <v>80</v>
      </c>
      <c r="AA7">
        <f>+AA5-X2</f>
        <v>4.6999999999999886</v>
      </c>
      <c r="AC7">
        <v>13</v>
      </c>
      <c r="AE7" t="s">
        <v>80</v>
      </c>
      <c r="AF7">
        <f>+AF5-AC2</f>
        <v>3.25</v>
      </c>
      <c r="AJ7" t="s">
        <v>80</v>
      </c>
      <c r="AK7">
        <f>+AK5-AH2</f>
        <v>7.4499999999999886</v>
      </c>
    </row>
    <row r="8" spans="1:37" x14ac:dyDescent="0.3">
      <c r="A8" s="64" t="s">
        <v>88</v>
      </c>
      <c r="B8" s="65">
        <f>+AF8</f>
        <v>3.4013605442176874E-2</v>
      </c>
      <c r="D8">
        <v>-0.65</v>
      </c>
      <c r="F8" s="60" t="s">
        <v>81</v>
      </c>
      <c r="G8" s="61">
        <f>IFERROR(+G7/D2,"")</f>
        <v>0.21974080377012681</v>
      </c>
      <c r="I8">
        <v>-0.43</v>
      </c>
      <c r="K8" s="60" t="s">
        <v>81</v>
      </c>
      <c r="L8" s="61">
        <f>IFERROR(+L7/I2,"")</f>
        <v>0.11065095799119366</v>
      </c>
      <c r="P8" s="60" t="s">
        <v>81</v>
      </c>
      <c r="Q8" s="61">
        <f>IFERROR(+Q7/N2,"")</f>
        <v>6.9856239217941318E-2</v>
      </c>
      <c r="U8" s="60" t="s">
        <v>81</v>
      </c>
      <c r="V8" s="61">
        <f>IFERROR(+V7/S2,"")</f>
        <v>5.4033945594047852E-2</v>
      </c>
      <c r="X8">
        <v>-1.6</v>
      </c>
      <c r="Z8" s="60" t="s">
        <v>81</v>
      </c>
      <c r="AA8" s="61">
        <f>IFERROR(+AA7/X2,"")</f>
        <v>5.3167420814479505E-2</v>
      </c>
      <c r="AC8">
        <v>17</v>
      </c>
      <c r="AE8" s="60" t="s">
        <v>81</v>
      </c>
      <c r="AF8" s="61">
        <f>IFERROR(+AF7/AC2,"")</f>
        <v>3.4013605442176874E-2</v>
      </c>
      <c r="AJ8" s="60" t="s">
        <v>81</v>
      </c>
      <c r="AK8" s="61">
        <f>IFERROR(+AK7/AH2,"")</f>
        <v>8.1895130262723853E-2</v>
      </c>
    </row>
    <row r="9" spans="1:37" x14ac:dyDescent="0.3">
      <c r="A9" s="64" t="s">
        <v>89</v>
      </c>
      <c r="B9" s="65">
        <f>+AK8</f>
        <v>8.1895130262723853E-2</v>
      </c>
      <c r="D9">
        <v>-0.82</v>
      </c>
      <c r="I9">
        <v>-1.44</v>
      </c>
      <c r="X9">
        <v>-4.72</v>
      </c>
    </row>
    <row r="10" spans="1:37" x14ac:dyDescent="0.3">
      <c r="A10" s="64"/>
      <c r="B10" s="64"/>
      <c r="D10">
        <v>1.6</v>
      </c>
      <c r="I10">
        <v>-0.26</v>
      </c>
    </row>
    <row r="11" spans="1:37" x14ac:dyDescent="0.3">
      <c r="A11" s="64"/>
      <c r="B11" s="65"/>
      <c r="D11">
        <v>4.72</v>
      </c>
      <c r="I11">
        <v>-1.84</v>
      </c>
    </row>
    <row r="12" spans="1:37" x14ac:dyDescent="0.3">
      <c r="A12" s="64"/>
      <c r="B12" s="66"/>
      <c r="I12">
        <v>-0.64</v>
      </c>
    </row>
    <row r="13" spans="1:37" x14ac:dyDescent="0.3">
      <c r="A13" s="64"/>
      <c r="B13" s="64"/>
      <c r="I13">
        <v>-0.33</v>
      </c>
    </row>
    <row r="14" spans="1:37" x14ac:dyDescent="0.3">
      <c r="A14" s="64"/>
      <c r="B14" s="64"/>
    </row>
    <row r="15" spans="1:37" x14ac:dyDescent="0.3">
      <c r="A15" s="64"/>
      <c r="B15" s="64"/>
    </row>
    <row r="16" spans="1:37" x14ac:dyDescent="0.3">
      <c r="A16" s="64"/>
      <c r="B16" s="64"/>
    </row>
    <row r="17" spans="1:2" x14ac:dyDescent="0.3">
      <c r="A17" s="64"/>
      <c r="B17" s="64"/>
    </row>
  </sheetData>
  <mergeCells count="7">
    <mergeCell ref="AH1:AK1"/>
    <mergeCell ref="D1:G1"/>
    <mergeCell ref="I1:L1"/>
    <mergeCell ref="N1:Q1"/>
    <mergeCell ref="S1:V1"/>
    <mergeCell ref="X1:AA1"/>
    <mergeCell ref="AC1:AF1"/>
  </mergeCells>
  <phoneticPr fontId="19" type="noConversion"/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C7F6-EB4C-4F7C-8FFF-D1E31B44ABD4}">
  <sheetPr codeName="Hoja24"/>
  <dimension ref="A1:L18"/>
  <sheetViews>
    <sheetView workbookViewId="0">
      <selection activeCell="H17" sqref="H17"/>
    </sheetView>
  </sheetViews>
  <sheetFormatPr baseColWidth="10" defaultRowHeight="14.4" x14ac:dyDescent="0.3"/>
  <cols>
    <col min="1" max="1" width="31.6640625" bestFit="1" customWidth="1"/>
    <col min="2" max="2" width="7.5546875" style="31" bestFit="1" customWidth="1"/>
    <col min="3" max="3" width="7.5546875" style="35" customWidth="1"/>
    <col min="4" max="4" width="7.5546875" style="31" bestFit="1" customWidth="1"/>
    <col min="5" max="5" width="7.5546875" style="35" customWidth="1"/>
    <col min="6" max="6" width="11.44140625" style="31"/>
  </cols>
  <sheetData>
    <row r="1" spans="1:12" ht="51.75" customHeight="1" x14ac:dyDescent="0.3">
      <c r="A1" s="181" t="s">
        <v>28</v>
      </c>
      <c r="B1" s="181"/>
      <c r="C1" s="181"/>
      <c r="D1" s="181"/>
      <c r="E1" s="181"/>
      <c r="F1" s="181"/>
    </row>
    <row r="2" spans="1:12" ht="28.8" x14ac:dyDescent="0.3">
      <c r="A2" s="32" t="s">
        <v>29</v>
      </c>
      <c r="B2" s="32" t="s">
        <v>30</v>
      </c>
      <c r="C2" s="34" t="s">
        <v>38</v>
      </c>
      <c r="D2" s="32" t="s">
        <v>31</v>
      </c>
      <c r="E2" s="34" t="s">
        <v>38</v>
      </c>
      <c r="F2" s="32" t="s">
        <v>32</v>
      </c>
    </row>
    <row r="3" spans="1:12" x14ac:dyDescent="0.3">
      <c r="A3" s="28" t="s">
        <v>33</v>
      </c>
      <c r="B3" s="36">
        <v>56.09</v>
      </c>
      <c r="C3" s="37">
        <f t="shared" ref="C3:C12" si="0">+B3*1.6</f>
        <v>89.744000000000014</v>
      </c>
      <c r="D3" s="36">
        <v>49.09</v>
      </c>
      <c r="E3" s="37">
        <f t="shared" ref="E3:E8" si="1">+D3*1.7</f>
        <v>83.453000000000003</v>
      </c>
      <c r="F3" s="38">
        <f t="shared" ref="F3:F12" si="2">+B3+D3</f>
        <v>105.18</v>
      </c>
      <c r="H3">
        <f>20/100</f>
        <v>0.2</v>
      </c>
      <c r="L3">
        <f>1.8*100</f>
        <v>180</v>
      </c>
    </row>
    <row r="4" spans="1:12" x14ac:dyDescent="0.3">
      <c r="A4" s="28" t="s">
        <v>34</v>
      </c>
      <c r="B4" s="36">
        <v>45.39</v>
      </c>
      <c r="C4" s="37">
        <f t="shared" si="0"/>
        <v>72.624000000000009</v>
      </c>
      <c r="D4" s="36">
        <v>72.540000000000006</v>
      </c>
      <c r="E4" s="37">
        <f t="shared" si="1"/>
        <v>123.31800000000001</v>
      </c>
      <c r="F4" s="38">
        <f t="shared" si="2"/>
        <v>117.93</v>
      </c>
      <c r="L4">
        <v>20</v>
      </c>
    </row>
    <row r="5" spans="1:12" x14ac:dyDescent="0.3">
      <c r="A5" s="28" t="s">
        <v>35</v>
      </c>
      <c r="B5" s="36">
        <v>0</v>
      </c>
      <c r="C5" s="37">
        <f t="shared" si="0"/>
        <v>0</v>
      </c>
      <c r="D5" s="36">
        <v>60</v>
      </c>
      <c r="E5" s="37">
        <f t="shared" si="1"/>
        <v>102</v>
      </c>
      <c r="F5" s="38">
        <f t="shared" si="2"/>
        <v>60</v>
      </c>
      <c r="J5" s="5">
        <f>SUM(C3:C7)</f>
        <v>269.88800000000003</v>
      </c>
    </row>
    <row r="6" spans="1:12" x14ac:dyDescent="0.3">
      <c r="A6" s="28" t="s">
        <v>36</v>
      </c>
      <c r="B6" s="36">
        <v>9.3800000000000008</v>
      </c>
      <c r="C6" s="37">
        <f t="shared" si="0"/>
        <v>15.008000000000003</v>
      </c>
      <c r="D6" s="36">
        <v>55.89</v>
      </c>
      <c r="E6" s="37">
        <f t="shared" si="1"/>
        <v>95.013000000000005</v>
      </c>
      <c r="F6" s="38">
        <f t="shared" si="2"/>
        <v>65.27</v>
      </c>
      <c r="H6">
        <f>5*20</f>
        <v>100</v>
      </c>
      <c r="J6" s="5">
        <f>SUM(E3:E7)</f>
        <v>485.29899999999998</v>
      </c>
      <c r="L6">
        <f>+L4/L3</f>
        <v>0.1111111111111111</v>
      </c>
    </row>
    <row r="7" spans="1:12" x14ac:dyDescent="0.3">
      <c r="A7" s="28" t="s">
        <v>37</v>
      </c>
      <c r="B7" s="36">
        <v>57.82</v>
      </c>
      <c r="C7" s="37">
        <f t="shared" si="0"/>
        <v>92.512</v>
      </c>
      <c r="D7" s="36">
        <v>47.95</v>
      </c>
      <c r="E7" s="37">
        <f t="shared" si="1"/>
        <v>81.515000000000001</v>
      </c>
      <c r="F7" s="38">
        <f t="shared" si="2"/>
        <v>105.77000000000001</v>
      </c>
      <c r="H7">
        <f>SUM(F3:F7)</f>
        <v>454.15</v>
      </c>
      <c r="J7" s="5">
        <f>SUM(J5:J6)</f>
        <v>755.18700000000001</v>
      </c>
    </row>
    <row r="8" spans="1:12" x14ac:dyDescent="0.3">
      <c r="A8" t="s">
        <v>43</v>
      </c>
      <c r="B8" s="31">
        <v>72.22</v>
      </c>
      <c r="C8" s="41">
        <f t="shared" si="0"/>
        <v>115.55200000000001</v>
      </c>
      <c r="D8" s="31">
        <v>12.16</v>
      </c>
      <c r="E8" s="41">
        <f t="shared" si="1"/>
        <v>20.672000000000001</v>
      </c>
      <c r="F8" s="42">
        <f t="shared" si="2"/>
        <v>84.38</v>
      </c>
      <c r="J8" s="5">
        <f>+H6/J7</f>
        <v>0.13241753367046838</v>
      </c>
    </row>
    <row r="9" spans="1:12" x14ac:dyDescent="0.3">
      <c r="A9" t="s">
        <v>45</v>
      </c>
      <c r="B9" s="31">
        <v>93.8</v>
      </c>
      <c r="C9" s="41">
        <f t="shared" si="0"/>
        <v>150.08000000000001</v>
      </c>
      <c r="D9" s="31">
        <v>37.340000000000003</v>
      </c>
      <c r="E9" s="41">
        <f>+D9*1.8</f>
        <v>67.212000000000003</v>
      </c>
      <c r="F9" s="42">
        <f t="shared" si="2"/>
        <v>131.13999999999999</v>
      </c>
    </row>
    <row r="10" spans="1:12" x14ac:dyDescent="0.3">
      <c r="A10" t="s">
        <v>44</v>
      </c>
      <c r="B10" s="31">
        <v>34.35</v>
      </c>
      <c r="C10" s="41">
        <f t="shared" si="0"/>
        <v>54.960000000000008</v>
      </c>
      <c r="D10" s="31">
        <v>9.6999999999999993</v>
      </c>
      <c r="E10" s="41">
        <f>+D10*1.8</f>
        <v>17.46</v>
      </c>
      <c r="F10" s="42">
        <f t="shared" si="2"/>
        <v>44.05</v>
      </c>
    </row>
    <row r="11" spans="1:12" x14ac:dyDescent="0.3">
      <c r="A11" t="s">
        <v>46</v>
      </c>
      <c r="B11" s="31">
        <v>2.35</v>
      </c>
      <c r="C11" s="41">
        <f t="shared" si="0"/>
        <v>3.7600000000000002</v>
      </c>
      <c r="D11" s="31">
        <v>68.849999999999994</v>
      </c>
      <c r="E11" s="41">
        <f>+D11*1.8</f>
        <v>123.92999999999999</v>
      </c>
      <c r="F11" s="42">
        <f t="shared" si="2"/>
        <v>71.199999999999989</v>
      </c>
    </row>
    <row r="12" spans="1:12" x14ac:dyDescent="0.3">
      <c r="A12" t="s">
        <v>53</v>
      </c>
      <c r="C12" s="41">
        <f t="shared" si="0"/>
        <v>0</v>
      </c>
      <c r="D12" s="31">
        <v>107.35</v>
      </c>
      <c r="E12" s="41">
        <f t="shared" ref="E12" si="3">+D12*1.8</f>
        <v>193.23</v>
      </c>
      <c r="F12" s="42">
        <f t="shared" si="2"/>
        <v>107.35</v>
      </c>
    </row>
    <row r="13" spans="1:12" x14ac:dyDescent="0.3">
      <c r="A13" s="43" t="s">
        <v>47</v>
      </c>
      <c r="B13" s="44"/>
      <c r="C13" s="45"/>
      <c r="D13" s="44"/>
      <c r="E13" s="45"/>
      <c r="F13" s="44"/>
    </row>
    <row r="14" spans="1:12" x14ac:dyDescent="0.3">
      <c r="A14" s="43" t="s">
        <v>48</v>
      </c>
      <c r="B14" s="44"/>
      <c r="C14" s="45"/>
      <c r="D14" s="44"/>
      <c r="E14" s="45"/>
      <c r="F14" s="44"/>
    </row>
    <row r="15" spans="1:12" x14ac:dyDescent="0.3">
      <c r="A15" s="43" t="s">
        <v>49</v>
      </c>
      <c r="B15" s="44"/>
      <c r="C15" s="45"/>
      <c r="D15" s="44"/>
      <c r="E15" s="45"/>
      <c r="F15" s="44"/>
    </row>
    <row r="16" spans="1:12" x14ac:dyDescent="0.3">
      <c r="A16" s="43" t="s">
        <v>50</v>
      </c>
      <c r="B16" s="44"/>
      <c r="C16" s="45"/>
      <c r="D16" s="44"/>
      <c r="E16" s="45"/>
      <c r="F16" s="44"/>
    </row>
    <row r="17" spans="1:6" x14ac:dyDescent="0.3">
      <c r="A17" s="43" t="s">
        <v>51</v>
      </c>
      <c r="B17" s="44"/>
      <c r="C17" s="45"/>
      <c r="D17" s="44"/>
      <c r="E17" s="45"/>
      <c r="F17" s="44"/>
    </row>
    <row r="18" spans="1:6" x14ac:dyDescent="0.3">
      <c r="A18" s="43" t="s">
        <v>52</v>
      </c>
      <c r="B18" s="44"/>
      <c r="C18" s="45"/>
      <c r="D18" s="44"/>
      <c r="E18" s="45"/>
      <c r="F18" s="44"/>
    </row>
  </sheetData>
  <mergeCells count="1">
    <mergeCell ref="A1:F1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96</vt:lpstr>
      <vt:lpstr>97</vt:lpstr>
      <vt:lpstr>98</vt:lpstr>
      <vt:lpstr>99</vt:lpstr>
      <vt:lpstr>MENSUAL</vt:lpstr>
      <vt:lpstr>TELAS</vt:lpstr>
      <vt:lpstr>DIS. PRENDAS</vt:lpstr>
      <vt:lpstr>DESPERDICIO</vt:lpstr>
      <vt:lpstr>IMPRE. m</vt:lpstr>
      <vt:lpstr>'96'!Área_de_impresión</vt:lpstr>
      <vt:lpstr>'97'!Área_de_impresión</vt:lpstr>
      <vt:lpstr>'98'!Área_de_impresión</vt:lpstr>
      <vt:lpstr>'99'!Área_de_impresión</vt:lpstr>
      <vt:lpstr>'96'!Títulos_a_imprimir</vt:lpstr>
      <vt:lpstr>'97'!Títulos_a_imprimir</vt:lpstr>
      <vt:lpstr>'98'!Títulos_a_imprimir</vt:lpstr>
      <vt:lpstr>'99'!Títulos_a_imprimir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Yunga</dc:creator>
  <cp:lastModifiedBy>Patty Jimenez</cp:lastModifiedBy>
  <cp:lastPrinted>2026-01-24T18:34:13Z</cp:lastPrinted>
  <dcterms:created xsi:type="dcterms:W3CDTF">2024-06-05T14:05:28Z</dcterms:created>
  <dcterms:modified xsi:type="dcterms:W3CDTF">2026-01-31T17:21:11Z</dcterms:modified>
</cp:coreProperties>
</file>