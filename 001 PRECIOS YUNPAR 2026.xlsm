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26\APUs 2026\"/>
    </mc:Choice>
  </mc:AlternateContent>
  <xr:revisionPtr revIDLastSave="0" documentId="13_ncr:1_{F990BFA3-43D7-4546-8BAD-2A0DB226D2CA}" xr6:coauthVersionLast="47" xr6:coauthVersionMax="47" xr10:uidLastSave="{00000000-0000-0000-0000-000000000000}"/>
  <bookViews>
    <workbookView xWindow="-108" yWindow="-108" windowWidth="23256" windowHeight="13896" tabRatio="767" xr2:uid="{C270F3DB-F72F-42DE-8CF1-9EB21F1941F3}"/>
  </bookViews>
  <sheets>
    <sheet name="PRECIO" sheetId="1" r:id="rId1"/>
    <sheet name="CAMI DEPOR" sheetId="8" r:id="rId2"/>
    <sheet name="CAMI PERSO" sheetId="9" r:id="rId3"/>
    <sheet name="PANTALONETAS" sheetId="16" r:id="rId4"/>
    <sheet name="UNIF ECO" sheetId="13" r:id="rId5"/>
    <sheet name="UNIF ESTANDARD" sheetId="14" r:id="rId6"/>
    <sheet name="UNIF PREMIUN" sheetId="15" r:id="rId7"/>
    <sheet name="UNIF BUZO ECO" sheetId="25" r:id="rId8"/>
    <sheet name="UNIF BUZO ESTANDARD" sheetId="26" r:id="rId9"/>
    <sheet name="UNIF BUZO PREMIUN" sheetId="27" r:id="rId10"/>
    <sheet name="BUZO DEPOR SUBLI" sheetId="28" r:id="rId11"/>
    <sheet name="CAMI POLO" sheetId="21" r:id="rId12"/>
    <sheet name="BUZO POLO" sheetId="24" r:id="rId13"/>
    <sheet name="BUZO DEPOR TORTUGA SUBLI" sheetId="29" r:id="rId14"/>
    <sheet name="CHALECOS" sheetId="19" r:id="rId15"/>
    <sheet name="CHOMPAS &amp; CALENTADORES" sheetId="30" r:id="rId16"/>
    <sheet name="CONJUNTO EXTERIOR" sheetId="20" r:id="rId17"/>
    <sheet name="VARIOS" sheetId="17" r:id="rId18"/>
  </sheets>
  <functionGroups builtInGroupCount="19"/>
  <externalReferences>
    <externalReference r:id="rId19"/>
  </externalReferences>
  <definedNames>
    <definedName name="_xlnm._FilterDatabase" localSheetId="0" hidden="1">PRECIO!$A$2:$O$511</definedName>
    <definedName name="_xlnm.Print_Area" localSheetId="13">'BUZO DEPOR TORTUGA SUBLI'!$A$1:$E$11</definedName>
    <definedName name="_xlnm.Print_Area" localSheetId="12">'BUZO POLO'!$A$1:$E$36</definedName>
    <definedName name="_xlnm.Print_Area" localSheetId="1">'CAMI DEPOR'!$A$2:$E$43</definedName>
    <definedName name="_xlnm.Print_Area" localSheetId="2">'CAMI PERSO'!$A$1:$E$89</definedName>
    <definedName name="_xlnm.Print_Area" localSheetId="11">'CAMI POLO'!$A$1:$E$62</definedName>
    <definedName name="_xlnm.Print_Area" localSheetId="14">CHALECOS!$A$2:$E$48</definedName>
    <definedName name="_xlnm.Print_Area" localSheetId="15">'CHOMPAS &amp; CALENTADORES'!$A$17:$E$53</definedName>
    <definedName name="_xlnm.Print_Area" localSheetId="16">'CONJUNTO EXTERIOR'!$A$1:$E$30</definedName>
    <definedName name="_xlnm.Print_Area" localSheetId="3">PANTALONETAS!$A$1:$E$47</definedName>
    <definedName name="_xlnm.Print_Area" localSheetId="0">PRECIO!$A$1:$E$167</definedName>
    <definedName name="_xlnm.Print_Area" localSheetId="7">'UNIF BUZO ECO'!$A$1:$E$28</definedName>
    <definedName name="_xlnm.Print_Area" localSheetId="8">'UNIF BUZO ESTANDARD'!$A$1:$E$22</definedName>
    <definedName name="_xlnm.Print_Area" localSheetId="9">'UNIF BUZO PREMIUN'!$A$1:$E$30</definedName>
    <definedName name="_xlnm.Print_Area" localSheetId="4">'UNIF ECO'!$A$1:$E$30</definedName>
    <definedName name="_xlnm.Print_Area" localSheetId="5">'UNIF ESTANDARD'!$A$1:$E$30</definedName>
    <definedName name="_xlnm.Print_Area" localSheetId="6">'UNIF PREMIUN'!$A$1:$E$32</definedName>
    <definedName name="_xlnm.Print_Area" localSheetId="17">VARIOS!$A$1:$E$14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506" i="1" l="1"/>
  <c r="R507" i="1"/>
  <c r="R508" i="1"/>
  <c r="R509" i="1"/>
  <c r="R510" i="1"/>
  <c r="R511" i="1"/>
  <c r="D180" i="1" l="1"/>
  <c r="C180" i="1" s="1"/>
  <c r="E199" i="1"/>
  <c r="E200" i="1" s="1"/>
  <c r="E201" i="1" s="1"/>
  <c r="E202" i="1" s="1"/>
  <c r="E203" i="1" s="1"/>
  <c r="E204" i="1" s="1"/>
  <c r="E205" i="1" s="1"/>
  <c r="E192" i="1"/>
  <c r="E424" i="1"/>
  <c r="E168" i="1" s="1"/>
  <c r="I18" i="25"/>
  <c r="I13" i="25"/>
  <c r="I3" i="25"/>
  <c r="I8" i="25"/>
  <c r="E241" i="1"/>
  <c r="D511" i="1"/>
  <c r="C511" i="1" s="1"/>
  <c r="D510" i="1"/>
  <c r="C510" i="1" s="1"/>
  <c r="D509" i="1"/>
  <c r="C509" i="1" s="1"/>
  <c r="F53" i="8"/>
  <c r="B53" i="8"/>
  <c r="C53" i="8"/>
  <c r="D53" i="8"/>
  <c r="E53" i="8"/>
  <c r="A53" i="8"/>
  <c r="E496" i="1"/>
  <c r="D496" i="1" s="1"/>
  <c r="C496" i="1" s="1"/>
  <c r="D4" i="1"/>
  <c r="A2" i="30" l="1"/>
  <c r="B2" i="30"/>
  <c r="C2" i="30"/>
  <c r="F2" i="30"/>
  <c r="F77" i="21"/>
  <c r="B77" i="21"/>
  <c r="C77" i="21"/>
  <c r="D77" i="21"/>
  <c r="E77" i="21"/>
  <c r="A77" i="21"/>
  <c r="E484" i="1"/>
  <c r="E485" i="1" s="1"/>
  <c r="D485" i="1" s="1"/>
  <c r="C485" i="1" s="1"/>
  <c r="D483" i="1"/>
  <c r="C483" i="1" s="1"/>
  <c r="E482" i="1"/>
  <c r="D482" i="1" s="1"/>
  <c r="C482" i="1" s="1"/>
  <c r="E479" i="1"/>
  <c r="D479" i="1" s="1"/>
  <c r="C479" i="1" s="1"/>
  <c r="F64" i="21"/>
  <c r="C64" i="21"/>
  <c r="D64" i="21"/>
  <c r="E64" i="21"/>
  <c r="B64" i="21"/>
  <c r="A64" i="21"/>
  <c r="E468" i="1"/>
  <c r="D468" i="1" s="1"/>
  <c r="C468" i="1" s="1"/>
  <c r="D484" i="1" l="1"/>
  <c r="C484" i="1" s="1"/>
  <c r="E486" i="1"/>
  <c r="E481" i="1"/>
  <c r="E478" i="1"/>
  <c r="A3" i="19"/>
  <c r="B3" i="19"/>
  <c r="C3" i="19"/>
  <c r="D3" i="19"/>
  <c r="E3" i="19"/>
  <c r="F3" i="19"/>
  <c r="D213" i="1"/>
  <c r="C213" i="1" s="1"/>
  <c r="E460" i="1"/>
  <c r="E461" i="1" s="1"/>
  <c r="F18" i="30"/>
  <c r="C18" i="30"/>
  <c r="B18" i="30"/>
  <c r="A18" i="30"/>
  <c r="E451" i="1"/>
  <c r="E442" i="1" s="1"/>
  <c r="F33" i="19"/>
  <c r="B33" i="19"/>
  <c r="C33" i="19"/>
  <c r="D33" i="19"/>
  <c r="E33" i="19"/>
  <c r="A33" i="19"/>
  <c r="F2" i="29"/>
  <c r="E2" i="29"/>
  <c r="D2" i="29"/>
  <c r="C2" i="29"/>
  <c r="B2" i="29"/>
  <c r="A2" i="29"/>
  <c r="F30" i="28"/>
  <c r="E30" i="28"/>
  <c r="D30" i="28"/>
  <c r="C30" i="28"/>
  <c r="B30" i="28"/>
  <c r="A30" i="28"/>
  <c r="F16" i="28"/>
  <c r="E16" i="28"/>
  <c r="D16" i="28"/>
  <c r="C16" i="28"/>
  <c r="B16" i="28"/>
  <c r="A16" i="28"/>
  <c r="F2" i="28"/>
  <c r="E2" i="28"/>
  <c r="D2" i="28"/>
  <c r="C2" i="28"/>
  <c r="B2" i="28"/>
  <c r="A2" i="28"/>
  <c r="E21" i="1"/>
  <c r="E295" i="1"/>
  <c r="E206" i="1"/>
  <c r="E171" i="1" s="1"/>
  <c r="D481" i="1" l="1"/>
  <c r="C481" i="1" s="1"/>
  <c r="E480" i="1"/>
  <c r="D480" i="1" s="1"/>
  <c r="C480" i="1" s="1"/>
  <c r="D486" i="1"/>
  <c r="C486" i="1" s="1"/>
  <c r="E487" i="1"/>
  <c r="E477" i="1"/>
  <c r="D477" i="1" s="1"/>
  <c r="C477" i="1" s="1"/>
  <c r="D478" i="1"/>
  <c r="C478" i="1" s="1"/>
  <c r="D451" i="1"/>
  <c r="C451" i="1" s="1"/>
  <c r="E452" i="1"/>
  <c r="E453" i="1" s="1"/>
  <c r="D453" i="1" s="1"/>
  <c r="C453" i="1" s="1"/>
  <c r="D461" i="1"/>
  <c r="C461" i="1" s="1"/>
  <c r="E462" i="1"/>
  <c r="E443" i="1"/>
  <c r="D442" i="1"/>
  <c r="C442" i="1" s="1"/>
  <c r="D460" i="1"/>
  <c r="C460" i="1" s="1"/>
  <c r="F2" i="27"/>
  <c r="E2" i="27"/>
  <c r="D2" i="27"/>
  <c r="C2" i="27"/>
  <c r="B2" i="27"/>
  <c r="A2" i="27"/>
  <c r="R3" i="1"/>
  <c r="E426" i="1"/>
  <c r="E20" i="1" s="1"/>
  <c r="E8" i="1" s="1"/>
  <c r="D487" i="1" l="1"/>
  <c r="C487" i="1" s="1"/>
  <c r="E488" i="1"/>
  <c r="D452" i="1"/>
  <c r="C452" i="1" s="1"/>
  <c r="E454" i="1"/>
  <c r="E455" i="1" s="1"/>
  <c r="D443" i="1"/>
  <c r="C443" i="1" s="1"/>
  <c r="E444" i="1"/>
  <c r="E463" i="1"/>
  <c r="D462" i="1"/>
  <c r="C462" i="1" s="1"/>
  <c r="F2" i="26"/>
  <c r="E2" i="26"/>
  <c r="D2" i="26"/>
  <c r="C2" i="26"/>
  <c r="B2" i="26"/>
  <c r="A2" i="26"/>
  <c r="E193" i="1"/>
  <c r="D488" i="1" l="1"/>
  <c r="C488" i="1" s="1"/>
  <c r="E489" i="1"/>
  <c r="D454" i="1"/>
  <c r="C454" i="1" s="1"/>
  <c r="E464" i="1"/>
  <c r="D463" i="1"/>
  <c r="C463" i="1" s="1"/>
  <c r="E445" i="1"/>
  <c r="D444" i="1"/>
  <c r="C444" i="1" s="1"/>
  <c r="D455" i="1"/>
  <c r="C455" i="1" s="1"/>
  <c r="E456" i="1"/>
  <c r="E194" i="1"/>
  <c r="E425" i="1"/>
  <c r="F2" i="25"/>
  <c r="E2" i="25"/>
  <c r="D2" i="25"/>
  <c r="C2" i="25"/>
  <c r="B2" i="25"/>
  <c r="A2" i="25"/>
  <c r="E427" i="1"/>
  <c r="A14" i="24"/>
  <c r="B14" i="24"/>
  <c r="C14" i="24"/>
  <c r="D14" i="24"/>
  <c r="E14" i="24"/>
  <c r="F14" i="24"/>
  <c r="A27" i="24"/>
  <c r="B27" i="24"/>
  <c r="C27" i="24"/>
  <c r="D27" i="24"/>
  <c r="E27" i="24"/>
  <c r="F27" i="24"/>
  <c r="F2" i="24"/>
  <c r="E2" i="24"/>
  <c r="D2" i="24"/>
  <c r="C2" i="24"/>
  <c r="B2" i="24"/>
  <c r="A2" i="24"/>
  <c r="F50" i="21"/>
  <c r="B50" i="21"/>
  <c r="C50" i="21"/>
  <c r="D50" i="21"/>
  <c r="E50" i="21"/>
  <c r="A50" i="21"/>
  <c r="F31" i="21"/>
  <c r="B31" i="21"/>
  <c r="C31" i="21"/>
  <c r="D31" i="21"/>
  <c r="E31" i="21"/>
  <c r="A31" i="21"/>
  <c r="E19" i="1" l="1"/>
  <c r="E7" i="1" s="1"/>
  <c r="E437" i="1" s="1"/>
  <c r="E169" i="1"/>
  <c r="E490" i="1"/>
  <c r="D489" i="1"/>
  <c r="C489" i="1" s="1"/>
  <c r="D456" i="1"/>
  <c r="C456" i="1" s="1"/>
  <c r="D445" i="1"/>
  <c r="C445" i="1" s="1"/>
  <c r="E446" i="1"/>
  <c r="D464" i="1"/>
  <c r="C464" i="1" s="1"/>
  <c r="E465" i="1"/>
  <c r="E457" i="1"/>
  <c r="E195" i="1"/>
  <c r="E196" i="1" s="1"/>
  <c r="F2" i="21"/>
  <c r="B2" i="21"/>
  <c r="C2" i="21"/>
  <c r="D2" i="21"/>
  <c r="E2" i="21"/>
  <c r="A2" i="21"/>
  <c r="E440" i="1" l="1"/>
  <c r="E492" i="1"/>
  <c r="E491" i="1"/>
  <c r="D490" i="1"/>
  <c r="C490" i="1" s="1"/>
  <c r="D457" i="1"/>
  <c r="C457" i="1" s="1"/>
  <c r="D465" i="1"/>
  <c r="C465" i="1" s="1"/>
  <c r="E466" i="1"/>
  <c r="D446" i="1"/>
  <c r="C446" i="1" s="1"/>
  <c r="E447" i="1"/>
  <c r="E458" i="1"/>
  <c r="E197" i="1"/>
  <c r="D491" i="1" l="1"/>
  <c r="C491" i="1" s="1"/>
  <c r="D458" i="1"/>
  <c r="C458" i="1" s="1"/>
  <c r="D447" i="1"/>
  <c r="C447" i="1" s="1"/>
  <c r="E448" i="1"/>
  <c r="E467" i="1"/>
  <c r="D467" i="1" s="1"/>
  <c r="C467" i="1" s="1"/>
  <c r="D466" i="1"/>
  <c r="C466" i="1" s="1"/>
  <c r="E459" i="1"/>
  <c r="D459" i="1" s="1"/>
  <c r="C459" i="1" s="1"/>
  <c r="E198" i="1"/>
  <c r="D492" i="1" l="1"/>
  <c r="C492" i="1" s="1"/>
  <c r="E493" i="1"/>
  <c r="D448" i="1"/>
  <c r="C448" i="1" s="1"/>
  <c r="E449" i="1"/>
  <c r="E494" i="1" l="1"/>
  <c r="D494" i="1" s="1"/>
  <c r="C494" i="1" s="1"/>
  <c r="D493" i="1"/>
  <c r="C493" i="1" s="1"/>
  <c r="D449" i="1"/>
  <c r="C449" i="1" s="1"/>
  <c r="E450" i="1"/>
  <c r="D450" i="1" s="1"/>
  <c r="C450" i="1" s="1"/>
  <c r="F17" i="21" l="1"/>
  <c r="E17" i="21"/>
  <c r="D17" i="21"/>
  <c r="C17" i="21"/>
  <c r="B17" i="21"/>
  <c r="A17" i="21"/>
  <c r="F10" i="17"/>
  <c r="B10" i="17"/>
  <c r="A10" i="17"/>
  <c r="F17" i="19"/>
  <c r="E17" i="19"/>
  <c r="D17" i="19"/>
  <c r="C17" i="19"/>
  <c r="B17" i="19"/>
  <c r="A17" i="19"/>
  <c r="F2" i="20"/>
  <c r="B2" i="20"/>
  <c r="A2" i="20"/>
  <c r="E4" i="17"/>
  <c r="D4" i="17"/>
  <c r="C4" i="17"/>
  <c r="B4" i="17"/>
  <c r="F2" i="17" l="1"/>
  <c r="C2" i="17"/>
  <c r="B2" i="17"/>
  <c r="A2" i="17"/>
  <c r="F2" i="16"/>
  <c r="E2" i="16"/>
  <c r="D2" i="16"/>
  <c r="C2" i="16"/>
  <c r="B2" i="16"/>
  <c r="A2" i="16"/>
  <c r="D426" i="1"/>
  <c r="C426" i="1" s="1"/>
  <c r="F2" i="15"/>
  <c r="E2" i="15"/>
  <c r="D2" i="15"/>
  <c r="C2" i="15"/>
  <c r="B2" i="15"/>
  <c r="A2" i="15"/>
  <c r="C10" i="17"/>
  <c r="F2" i="14" l="1"/>
  <c r="E2" i="14"/>
  <c r="D2" i="14"/>
  <c r="C2" i="14"/>
  <c r="B2" i="14"/>
  <c r="A2" i="14"/>
  <c r="E12" i="1"/>
  <c r="F2" i="13" l="1"/>
  <c r="E2" i="13"/>
  <c r="D2" i="13"/>
  <c r="C2" i="13"/>
  <c r="B2" i="13"/>
  <c r="A2" i="13"/>
  <c r="F11" i="9"/>
  <c r="B11" i="9"/>
  <c r="C11" i="9"/>
  <c r="D11" i="9"/>
  <c r="E11" i="9"/>
  <c r="A11" i="9"/>
  <c r="F77" i="9" l="1"/>
  <c r="E77" i="9"/>
  <c r="D77" i="9"/>
  <c r="C77" i="9"/>
  <c r="B77" i="9"/>
  <c r="A77" i="9"/>
  <c r="F63" i="9"/>
  <c r="B63" i="9"/>
  <c r="C63" i="9"/>
  <c r="A63" i="9"/>
  <c r="F49" i="9"/>
  <c r="B49" i="9"/>
  <c r="C49" i="9"/>
  <c r="A49" i="9"/>
  <c r="F29" i="9"/>
  <c r="C29" i="9"/>
  <c r="B29" i="9"/>
  <c r="A29" i="9"/>
  <c r="F15" i="9"/>
  <c r="B15" i="9"/>
  <c r="C15" i="9"/>
  <c r="A15" i="9"/>
  <c r="F3" i="9"/>
  <c r="C3" i="9"/>
  <c r="B3" i="9"/>
  <c r="A3" i="9"/>
  <c r="F31" i="8"/>
  <c r="E31" i="8"/>
  <c r="D31" i="8"/>
  <c r="C31" i="8"/>
  <c r="B31" i="8"/>
  <c r="A31" i="8"/>
  <c r="F17" i="8"/>
  <c r="B17" i="8"/>
  <c r="C17" i="8"/>
  <c r="D17" i="8"/>
  <c r="E17" i="8"/>
  <c r="A17" i="8"/>
  <c r="C3" i="8"/>
  <c r="D3" i="8"/>
  <c r="E3" i="8"/>
  <c r="F3" i="8"/>
  <c r="B3" i="8"/>
  <c r="A3" i="8"/>
  <c r="E25" i="1"/>
  <c r="E13" i="1" s="1"/>
  <c r="D12" i="1"/>
  <c r="C12" i="1" s="1"/>
  <c r="D24" i="1"/>
  <c r="E24" i="1"/>
  <c r="C84" i="1"/>
  <c r="E102" i="1"/>
  <c r="E103" i="1" s="1"/>
  <c r="E104" i="1" s="1"/>
  <c r="E94" i="1"/>
  <c r="D94" i="1" s="1"/>
  <c r="C94" i="1" s="1"/>
  <c r="D93" i="1"/>
  <c r="C93" i="1" s="1"/>
  <c r="E85" i="1"/>
  <c r="E218" i="1"/>
  <c r="E219" i="1" s="1"/>
  <c r="E225" i="1"/>
  <c r="A4" i="1"/>
  <c r="C216" i="1"/>
  <c r="E216" i="1"/>
  <c r="C324" i="1"/>
  <c r="E324" i="1"/>
  <c r="C325" i="1"/>
  <c r="E325" i="1"/>
  <c r="C326" i="1"/>
  <c r="E326" i="1"/>
  <c r="E303" i="1"/>
  <c r="E301" i="1"/>
  <c r="E9" i="1"/>
  <c r="D239" i="1"/>
  <c r="C239" i="1" s="1"/>
  <c r="D167" i="1"/>
  <c r="C167" i="1" s="1"/>
  <c r="E66" i="1"/>
  <c r="E120" i="1" s="1"/>
  <c r="D120" i="1" s="1"/>
  <c r="C120" i="1" s="1"/>
  <c r="E316" i="1"/>
  <c r="E345" i="1"/>
  <c r="E346" i="1" s="1"/>
  <c r="E347" i="1" s="1"/>
  <c r="E348" i="1" s="1"/>
  <c r="E349" i="1" s="1"/>
  <c r="E350" i="1" s="1"/>
  <c r="E351" i="1" s="1"/>
  <c r="E352" i="1" s="1"/>
  <c r="D352" i="1" s="1"/>
  <c r="C352" i="1" s="1"/>
  <c r="E327" i="1"/>
  <c r="D327" i="1" s="1"/>
  <c r="C327" i="1" s="1"/>
  <c r="D138" i="1"/>
  <c r="C138" i="1" s="1"/>
  <c r="E148" i="1"/>
  <c r="D148" i="1" s="1"/>
  <c r="E111" i="1"/>
  <c r="D111" i="1" s="1"/>
  <c r="D316" i="1" l="1"/>
  <c r="C316" i="1" s="1"/>
  <c r="R4" i="1"/>
  <c r="D225" i="1"/>
  <c r="C225" i="1" s="1"/>
  <c r="E5" i="17"/>
  <c r="D5" i="17"/>
  <c r="B5" i="17"/>
  <c r="A5" i="1"/>
  <c r="E26" i="1"/>
  <c r="C24" i="1"/>
  <c r="D102" i="1"/>
  <c r="C102" i="1" s="1"/>
  <c r="E413" i="1"/>
  <c r="E414" i="1" s="1"/>
  <c r="E415" i="1" s="1"/>
  <c r="E105" i="1"/>
  <c r="D105" i="1" s="1"/>
  <c r="C105" i="1" s="1"/>
  <c r="D104" i="1"/>
  <c r="C104" i="1" s="1"/>
  <c r="D103" i="1"/>
  <c r="C103" i="1" s="1"/>
  <c r="E95" i="1"/>
  <c r="D95" i="1" s="1"/>
  <c r="C95" i="1" s="1"/>
  <c r="E336" i="1"/>
  <c r="E337" i="1" s="1"/>
  <c r="E338" i="1" s="1"/>
  <c r="E339" i="1" s="1"/>
  <c r="E340" i="1" s="1"/>
  <c r="E341" i="1" s="1"/>
  <c r="E342" i="1" s="1"/>
  <c r="E328" i="1"/>
  <c r="E329" i="1" s="1"/>
  <c r="E330" i="1" s="1"/>
  <c r="E331" i="1" s="1"/>
  <c r="E332" i="1" s="1"/>
  <c r="E333" i="1" s="1"/>
  <c r="E334" i="1" s="1"/>
  <c r="E335" i="1" s="1"/>
  <c r="D219" i="1"/>
  <c r="C219" i="1" s="1"/>
  <c r="E220" i="1"/>
  <c r="E221" i="1" s="1"/>
  <c r="D221" i="1" s="1"/>
  <c r="C221" i="1" s="1"/>
  <c r="D218" i="1"/>
  <c r="C218" i="1" s="1"/>
  <c r="E314" i="1"/>
  <c r="E313" i="1"/>
  <c r="E226" i="1"/>
  <c r="D345" i="1"/>
  <c r="C345" i="1" s="1"/>
  <c r="D346" i="1"/>
  <c r="C346" i="1" s="1"/>
  <c r="D347" i="1"/>
  <c r="C347" i="1" s="1"/>
  <c r="D348" i="1"/>
  <c r="C348" i="1" s="1"/>
  <c r="D349" i="1"/>
  <c r="C349" i="1" s="1"/>
  <c r="D350" i="1"/>
  <c r="C350" i="1" s="1"/>
  <c r="D351" i="1"/>
  <c r="C351" i="1" s="1"/>
  <c r="E75" i="1"/>
  <c r="E380" i="1" s="1"/>
  <c r="E317" i="1"/>
  <c r="D317" i="1" s="1"/>
  <c r="C317" i="1" s="1"/>
  <c r="E157" i="1"/>
  <c r="E403" i="1" l="1"/>
  <c r="E353" i="1"/>
  <c r="E129" i="1"/>
  <c r="E315" i="1" s="1"/>
  <c r="E29" i="1" s="1"/>
  <c r="E500" i="1"/>
  <c r="D500" i="1" s="1"/>
  <c r="F6" i="17"/>
  <c r="R5" i="1"/>
  <c r="D427" i="1"/>
  <c r="C427" i="1" s="1"/>
  <c r="E428" i="1"/>
  <c r="B6" i="17"/>
  <c r="E6" i="17"/>
  <c r="A6" i="1"/>
  <c r="D413" i="1"/>
  <c r="C413" i="1" s="1"/>
  <c r="D414" i="1"/>
  <c r="C414" i="1" s="1"/>
  <c r="E96" i="1"/>
  <c r="D96" i="1" s="1"/>
  <c r="C96" i="1" s="1"/>
  <c r="E106" i="1"/>
  <c r="E107" i="1" s="1"/>
  <c r="D415" i="1"/>
  <c r="C415" i="1" s="1"/>
  <c r="E416" i="1"/>
  <c r="D341" i="1"/>
  <c r="C341" i="1" s="1"/>
  <c r="E343" i="1"/>
  <c r="E344" i="1" s="1"/>
  <c r="D342" i="1"/>
  <c r="C342" i="1" s="1"/>
  <c r="D220" i="1"/>
  <c r="C220" i="1" s="1"/>
  <c r="E222" i="1"/>
  <c r="D222" i="1" s="1"/>
  <c r="C222" i="1" s="1"/>
  <c r="D314" i="1"/>
  <c r="C314" i="1" s="1"/>
  <c r="E28" i="1"/>
  <c r="D313" i="1"/>
  <c r="C313" i="1" s="1"/>
  <c r="E27" i="1"/>
  <c r="E15" i="1" s="1"/>
  <c r="E227" i="1"/>
  <c r="D226" i="1"/>
  <c r="C226" i="1" s="1"/>
  <c r="E402" i="1"/>
  <c r="E401" i="1" s="1"/>
  <c r="D403" i="1"/>
  <c r="C403" i="1" s="1"/>
  <c r="D380" i="1"/>
  <c r="C380" i="1" s="1"/>
  <c r="E381" i="1"/>
  <c r="E318" i="1"/>
  <c r="D318" i="1" s="1"/>
  <c r="C318" i="1" s="1"/>
  <c r="E362" i="1" l="1"/>
  <c r="E400" i="1"/>
  <c r="E354" i="1"/>
  <c r="D353" i="1"/>
  <c r="C353" i="1" s="1"/>
  <c r="D129" i="1"/>
  <c r="C129" i="1" s="1"/>
  <c r="D501" i="1"/>
  <c r="C500" i="1"/>
  <c r="D315" i="1"/>
  <c r="C315" i="1" s="1"/>
  <c r="R6" i="1"/>
  <c r="E429" i="1"/>
  <c r="D428" i="1"/>
  <c r="C428" i="1" s="1"/>
  <c r="B3" i="13"/>
  <c r="F3" i="13"/>
  <c r="A7" i="1"/>
  <c r="E97" i="1"/>
  <c r="E98" i="1" s="1"/>
  <c r="D106" i="1"/>
  <c r="C106" i="1" s="1"/>
  <c r="D416" i="1"/>
  <c r="C416" i="1" s="1"/>
  <c r="E417" i="1"/>
  <c r="E108" i="1"/>
  <c r="D107" i="1"/>
  <c r="C107" i="1" s="1"/>
  <c r="E223" i="1"/>
  <c r="D223" i="1" s="1"/>
  <c r="C223" i="1" s="1"/>
  <c r="D227" i="1"/>
  <c r="C227" i="1" s="1"/>
  <c r="E228" i="1"/>
  <c r="D402" i="1"/>
  <c r="C402" i="1" s="1"/>
  <c r="D401" i="1"/>
  <c r="C401" i="1" s="1"/>
  <c r="D381" i="1"/>
  <c r="C381" i="1" s="1"/>
  <c r="E382" i="1"/>
  <c r="E319" i="1"/>
  <c r="E355" i="1" l="1"/>
  <c r="D354" i="1"/>
  <c r="C354" i="1" s="1"/>
  <c r="E399" i="1"/>
  <c r="D400" i="1"/>
  <c r="C400" i="1" s="1"/>
  <c r="E406" i="1"/>
  <c r="E389" i="1"/>
  <c r="E371" i="1"/>
  <c r="E363" i="1"/>
  <c r="D362" i="1"/>
  <c r="C362" i="1" s="1"/>
  <c r="E320" i="1"/>
  <c r="D320" i="1" s="1"/>
  <c r="C320" i="1" s="1"/>
  <c r="D319" i="1"/>
  <c r="C319" i="1" s="1"/>
  <c r="D502" i="1"/>
  <c r="C501" i="1"/>
  <c r="R7" i="1"/>
  <c r="D429" i="1"/>
  <c r="C429" i="1" s="1"/>
  <c r="E430" i="1"/>
  <c r="B3" i="14"/>
  <c r="A8" i="1"/>
  <c r="D97" i="1"/>
  <c r="C97" i="1" s="1"/>
  <c r="E418" i="1"/>
  <c r="D417" i="1"/>
  <c r="C417" i="1" s="1"/>
  <c r="E109" i="1"/>
  <c r="D108" i="1"/>
  <c r="C108" i="1" s="1"/>
  <c r="E99" i="1"/>
  <c r="D98" i="1"/>
  <c r="C98" i="1" s="1"/>
  <c r="E224" i="1"/>
  <c r="D224" i="1" s="1"/>
  <c r="C224" i="1" s="1"/>
  <c r="D228" i="1"/>
  <c r="C228" i="1" s="1"/>
  <c r="E229" i="1"/>
  <c r="D382" i="1"/>
  <c r="C382" i="1" s="1"/>
  <c r="E383" i="1"/>
  <c r="E405" i="1" l="1"/>
  <c r="D406" i="1"/>
  <c r="C406" i="1" s="1"/>
  <c r="D355" i="1"/>
  <c r="C355" i="1" s="1"/>
  <c r="E356" i="1"/>
  <c r="D399" i="1"/>
  <c r="C399" i="1" s="1"/>
  <c r="E398" i="1"/>
  <c r="D398" i="1" s="1"/>
  <c r="C398" i="1" s="1"/>
  <c r="E321" i="1"/>
  <c r="D321" i="1" s="1"/>
  <c r="C321" i="1" s="1"/>
  <c r="E364" i="1"/>
  <c r="D363" i="1"/>
  <c r="C363" i="1" s="1"/>
  <c r="D371" i="1"/>
  <c r="C371" i="1" s="1"/>
  <c r="E412" i="1"/>
  <c r="E372" i="1"/>
  <c r="D389" i="1"/>
  <c r="C389" i="1" s="1"/>
  <c r="E409" i="1"/>
  <c r="E390" i="1"/>
  <c r="C502" i="1"/>
  <c r="D503" i="1"/>
  <c r="R8" i="1"/>
  <c r="D430" i="1"/>
  <c r="C430" i="1" s="1"/>
  <c r="E431" i="1"/>
  <c r="B3" i="15"/>
  <c r="F3" i="15"/>
  <c r="A9" i="1"/>
  <c r="E419" i="1"/>
  <c r="D418" i="1"/>
  <c r="C418" i="1" s="1"/>
  <c r="E110" i="1"/>
  <c r="D110" i="1" s="1"/>
  <c r="C110" i="1" s="1"/>
  <c r="D109" i="1"/>
  <c r="C109" i="1" s="1"/>
  <c r="D99" i="1"/>
  <c r="C99" i="1" s="1"/>
  <c r="E100" i="1"/>
  <c r="E230" i="1"/>
  <c r="D229" i="1"/>
  <c r="C229" i="1" s="1"/>
  <c r="D383" i="1"/>
  <c r="C383" i="1" s="1"/>
  <c r="E384" i="1"/>
  <c r="E322" i="1" l="1"/>
  <c r="D322" i="1" s="1"/>
  <c r="C322" i="1" s="1"/>
  <c r="E357" i="1"/>
  <c r="D356" i="1"/>
  <c r="C356" i="1" s="1"/>
  <c r="D364" i="1"/>
  <c r="C364" i="1" s="1"/>
  <c r="E365" i="1"/>
  <c r="D390" i="1"/>
  <c r="C390" i="1" s="1"/>
  <c r="E391" i="1"/>
  <c r="E408" i="1"/>
  <c r="D409" i="1"/>
  <c r="C409" i="1" s="1"/>
  <c r="D412" i="1"/>
  <c r="C412" i="1" s="1"/>
  <c r="E411" i="1"/>
  <c r="E404" i="1"/>
  <c r="D404" i="1" s="1"/>
  <c r="C404" i="1" s="1"/>
  <c r="D405" i="1"/>
  <c r="C405" i="1" s="1"/>
  <c r="E373" i="1"/>
  <c r="D372" i="1"/>
  <c r="C372" i="1" s="1"/>
  <c r="D504" i="1"/>
  <c r="C503" i="1"/>
  <c r="R9" i="1"/>
  <c r="D431" i="1"/>
  <c r="C431" i="1" s="1"/>
  <c r="E432" i="1"/>
  <c r="F4" i="13"/>
  <c r="B4" i="8"/>
  <c r="F4" i="8"/>
  <c r="E4" i="13"/>
  <c r="B4" i="13"/>
  <c r="E4" i="8"/>
  <c r="A10" i="1"/>
  <c r="E420" i="1"/>
  <c r="D419" i="1"/>
  <c r="C419" i="1" s="1"/>
  <c r="D100" i="1"/>
  <c r="C100" i="1" s="1"/>
  <c r="E101" i="1"/>
  <c r="D101" i="1" s="1"/>
  <c r="C101" i="1" s="1"/>
  <c r="D230" i="1"/>
  <c r="C230" i="1" s="1"/>
  <c r="E231" i="1"/>
  <c r="E385" i="1"/>
  <c r="D384" i="1"/>
  <c r="C384" i="1" s="1"/>
  <c r="E323" i="1"/>
  <c r="D323" i="1" s="1"/>
  <c r="C323" i="1" s="1"/>
  <c r="D365" i="1" l="1"/>
  <c r="C365" i="1" s="1"/>
  <c r="E366" i="1"/>
  <c r="E410" i="1"/>
  <c r="D410" i="1" s="1"/>
  <c r="C410" i="1" s="1"/>
  <c r="D411" i="1"/>
  <c r="C411" i="1" s="1"/>
  <c r="E374" i="1"/>
  <c r="D373" i="1"/>
  <c r="C373" i="1" s="1"/>
  <c r="D408" i="1"/>
  <c r="C408" i="1" s="1"/>
  <c r="E407" i="1"/>
  <c r="D407" i="1" s="1"/>
  <c r="C407" i="1" s="1"/>
  <c r="E358" i="1"/>
  <c r="D357" i="1"/>
  <c r="C357" i="1" s="1"/>
  <c r="E392" i="1"/>
  <c r="D391" i="1"/>
  <c r="C391" i="1" s="1"/>
  <c r="D505" i="1"/>
  <c r="C504" i="1"/>
  <c r="R10" i="1"/>
  <c r="D432" i="1"/>
  <c r="C432" i="1" s="1"/>
  <c r="E433" i="1"/>
  <c r="A11" i="1"/>
  <c r="B18" i="8"/>
  <c r="E421" i="1"/>
  <c r="D421" i="1" s="1"/>
  <c r="D420" i="1"/>
  <c r="C420" i="1" s="1"/>
  <c r="D231" i="1"/>
  <c r="C231" i="1" s="1"/>
  <c r="E261" i="1"/>
  <c r="D336" i="1" s="1"/>
  <c r="C336" i="1" s="1"/>
  <c r="D385" i="1"/>
  <c r="C385" i="1" s="1"/>
  <c r="E386" i="1"/>
  <c r="E359" i="1" l="1"/>
  <c r="D358" i="1"/>
  <c r="C358" i="1" s="1"/>
  <c r="E393" i="1"/>
  <c r="D392" i="1"/>
  <c r="C392" i="1" s="1"/>
  <c r="E375" i="1"/>
  <c r="D374" i="1"/>
  <c r="C374" i="1" s="1"/>
  <c r="D366" i="1"/>
  <c r="C366" i="1" s="1"/>
  <c r="E367" i="1"/>
  <c r="C505" i="1"/>
  <c r="D506" i="1"/>
  <c r="R11" i="1"/>
  <c r="E434" i="1"/>
  <c r="D433" i="1"/>
  <c r="C433" i="1" s="1"/>
  <c r="F4" i="15"/>
  <c r="F32" i="8"/>
  <c r="C421" i="1"/>
  <c r="B32" i="8"/>
  <c r="A12" i="1"/>
  <c r="E262" i="1"/>
  <c r="D261" i="1"/>
  <c r="C261" i="1" s="1"/>
  <c r="D386" i="1"/>
  <c r="C386" i="1" s="1"/>
  <c r="E387" i="1"/>
  <c r="D367" i="1" l="1"/>
  <c r="C367" i="1" s="1"/>
  <c r="E368" i="1"/>
  <c r="D375" i="1"/>
  <c r="C375" i="1" s="1"/>
  <c r="E376" i="1"/>
  <c r="E394" i="1"/>
  <c r="D393" i="1"/>
  <c r="C393" i="1" s="1"/>
  <c r="E360" i="1"/>
  <c r="D359" i="1"/>
  <c r="C359" i="1" s="1"/>
  <c r="D507" i="1"/>
  <c r="C506" i="1"/>
  <c r="R12" i="1"/>
  <c r="D434" i="1"/>
  <c r="C434" i="1" s="1"/>
  <c r="E435" i="1"/>
  <c r="D435" i="1" s="1"/>
  <c r="C435" i="1" s="1"/>
  <c r="A13" i="1"/>
  <c r="R13" i="1" s="1"/>
  <c r="D262" i="1"/>
  <c r="C262" i="1" s="1"/>
  <c r="D337" i="1"/>
  <c r="C337" i="1" s="1"/>
  <c r="E388" i="1"/>
  <c r="D388" i="1" s="1"/>
  <c r="C388" i="1" s="1"/>
  <c r="D387" i="1"/>
  <c r="C387" i="1" s="1"/>
  <c r="D376" i="1" l="1"/>
  <c r="C376" i="1" s="1"/>
  <c r="E377" i="1"/>
  <c r="E361" i="1"/>
  <c r="D361" i="1" s="1"/>
  <c r="C361" i="1" s="1"/>
  <c r="D360" i="1"/>
  <c r="C360" i="1" s="1"/>
  <c r="D394" i="1"/>
  <c r="C394" i="1" s="1"/>
  <c r="E395" i="1"/>
  <c r="E369" i="1"/>
  <c r="D368" i="1"/>
  <c r="C368" i="1" s="1"/>
  <c r="C507" i="1"/>
  <c r="D508" i="1"/>
  <c r="C508" i="1" s="1"/>
  <c r="A14" i="1"/>
  <c r="R14" i="1" s="1"/>
  <c r="D179" i="1"/>
  <c r="C179" i="1" s="1"/>
  <c r="E253" i="1"/>
  <c r="E294" i="1"/>
  <c r="D294" i="1" s="1"/>
  <c r="C294" i="1" s="1"/>
  <c r="E282" i="1"/>
  <c r="C282" i="1" s="1"/>
  <c r="D283" i="1"/>
  <c r="C283" i="1" s="1"/>
  <c r="E284" i="1"/>
  <c r="D284" i="1" s="1"/>
  <c r="C284" i="1" s="1"/>
  <c r="E272" i="1"/>
  <c r="D272" i="1" s="1"/>
  <c r="C272" i="1" s="1"/>
  <c r="D271" i="1"/>
  <c r="C271" i="1" s="1"/>
  <c r="E270" i="1"/>
  <c r="E269" i="1" s="1"/>
  <c r="D344" i="1" s="1"/>
  <c r="D232" i="1"/>
  <c r="C232" i="1" s="1"/>
  <c r="E299" i="1"/>
  <c r="D299" i="1" s="1"/>
  <c r="C299" i="1" s="1"/>
  <c r="D178" i="1"/>
  <c r="E300" i="1"/>
  <c r="D301" i="1"/>
  <c r="D75" i="1"/>
  <c r="E296" i="1"/>
  <c r="E297" i="1" s="1"/>
  <c r="D295" i="1"/>
  <c r="C295" i="1" s="1"/>
  <c r="E23" i="1"/>
  <c r="D57" i="1"/>
  <c r="D66" i="1"/>
  <c r="E49" i="1"/>
  <c r="D252" i="1"/>
  <c r="C252" i="1" s="1"/>
  <c r="E263" i="1"/>
  <c r="E3" i="15"/>
  <c r="D30" i="1"/>
  <c r="E242" i="1"/>
  <c r="E243" i="1" s="1"/>
  <c r="E244" i="1" s="1"/>
  <c r="E245" i="1" s="1"/>
  <c r="E246" i="1" s="1"/>
  <c r="E247" i="1" s="1"/>
  <c r="E248" i="1" s="1"/>
  <c r="E249" i="1" s="1"/>
  <c r="D241" i="1"/>
  <c r="C241" i="1" s="1"/>
  <c r="D240" i="1"/>
  <c r="C240" i="1" s="1"/>
  <c r="D217" i="1"/>
  <c r="E370" i="1" l="1"/>
  <c r="D370" i="1" s="1"/>
  <c r="C370" i="1" s="1"/>
  <c r="D369" i="1"/>
  <c r="C369" i="1" s="1"/>
  <c r="E396" i="1"/>
  <c r="D395" i="1"/>
  <c r="C395" i="1" s="1"/>
  <c r="E378" i="1"/>
  <c r="D377" i="1"/>
  <c r="C377" i="1" s="1"/>
  <c r="C30" i="1"/>
  <c r="C192" i="1" s="1"/>
  <c r="C193" i="1" s="1"/>
  <c r="C194" i="1" s="1"/>
  <c r="C195" i="1" s="1"/>
  <c r="C196" i="1" s="1"/>
  <c r="C197" i="1" s="1"/>
  <c r="C198" i="1" s="1"/>
  <c r="D192" i="1"/>
  <c r="D193" i="1" s="1"/>
  <c r="D194" i="1" s="1"/>
  <c r="D195" i="1" s="1"/>
  <c r="D196" i="1" s="1"/>
  <c r="D197" i="1" s="1"/>
  <c r="D198" i="1" s="1"/>
  <c r="E11" i="1"/>
  <c r="E497" i="1" s="1"/>
  <c r="E498" i="1"/>
  <c r="D297" i="1"/>
  <c r="E499" i="1"/>
  <c r="D171" i="1"/>
  <c r="C171" i="1" s="1"/>
  <c r="E441" i="1"/>
  <c r="E438" i="1" s="1"/>
  <c r="E3" i="14"/>
  <c r="A15" i="1"/>
  <c r="R15" i="1" s="1"/>
  <c r="D300" i="1"/>
  <c r="C66" i="1"/>
  <c r="C344" i="1"/>
  <c r="C75" i="1"/>
  <c r="C57" i="1"/>
  <c r="D263" i="1"/>
  <c r="C263" i="1" s="1"/>
  <c r="D338" i="1"/>
  <c r="C338" i="1" s="1"/>
  <c r="E254" i="1"/>
  <c r="D329" i="1" s="1"/>
  <c r="C329" i="1" s="1"/>
  <c r="D328" i="1"/>
  <c r="C328" i="1" s="1"/>
  <c r="D302" i="1"/>
  <c r="D303" i="1"/>
  <c r="D253" i="1"/>
  <c r="C253" i="1" s="1"/>
  <c r="E250" i="1"/>
  <c r="E281" i="1"/>
  <c r="D282" i="1"/>
  <c r="E293" i="1"/>
  <c r="E285" i="1"/>
  <c r="E273" i="1"/>
  <c r="E298" i="1"/>
  <c r="E182" i="1" s="1"/>
  <c r="D269" i="1"/>
  <c r="C269" i="1" s="1"/>
  <c r="E268" i="1"/>
  <c r="D270" i="1"/>
  <c r="C270" i="1" s="1"/>
  <c r="D296" i="1"/>
  <c r="C296" i="1" s="1"/>
  <c r="E265" i="1"/>
  <c r="D242" i="1"/>
  <c r="C242" i="1" s="1"/>
  <c r="D378" i="1" l="1"/>
  <c r="C378" i="1" s="1"/>
  <c r="E379" i="1"/>
  <c r="D379" i="1" s="1"/>
  <c r="C379" i="1" s="1"/>
  <c r="D396" i="1"/>
  <c r="C396" i="1" s="1"/>
  <c r="E397" i="1"/>
  <c r="D397" i="1" s="1"/>
  <c r="C397" i="1" s="1"/>
  <c r="C297" i="1"/>
  <c r="C499" i="1" s="1"/>
  <c r="D499" i="1"/>
  <c r="A16" i="1"/>
  <c r="R16" i="1" s="1"/>
  <c r="D268" i="1"/>
  <c r="C268" i="1" s="1"/>
  <c r="D343" i="1"/>
  <c r="C343" i="1" s="1"/>
  <c r="D265" i="1"/>
  <c r="C265" i="1" s="1"/>
  <c r="D340" i="1"/>
  <c r="C340" i="1" s="1"/>
  <c r="D254" i="1"/>
  <c r="C254" i="1" s="1"/>
  <c r="E255" i="1"/>
  <c r="E256" i="1" s="1"/>
  <c r="D331" i="1" s="1"/>
  <c r="C331" i="1" s="1"/>
  <c r="D250" i="1"/>
  <c r="C250" i="1" s="1"/>
  <c r="E251" i="1"/>
  <c r="D251" i="1" s="1"/>
  <c r="C251" i="1" s="1"/>
  <c r="D281" i="1"/>
  <c r="C281" i="1"/>
  <c r="E280" i="1"/>
  <c r="D293" i="1"/>
  <c r="C293" i="1" s="1"/>
  <c r="E292" i="1"/>
  <c r="D292" i="1" s="1"/>
  <c r="C292" i="1" s="1"/>
  <c r="D285" i="1"/>
  <c r="C285" i="1" s="1"/>
  <c r="E286" i="1"/>
  <c r="E274" i="1"/>
  <c r="D273" i="1"/>
  <c r="C273" i="1" s="1"/>
  <c r="D298" i="1"/>
  <c r="C298" i="1" s="1"/>
  <c r="D182" i="1"/>
  <c r="C182" i="1" s="1"/>
  <c r="E264" i="1"/>
  <c r="D339" i="1" s="1"/>
  <c r="C339" i="1" s="1"/>
  <c r="D244" i="1"/>
  <c r="C244" i="1" s="1"/>
  <c r="D243" i="1"/>
  <c r="C243" i="1" s="1"/>
  <c r="A17" i="1" l="1"/>
  <c r="R17" i="1" s="1"/>
  <c r="D256" i="1"/>
  <c r="C256" i="1" s="1"/>
  <c r="E257" i="1"/>
  <c r="D332" i="1" s="1"/>
  <c r="C332" i="1" s="1"/>
  <c r="D330" i="1"/>
  <c r="C330" i="1" s="1"/>
  <c r="D255" i="1"/>
  <c r="C255" i="1" s="1"/>
  <c r="C280" i="1"/>
  <c r="D280" i="1"/>
  <c r="D286" i="1"/>
  <c r="C286" i="1" s="1"/>
  <c r="E287" i="1"/>
  <c r="E275" i="1"/>
  <c r="D274" i="1"/>
  <c r="C274" i="1" s="1"/>
  <c r="D264" i="1"/>
  <c r="C264" i="1" s="1"/>
  <c r="D248" i="1"/>
  <c r="C248" i="1" s="1"/>
  <c r="D246" i="1"/>
  <c r="C246" i="1" s="1"/>
  <c r="D245" i="1"/>
  <c r="C245" i="1" s="1"/>
  <c r="A18" i="1" l="1"/>
  <c r="R18" i="1" s="1"/>
  <c r="D257" i="1"/>
  <c r="C257" i="1" s="1"/>
  <c r="E258" i="1"/>
  <c r="D333" i="1" s="1"/>
  <c r="C333" i="1" s="1"/>
  <c r="E288" i="1"/>
  <c r="D287" i="1"/>
  <c r="C287" i="1" s="1"/>
  <c r="D275" i="1"/>
  <c r="C275" i="1" s="1"/>
  <c r="E276" i="1"/>
  <c r="D249" i="1"/>
  <c r="C249" i="1" s="1"/>
  <c r="D247" i="1"/>
  <c r="C247" i="1" s="1"/>
  <c r="A19" i="1" l="1"/>
  <c r="R19" i="1" s="1"/>
  <c r="D258" i="1"/>
  <c r="C258" i="1" s="1"/>
  <c r="E259" i="1"/>
  <c r="D334" i="1" s="1"/>
  <c r="C334" i="1" s="1"/>
  <c r="E289" i="1"/>
  <c r="D288" i="1"/>
  <c r="C288" i="1" s="1"/>
  <c r="D276" i="1"/>
  <c r="C276" i="1" s="1"/>
  <c r="E277" i="1"/>
  <c r="D15" i="1"/>
  <c r="C15" i="1" s="1"/>
  <c r="E10" i="1"/>
  <c r="E18" i="8" l="1"/>
  <c r="A20" i="1"/>
  <c r="R20" i="1" s="1"/>
  <c r="E260" i="1"/>
  <c r="D260" i="1" s="1"/>
  <c r="C260" i="1" s="1"/>
  <c r="D259" i="1"/>
  <c r="C259" i="1" s="1"/>
  <c r="D289" i="1"/>
  <c r="C289" i="1" s="1"/>
  <c r="E290" i="1"/>
  <c r="E278" i="1"/>
  <c r="D277" i="1"/>
  <c r="C277" i="1" s="1"/>
  <c r="E207" i="1"/>
  <c r="E208" i="1" s="1"/>
  <c r="E209" i="1" s="1"/>
  <c r="E210" i="1" s="1"/>
  <c r="E211" i="1" s="1"/>
  <c r="E212" i="1" s="1"/>
  <c r="E130" i="1"/>
  <c r="E131" i="1" s="1"/>
  <c r="E132" i="1" s="1"/>
  <c r="E133" i="1" s="1"/>
  <c r="E134" i="1" s="1"/>
  <c r="E135" i="1" s="1"/>
  <c r="E136" i="1" s="1"/>
  <c r="E137" i="1" s="1"/>
  <c r="D130" i="1"/>
  <c r="C130" i="1" s="1"/>
  <c r="D139" i="1"/>
  <c r="C139" i="1" s="1"/>
  <c r="E140" i="1"/>
  <c r="C148" i="1"/>
  <c r="E149" i="1"/>
  <c r="D149" i="1" s="1"/>
  <c r="C149" i="1" s="1"/>
  <c r="D157" i="1"/>
  <c r="C157" i="1" s="1"/>
  <c r="E158" i="1"/>
  <c r="D158" i="1" s="1"/>
  <c r="C158" i="1" s="1"/>
  <c r="D166" i="1"/>
  <c r="C166" i="1" s="1"/>
  <c r="E86" i="1"/>
  <c r="E87" i="1" s="1"/>
  <c r="E88" i="1" s="1"/>
  <c r="E89" i="1" s="1"/>
  <c r="E90" i="1" s="1"/>
  <c r="E91" i="1" s="1"/>
  <c r="E92" i="1" s="1"/>
  <c r="C85" i="1"/>
  <c r="C86" i="1" s="1"/>
  <c r="C87" i="1" s="1"/>
  <c r="C88" i="1" s="1"/>
  <c r="C89" i="1" s="1"/>
  <c r="C90" i="1" s="1"/>
  <c r="C91" i="1" s="1"/>
  <c r="C92" i="1" s="1"/>
  <c r="D112" i="1"/>
  <c r="C112" i="1" s="1"/>
  <c r="D85" i="1"/>
  <c r="D86" i="1" s="1"/>
  <c r="D87" i="1" s="1"/>
  <c r="D88" i="1" s="1"/>
  <c r="D89" i="1" s="1"/>
  <c r="D90" i="1" s="1"/>
  <c r="D91" i="1" s="1"/>
  <c r="D92" i="1" s="1"/>
  <c r="D76" i="1"/>
  <c r="D67" i="1"/>
  <c r="E50" i="1"/>
  <c r="E51" i="1" s="1"/>
  <c r="E52" i="1" s="1"/>
  <c r="E53" i="1" s="1"/>
  <c r="E54" i="1" s="1"/>
  <c r="E55" i="1" s="1"/>
  <c r="E56" i="1" s="1"/>
  <c r="E40" i="1"/>
  <c r="E41" i="1" s="1"/>
  <c r="E42" i="1" s="1"/>
  <c r="E43" i="1" s="1"/>
  <c r="E44" i="1" s="1"/>
  <c r="E45" i="1" s="1"/>
  <c r="E46" i="1" s="1"/>
  <c r="E47" i="1" s="1"/>
  <c r="D31" i="1"/>
  <c r="E31" i="1"/>
  <c r="E32" i="1" s="1"/>
  <c r="E67" i="1"/>
  <c r="D58" i="1"/>
  <c r="E112" i="1"/>
  <c r="E113" i="1" s="1"/>
  <c r="E114" i="1" s="1"/>
  <c r="E115" i="1" s="1"/>
  <c r="E116" i="1" s="1"/>
  <c r="E117" i="1" s="1"/>
  <c r="E118" i="1" s="1"/>
  <c r="E119" i="1" s="1"/>
  <c r="E76" i="1"/>
  <c r="E501" i="1" s="1"/>
  <c r="E58" i="1"/>
  <c r="C111" i="1"/>
  <c r="D48" i="1"/>
  <c r="C48" i="1" s="1"/>
  <c r="D39" i="1"/>
  <c r="D19" i="1"/>
  <c r="D20" i="1"/>
  <c r="C20" i="1" s="1"/>
  <c r="D21" i="1"/>
  <c r="D22" i="1"/>
  <c r="D23" i="1"/>
  <c r="D498" i="1" s="1"/>
  <c r="D25" i="1"/>
  <c r="C25" i="1" s="1"/>
  <c r="D26" i="1"/>
  <c r="C26" i="1" s="1"/>
  <c r="D27" i="1"/>
  <c r="C27" i="1" s="1"/>
  <c r="D28" i="1"/>
  <c r="C28" i="1" s="1"/>
  <c r="D29" i="1"/>
  <c r="C29" i="1" s="1"/>
  <c r="D5" i="1"/>
  <c r="D6" i="17" s="1"/>
  <c r="E17" i="1"/>
  <c r="D17" i="1" s="1"/>
  <c r="E16" i="1"/>
  <c r="D16" i="1" s="1"/>
  <c r="E14" i="1"/>
  <c r="D14" i="1" s="1"/>
  <c r="D13" i="1"/>
  <c r="E4" i="15"/>
  <c r="D10" i="1"/>
  <c r="C10" i="1" s="1"/>
  <c r="D9" i="1"/>
  <c r="C9" i="1" s="1"/>
  <c r="D8" i="1"/>
  <c r="C8" i="1" s="1"/>
  <c r="D7" i="1"/>
  <c r="C39" i="1" l="1"/>
  <c r="C199" i="1" s="1"/>
  <c r="C200" i="1" s="1"/>
  <c r="C201" i="1" s="1"/>
  <c r="C202" i="1" s="1"/>
  <c r="C203" i="1" s="1"/>
  <c r="C204" i="1" s="1"/>
  <c r="C205" i="1" s="1"/>
  <c r="D199" i="1"/>
  <c r="D200" i="1" s="1"/>
  <c r="D201" i="1" s="1"/>
  <c r="D202" i="1" s="1"/>
  <c r="D203" i="1" s="1"/>
  <c r="D204" i="1" s="1"/>
  <c r="D205" i="1" s="1"/>
  <c r="C7" i="1"/>
  <c r="C437" i="1" s="1"/>
  <c r="D437" i="1"/>
  <c r="C19" i="1"/>
  <c r="C440" i="1" s="1"/>
  <c r="D440" i="1"/>
  <c r="D32" i="1"/>
  <c r="C32" i="1" s="1"/>
  <c r="C31" i="1"/>
  <c r="D140" i="1"/>
  <c r="C140" i="1" s="1"/>
  <c r="E469" i="1"/>
  <c r="D469" i="1" s="1"/>
  <c r="C469" i="1" s="1"/>
  <c r="D3" i="15"/>
  <c r="D18" i="8"/>
  <c r="D3" i="14"/>
  <c r="E33" i="1"/>
  <c r="E34" i="1" s="1"/>
  <c r="E35" i="1" s="1"/>
  <c r="E36" i="1" s="1"/>
  <c r="E37" i="1" s="1"/>
  <c r="E38" i="1" s="1"/>
  <c r="D425" i="1"/>
  <c r="D4" i="8"/>
  <c r="D4" i="13"/>
  <c r="A21" i="1"/>
  <c r="C22" i="1"/>
  <c r="C76" i="1"/>
  <c r="E59" i="1"/>
  <c r="E68" i="1"/>
  <c r="E77" i="1"/>
  <c r="E502" i="1" s="1"/>
  <c r="D59" i="1"/>
  <c r="C21" i="1"/>
  <c r="C23" i="1"/>
  <c r="C498" i="1" s="1"/>
  <c r="D68" i="1"/>
  <c r="D69" i="1" s="1"/>
  <c r="D11" i="1"/>
  <c r="E32" i="8"/>
  <c r="D335" i="1"/>
  <c r="C335" i="1" s="1"/>
  <c r="E291" i="1"/>
  <c r="D291" i="1" s="1"/>
  <c r="C291" i="1" s="1"/>
  <c r="D290" i="1"/>
  <c r="C290" i="1" s="1"/>
  <c r="E279" i="1"/>
  <c r="D279" i="1" s="1"/>
  <c r="C279" i="1" s="1"/>
  <c r="D278" i="1"/>
  <c r="C278" i="1" s="1"/>
  <c r="D131" i="1"/>
  <c r="E141" i="1"/>
  <c r="E159" i="1"/>
  <c r="E150" i="1"/>
  <c r="D208" i="1"/>
  <c r="D113" i="1"/>
  <c r="D77" i="1"/>
  <c r="C67" i="1"/>
  <c r="D49" i="1"/>
  <c r="D40" i="1"/>
  <c r="C40" i="1" s="1"/>
  <c r="D33" i="1"/>
  <c r="C33" i="1" s="1"/>
  <c r="C58" i="1"/>
  <c r="C5" i="1"/>
  <c r="C6" i="17" s="1"/>
  <c r="C13" i="1"/>
  <c r="C14" i="1"/>
  <c r="C16" i="1"/>
  <c r="C17" i="1"/>
  <c r="C4" i="1"/>
  <c r="C5" i="17" s="1"/>
  <c r="C425" i="1" l="1"/>
  <c r="C169" i="1" s="1"/>
  <c r="D169" i="1"/>
  <c r="D50" i="1"/>
  <c r="C49" i="1"/>
  <c r="D41" i="1"/>
  <c r="C41" i="1" s="1"/>
  <c r="D497" i="1"/>
  <c r="C11" i="1"/>
  <c r="D141" i="1"/>
  <c r="C141" i="1" s="1"/>
  <c r="E470" i="1"/>
  <c r="D470" i="1" s="1"/>
  <c r="C470" i="1" s="1"/>
  <c r="C3" i="15"/>
  <c r="D5" i="8"/>
  <c r="R21" i="1"/>
  <c r="C18" i="8"/>
  <c r="C5" i="8"/>
  <c r="C3" i="14"/>
  <c r="D32" i="8"/>
  <c r="D4" i="15"/>
  <c r="C4" i="8"/>
  <c r="C4" i="13"/>
  <c r="C68" i="1"/>
  <c r="A22" i="1"/>
  <c r="R22" i="1" s="1"/>
  <c r="C59" i="1"/>
  <c r="E78" i="1"/>
  <c r="E503" i="1" s="1"/>
  <c r="D60" i="1"/>
  <c r="D61" i="1" s="1"/>
  <c r="E69" i="1"/>
  <c r="E60" i="1"/>
  <c r="E142" i="1"/>
  <c r="D159" i="1"/>
  <c r="C159" i="1" s="1"/>
  <c r="E160" i="1"/>
  <c r="C131" i="1"/>
  <c r="D132" i="1"/>
  <c r="D150" i="1"/>
  <c r="C150" i="1" s="1"/>
  <c r="E151" i="1"/>
  <c r="D209" i="1"/>
  <c r="C208" i="1"/>
  <c r="D114" i="1"/>
  <c r="C113" i="1"/>
  <c r="C77" i="1"/>
  <c r="D78" i="1"/>
  <c r="D70" i="1"/>
  <c r="C69" i="1"/>
  <c r="D34" i="1"/>
  <c r="C34" i="1" s="1"/>
  <c r="D42" i="1" l="1"/>
  <c r="C42" i="1" s="1"/>
  <c r="D51" i="1"/>
  <c r="C50" i="1"/>
  <c r="C32" i="8"/>
  <c r="C497" i="1"/>
  <c r="D142" i="1"/>
  <c r="C142" i="1" s="1"/>
  <c r="E471" i="1"/>
  <c r="D471" i="1" s="1"/>
  <c r="C471" i="1" s="1"/>
  <c r="A23" i="1"/>
  <c r="D19" i="8"/>
  <c r="C19" i="8"/>
  <c r="E61" i="1"/>
  <c r="E70" i="1"/>
  <c r="C60" i="1"/>
  <c r="C61" i="1"/>
  <c r="E79" i="1"/>
  <c r="E504" i="1" s="1"/>
  <c r="E143" i="1"/>
  <c r="C132" i="1"/>
  <c r="D133" i="1"/>
  <c r="D160" i="1"/>
  <c r="C160" i="1" s="1"/>
  <c r="E161" i="1"/>
  <c r="D151" i="1"/>
  <c r="C151" i="1" s="1"/>
  <c r="E152" i="1"/>
  <c r="D210" i="1"/>
  <c r="C209" i="1"/>
  <c r="D115" i="1"/>
  <c r="C114" i="1"/>
  <c r="D79" i="1"/>
  <c r="C78" i="1"/>
  <c r="D71" i="1"/>
  <c r="C70" i="1"/>
  <c r="D35" i="1"/>
  <c r="C35" i="1" s="1"/>
  <c r="D62" i="1"/>
  <c r="D52" i="1" l="1"/>
  <c r="C51" i="1"/>
  <c r="D43" i="1"/>
  <c r="C43" i="1" s="1"/>
  <c r="E144" i="1"/>
  <c r="E473" i="1" s="1"/>
  <c r="D473" i="1" s="1"/>
  <c r="C473" i="1" s="1"/>
  <c r="E472" i="1"/>
  <c r="D472" i="1" s="1"/>
  <c r="C472" i="1" s="1"/>
  <c r="D33" i="8"/>
  <c r="R23" i="1"/>
  <c r="C33" i="8"/>
  <c r="A24" i="1"/>
  <c r="R24" i="1" s="1"/>
  <c r="C62" i="1"/>
  <c r="E71" i="1"/>
  <c r="E80" i="1"/>
  <c r="E505" i="1" s="1"/>
  <c r="E62" i="1"/>
  <c r="D143" i="1"/>
  <c r="C143" i="1" s="1"/>
  <c r="D161" i="1"/>
  <c r="C161" i="1" s="1"/>
  <c r="E162" i="1"/>
  <c r="C133" i="1"/>
  <c r="D134" i="1"/>
  <c r="D152" i="1"/>
  <c r="C152" i="1" s="1"/>
  <c r="E153" i="1"/>
  <c r="D211" i="1"/>
  <c r="C210" i="1"/>
  <c r="D116" i="1"/>
  <c r="C115" i="1"/>
  <c r="D80" i="1"/>
  <c r="C79" i="1"/>
  <c r="D72" i="1"/>
  <c r="C71" i="1"/>
  <c r="D36" i="1"/>
  <c r="C36" i="1" s="1"/>
  <c r="D63" i="1"/>
  <c r="E145" i="1" l="1"/>
  <c r="E474" i="1" s="1"/>
  <c r="D474" i="1" s="1"/>
  <c r="C474" i="1" s="1"/>
  <c r="D144" i="1"/>
  <c r="C144" i="1" s="1"/>
  <c r="D44" i="1"/>
  <c r="C44" i="1" s="1"/>
  <c r="D53" i="1"/>
  <c r="C52" i="1"/>
  <c r="A25" i="1"/>
  <c r="R25" i="1" s="1"/>
  <c r="E81" i="1"/>
  <c r="E506" i="1" s="1"/>
  <c r="E72" i="1"/>
  <c r="C63" i="1"/>
  <c r="E63" i="1"/>
  <c r="C134" i="1"/>
  <c r="D135" i="1"/>
  <c r="D162" i="1"/>
  <c r="C162" i="1" s="1"/>
  <c r="E163" i="1"/>
  <c r="D153" i="1"/>
  <c r="C153" i="1" s="1"/>
  <c r="E154" i="1"/>
  <c r="D212" i="1"/>
  <c r="C211" i="1"/>
  <c r="C116" i="1"/>
  <c r="D117" i="1"/>
  <c r="C80" i="1"/>
  <c r="D81" i="1"/>
  <c r="C72" i="1"/>
  <c r="D73" i="1"/>
  <c r="D37" i="1"/>
  <c r="C37" i="1" s="1"/>
  <c r="D64" i="1"/>
  <c r="E146" i="1" l="1"/>
  <c r="E475" i="1" s="1"/>
  <c r="D475" i="1" s="1"/>
  <c r="C475" i="1" s="1"/>
  <c r="D145" i="1"/>
  <c r="C145" i="1" s="1"/>
  <c r="D45" i="1"/>
  <c r="C45" i="1" s="1"/>
  <c r="D54" i="1"/>
  <c r="C53" i="1"/>
  <c r="A26" i="1"/>
  <c r="R26" i="1" s="1"/>
  <c r="E64" i="1"/>
  <c r="E73" i="1"/>
  <c r="D65" i="1"/>
  <c r="C65" i="1" s="1"/>
  <c r="E82" i="1"/>
  <c r="E507" i="1" s="1"/>
  <c r="D163" i="1"/>
  <c r="C163" i="1" s="1"/>
  <c r="E164" i="1"/>
  <c r="C135" i="1"/>
  <c r="D136" i="1"/>
  <c r="D154" i="1"/>
  <c r="C154" i="1" s="1"/>
  <c r="E155" i="1"/>
  <c r="C212" i="1"/>
  <c r="C117" i="1"/>
  <c r="D118" i="1"/>
  <c r="D82" i="1"/>
  <c r="C81" i="1"/>
  <c r="D74" i="1"/>
  <c r="C73" i="1"/>
  <c r="C64" i="1"/>
  <c r="D38" i="1"/>
  <c r="C38" i="1" s="1"/>
  <c r="E147" i="1" l="1"/>
  <c r="D147" i="1" s="1"/>
  <c r="C147" i="1" s="1"/>
  <c r="D146" i="1"/>
  <c r="C146" i="1" s="1"/>
  <c r="D55" i="1"/>
  <c r="C54" i="1"/>
  <c r="D46" i="1"/>
  <c r="C46" i="1" s="1"/>
  <c r="A27" i="1"/>
  <c r="R27" i="1" s="1"/>
  <c r="C74" i="1"/>
  <c r="E74" i="1"/>
  <c r="E83" i="1"/>
  <c r="E508" i="1" s="1"/>
  <c r="E65" i="1"/>
  <c r="D137" i="1"/>
  <c r="C137" i="1" s="1"/>
  <c r="C136" i="1"/>
  <c r="E165" i="1"/>
  <c r="D165" i="1" s="1"/>
  <c r="C165" i="1" s="1"/>
  <c r="D164" i="1"/>
  <c r="C164" i="1" s="1"/>
  <c r="D155" i="1"/>
  <c r="C155" i="1" s="1"/>
  <c r="E156" i="1"/>
  <c r="D156" i="1" s="1"/>
  <c r="C156" i="1" s="1"/>
  <c r="D119" i="1"/>
  <c r="C118" i="1"/>
  <c r="C82" i="1"/>
  <c r="D83" i="1"/>
  <c r="E476" i="1" l="1"/>
  <c r="D476" i="1" s="1"/>
  <c r="C476" i="1" s="1"/>
  <c r="D47" i="1"/>
  <c r="C47" i="1" s="1"/>
  <c r="D56" i="1"/>
  <c r="C56" i="1" s="1"/>
  <c r="C55" i="1"/>
  <c r="A28" i="1"/>
  <c r="R28" i="1" s="1"/>
  <c r="C83" i="1"/>
  <c r="C119" i="1"/>
  <c r="D121" i="1"/>
  <c r="C121" i="1" s="1"/>
  <c r="E121" i="1"/>
  <c r="E122" i="1" s="1"/>
  <c r="E123" i="1" s="1"/>
  <c r="E124" i="1" s="1"/>
  <c r="E125" i="1" s="1"/>
  <c r="E126" i="1" s="1"/>
  <c r="E127" i="1" s="1"/>
  <c r="E128" i="1" s="1"/>
  <c r="A29" i="1" l="1"/>
  <c r="R29" i="1" s="1"/>
  <c r="D122" i="1"/>
  <c r="A30" i="1" l="1"/>
  <c r="R30" i="1" s="1"/>
  <c r="C122" i="1"/>
  <c r="D123" i="1"/>
  <c r="A31" i="1" l="1"/>
  <c r="R31" i="1" s="1"/>
  <c r="C123" i="1"/>
  <c r="D124" i="1"/>
  <c r="A32" i="1" l="1"/>
  <c r="R32" i="1" s="1"/>
  <c r="D125" i="1"/>
  <c r="C124" i="1"/>
  <c r="A33" i="1" l="1"/>
  <c r="R33" i="1" s="1"/>
  <c r="C125" i="1"/>
  <c r="D126" i="1"/>
  <c r="A34" i="1" l="1"/>
  <c r="R34" i="1" s="1"/>
  <c r="D127" i="1"/>
  <c r="C126" i="1"/>
  <c r="A35" i="1" l="1"/>
  <c r="R35" i="1" s="1"/>
  <c r="C127" i="1"/>
  <c r="D128" i="1"/>
  <c r="C128" i="1" s="1"/>
  <c r="A36" i="1" l="1"/>
  <c r="R36" i="1" s="1"/>
  <c r="A37" i="1" l="1"/>
  <c r="R37" i="1" s="1"/>
  <c r="A38" i="1" l="1"/>
  <c r="A39" i="1" l="1"/>
  <c r="R38" i="1"/>
  <c r="E3" i="16"/>
  <c r="D3" i="16"/>
  <c r="F28" i="16"/>
  <c r="F27" i="16"/>
  <c r="E16" i="16"/>
  <c r="E4" i="16"/>
  <c r="D27" i="16"/>
  <c r="C27" i="16"/>
  <c r="D15" i="16"/>
  <c r="E28" i="16"/>
  <c r="C15" i="16"/>
  <c r="E27" i="16"/>
  <c r="E15" i="16"/>
  <c r="B16" i="16"/>
  <c r="B15" i="16"/>
  <c r="B3" i="16"/>
  <c r="C16" i="16"/>
  <c r="B4" i="16"/>
  <c r="C4" i="16"/>
  <c r="B28" i="16"/>
  <c r="D16" i="16"/>
  <c r="D4" i="16"/>
  <c r="B27" i="16"/>
  <c r="D28" i="16"/>
  <c r="C3" i="16"/>
  <c r="C28" i="16"/>
  <c r="D5" i="15"/>
  <c r="D7" i="15" s="1"/>
  <c r="F8" i="15"/>
  <c r="E5" i="15"/>
  <c r="E18" i="14"/>
  <c r="F5" i="15"/>
  <c r="B9" i="15"/>
  <c r="C10" i="15"/>
  <c r="D9" i="15"/>
  <c r="D10" i="15"/>
  <c r="C9" i="15"/>
  <c r="C4" i="15"/>
  <c r="F10" i="15"/>
  <c r="B4" i="15"/>
  <c r="E9" i="15"/>
  <c r="B10" i="15"/>
  <c r="C5" i="15"/>
  <c r="D8" i="15"/>
  <c r="E8" i="15"/>
  <c r="F9" i="15"/>
  <c r="E10" i="15"/>
  <c r="B18" i="14"/>
  <c r="B5" i="15"/>
  <c r="C8" i="15"/>
  <c r="B8" i="15"/>
  <c r="E30" i="13"/>
  <c r="B27" i="13"/>
  <c r="C28" i="13"/>
  <c r="C27" i="13"/>
  <c r="E26" i="13"/>
  <c r="E10" i="14"/>
  <c r="E24" i="13"/>
  <c r="B28" i="13"/>
  <c r="E29" i="13"/>
  <c r="F23" i="13"/>
  <c r="F30" i="13"/>
  <c r="D29" i="13"/>
  <c r="C30" i="13"/>
  <c r="E27" i="13"/>
  <c r="D30" i="13"/>
  <c r="B24" i="13"/>
  <c r="F25" i="13"/>
  <c r="D25" i="13"/>
  <c r="B29" i="13"/>
  <c r="B30" i="13"/>
  <c r="D26" i="13"/>
  <c r="D28" i="13"/>
  <c r="C10" i="14"/>
  <c r="C25" i="13"/>
  <c r="C23" i="13"/>
  <c r="D27" i="13"/>
  <c r="E25" i="13"/>
  <c r="F28" i="13"/>
  <c r="B10" i="14"/>
  <c r="F26" i="13"/>
  <c r="C29" i="13"/>
  <c r="D24" i="13"/>
  <c r="F24" i="13"/>
  <c r="B26" i="13"/>
  <c r="F27" i="13"/>
  <c r="C26" i="13"/>
  <c r="F29" i="13"/>
  <c r="E28" i="13"/>
  <c r="C24" i="13"/>
  <c r="D23" i="13"/>
  <c r="B25" i="13"/>
  <c r="E23" i="13"/>
  <c r="D10" i="14"/>
  <c r="B23" i="13"/>
  <c r="B5" i="14"/>
  <c r="C5" i="14"/>
  <c r="E9" i="14"/>
  <c r="C4" i="14"/>
  <c r="B4" i="14"/>
  <c r="D4" i="14"/>
  <c r="E4" i="14"/>
  <c r="D5" i="14"/>
  <c r="C8" i="14"/>
  <c r="D9" i="14"/>
  <c r="E5" i="14"/>
  <c r="D8" i="14"/>
  <c r="B9" i="14"/>
  <c r="C9" i="14"/>
  <c r="B8" i="14"/>
  <c r="E18" i="13"/>
  <c r="B18" i="13"/>
  <c r="C18" i="13"/>
  <c r="D18" i="13"/>
  <c r="E10" i="13"/>
  <c r="F8" i="13"/>
  <c r="B8" i="13"/>
  <c r="E9" i="13"/>
  <c r="C9" i="13"/>
  <c r="D9" i="13"/>
  <c r="B10" i="13"/>
  <c r="B9" i="13"/>
  <c r="B5" i="13"/>
  <c r="E5" i="13"/>
  <c r="D5" i="13" s="1"/>
  <c r="F33" i="8"/>
  <c r="E5" i="8"/>
  <c r="E19" i="8"/>
  <c r="B19" i="8"/>
  <c r="B33" i="8"/>
  <c r="B5" i="8"/>
  <c r="E33" i="8"/>
  <c r="D7" i="14" l="1"/>
  <c r="C7" i="15"/>
  <c r="H3" i="15" s="1"/>
  <c r="C12" i="14"/>
  <c r="H8" i="14" s="1"/>
  <c r="C7" i="14"/>
  <c r="H3" i="14" s="1"/>
  <c r="A40" i="1"/>
  <c r="R39" i="1"/>
  <c r="A41" i="1" l="1"/>
  <c r="C24" i="14" s="1"/>
  <c r="R40" i="1"/>
  <c r="C23" i="14"/>
  <c r="D23" i="14"/>
  <c r="B24" i="14"/>
  <c r="E24" i="14"/>
  <c r="F23" i="14"/>
  <c r="F24" i="14"/>
  <c r="E23" i="14"/>
  <c r="B23" i="14"/>
  <c r="D24" i="14" l="1"/>
  <c r="A42" i="1"/>
  <c r="R41" i="1"/>
  <c r="A43" i="1" l="1"/>
  <c r="F26" i="14" s="1"/>
  <c r="R42" i="1"/>
  <c r="E25" i="14"/>
  <c r="C25" i="14"/>
  <c r="C26" i="14"/>
  <c r="D26" i="14"/>
  <c r="D25" i="14"/>
  <c r="E26" i="14"/>
  <c r="F25" i="14"/>
  <c r="B25" i="14"/>
  <c r="B26" i="14" l="1"/>
  <c r="A44" i="1"/>
  <c r="R43" i="1"/>
  <c r="A45" i="1" l="1"/>
  <c r="F28" i="14" s="1"/>
  <c r="R44" i="1"/>
  <c r="E27" i="14"/>
  <c r="F27" i="14"/>
  <c r="B27" i="14"/>
  <c r="C27" i="14"/>
  <c r="D27" i="14"/>
  <c r="E28" i="14" l="1"/>
  <c r="D28" i="14"/>
  <c r="B28" i="14"/>
  <c r="C28" i="14"/>
  <c r="A46" i="1"/>
  <c r="R45" i="1"/>
  <c r="A47" i="1" l="1"/>
  <c r="E30" i="14" s="1"/>
  <c r="R46" i="1"/>
  <c r="F29" i="14"/>
  <c r="C29" i="14"/>
  <c r="B29" i="14"/>
  <c r="E29" i="14"/>
  <c r="C30" i="14"/>
  <c r="D29" i="14"/>
  <c r="F30" i="14" l="1"/>
  <c r="B30" i="14"/>
  <c r="D30" i="14"/>
  <c r="A48" i="1"/>
  <c r="R47" i="1"/>
  <c r="A49" i="1" l="1"/>
  <c r="F23" i="15" s="1"/>
  <c r="R48" i="1"/>
  <c r="C18" i="15"/>
  <c r="B18" i="15"/>
  <c r="E18" i="15"/>
  <c r="B23" i="15"/>
  <c r="D18" i="15"/>
  <c r="D23" i="15" l="1"/>
  <c r="E23" i="15"/>
  <c r="C23" i="15"/>
  <c r="A50" i="1"/>
  <c r="R49" i="1"/>
  <c r="A51" i="1" l="1"/>
  <c r="R50" i="1"/>
  <c r="A52" i="1" l="1"/>
  <c r="R51" i="1"/>
  <c r="A53" i="1" l="1"/>
  <c r="R52" i="1"/>
  <c r="A54" i="1" l="1"/>
  <c r="R53" i="1"/>
  <c r="A55" i="1" l="1"/>
  <c r="R54" i="1"/>
  <c r="A56" i="1" l="1"/>
  <c r="R55" i="1"/>
  <c r="A57" i="1" l="1"/>
  <c r="R56" i="1"/>
  <c r="A58" i="1" l="1"/>
  <c r="R57" i="1"/>
  <c r="A59" i="1" l="1"/>
  <c r="R58" i="1"/>
  <c r="B10" i="26"/>
  <c r="C10" i="26"/>
  <c r="D10" i="26"/>
  <c r="E10" i="26"/>
  <c r="E8" i="14"/>
  <c r="D18" i="14"/>
  <c r="C18" i="14"/>
  <c r="A60" i="1" l="1"/>
  <c r="R59" i="1"/>
  <c r="A61" i="1" l="1"/>
  <c r="R60" i="1"/>
  <c r="A62" i="1" l="1"/>
  <c r="R61" i="1"/>
  <c r="A63" i="1" l="1"/>
  <c r="R62" i="1"/>
  <c r="A64" i="1" l="1"/>
  <c r="R63" i="1"/>
  <c r="C10" i="25"/>
  <c r="F9" i="25"/>
  <c r="C4" i="25"/>
  <c r="D9" i="25"/>
  <c r="E9" i="25"/>
  <c r="F4" i="25"/>
  <c r="C9" i="25"/>
  <c r="B10" i="25"/>
  <c r="C5" i="25"/>
  <c r="E5" i="25"/>
  <c r="E10" i="25"/>
  <c r="B4" i="25"/>
  <c r="B5" i="25"/>
  <c r="B9" i="25"/>
  <c r="D4" i="25"/>
  <c r="E4" i="25"/>
  <c r="D10" i="25"/>
  <c r="C12" i="25" l="1"/>
  <c r="C7" i="25"/>
  <c r="A65" i="1"/>
  <c r="R64" i="1"/>
  <c r="A66" i="1" l="1"/>
  <c r="R65" i="1"/>
  <c r="A67" i="1" l="1"/>
  <c r="R66" i="1"/>
  <c r="A68" i="1" l="1"/>
  <c r="R67" i="1"/>
  <c r="A69" i="1" l="1"/>
  <c r="R68" i="1"/>
  <c r="A70" i="1" l="1"/>
  <c r="R69" i="1"/>
  <c r="A71" i="1" l="1"/>
  <c r="R70" i="1"/>
  <c r="A72" i="1" l="1"/>
  <c r="R71" i="1"/>
  <c r="A73" i="1" l="1"/>
  <c r="R72" i="1"/>
  <c r="A74" i="1" l="1"/>
  <c r="R73" i="1"/>
  <c r="A75" i="1" l="1"/>
  <c r="R74" i="1"/>
  <c r="A76" i="1" l="1"/>
  <c r="R75" i="1"/>
  <c r="A77" i="1" l="1"/>
  <c r="R76" i="1"/>
  <c r="A78" i="1" l="1"/>
  <c r="R77" i="1"/>
  <c r="A79" i="1" l="1"/>
  <c r="R78" i="1"/>
  <c r="A80" i="1" l="1"/>
  <c r="R79" i="1"/>
  <c r="A81" i="1" l="1"/>
  <c r="R80" i="1"/>
  <c r="A82" i="1" l="1"/>
  <c r="R81" i="1"/>
  <c r="A83" i="1" l="1"/>
  <c r="R82" i="1"/>
  <c r="A84" i="1" l="1"/>
  <c r="R83" i="1"/>
  <c r="A85" i="1" l="1"/>
  <c r="R84" i="1"/>
  <c r="A86" i="1" l="1"/>
  <c r="R85" i="1"/>
  <c r="A87" i="1" l="1"/>
  <c r="R86" i="1"/>
  <c r="A88" i="1" l="1"/>
  <c r="R87" i="1"/>
  <c r="A89" i="1" l="1"/>
  <c r="R88" i="1"/>
  <c r="A90" i="1" l="1"/>
  <c r="R89" i="1"/>
  <c r="A91" i="1" l="1"/>
  <c r="R90" i="1"/>
  <c r="A92" i="1" l="1"/>
  <c r="R91" i="1"/>
  <c r="A93" i="1" l="1"/>
  <c r="R92" i="1"/>
  <c r="A94" i="1" l="1"/>
  <c r="R93" i="1"/>
  <c r="A95" i="1" l="1"/>
  <c r="R94" i="1"/>
  <c r="A96" i="1" l="1"/>
  <c r="R95" i="1"/>
  <c r="A97" i="1" l="1"/>
  <c r="R96" i="1"/>
  <c r="A98" i="1" l="1"/>
  <c r="R97" i="1"/>
  <c r="A99" i="1" l="1"/>
  <c r="R98" i="1"/>
  <c r="A100" i="1" l="1"/>
  <c r="R99" i="1"/>
  <c r="A101" i="1" l="1"/>
  <c r="R100" i="1"/>
  <c r="A102" i="1" l="1"/>
  <c r="R101" i="1"/>
  <c r="A103" i="1" l="1"/>
  <c r="R102" i="1"/>
  <c r="A104" i="1" l="1"/>
  <c r="R103" i="1"/>
  <c r="A105" i="1" l="1"/>
  <c r="R104" i="1"/>
  <c r="A106" i="1" l="1"/>
  <c r="R105" i="1"/>
  <c r="A107" i="1" l="1"/>
  <c r="R106" i="1"/>
  <c r="A108" i="1" l="1"/>
  <c r="R107" i="1"/>
  <c r="A109" i="1" l="1"/>
  <c r="R108" i="1"/>
  <c r="A110" i="1" l="1"/>
  <c r="R109" i="1"/>
  <c r="A111" i="1" l="1"/>
  <c r="R110" i="1"/>
  <c r="A112" i="1" l="1"/>
  <c r="R111" i="1"/>
  <c r="A113" i="1" l="1"/>
  <c r="R112" i="1"/>
  <c r="A114" i="1" l="1"/>
  <c r="R113" i="1"/>
  <c r="A115" i="1" l="1"/>
  <c r="R114" i="1"/>
  <c r="A116" i="1" l="1"/>
  <c r="R115" i="1"/>
  <c r="A117" i="1" l="1"/>
  <c r="R116" i="1"/>
  <c r="A118" i="1" l="1"/>
  <c r="R117" i="1"/>
  <c r="A119" i="1" l="1"/>
  <c r="R118" i="1"/>
  <c r="A120" i="1" l="1"/>
  <c r="R119" i="1"/>
  <c r="A121" i="1" l="1"/>
  <c r="R120" i="1"/>
  <c r="A122" i="1" l="1"/>
  <c r="R121" i="1"/>
  <c r="A123" i="1" l="1"/>
  <c r="R122" i="1"/>
  <c r="A124" i="1" l="1"/>
  <c r="R123" i="1"/>
  <c r="A125" i="1" l="1"/>
  <c r="R124" i="1"/>
  <c r="A126" i="1" l="1"/>
  <c r="R125" i="1"/>
  <c r="A127" i="1" l="1"/>
  <c r="R126" i="1"/>
  <c r="A128" i="1" l="1"/>
  <c r="R127" i="1"/>
  <c r="A129" i="1" l="1"/>
  <c r="R128" i="1"/>
  <c r="A130" i="1" l="1"/>
  <c r="R129" i="1"/>
  <c r="A131" i="1" l="1"/>
  <c r="R130" i="1"/>
  <c r="A132" i="1" l="1"/>
  <c r="R131" i="1"/>
  <c r="A133" i="1" l="1"/>
  <c r="R132" i="1"/>
  <c r="A134" i="1" l="1"/>
  <c r="R133" i="1"/>
  <c r="A135" i="1" l="1"/>
  <c r="R134" i="1"/>
  <c r="A136" i="1" l="1"/>
  <c r="R135" i="1"/>
  <c r="A137" i="1" l="1"/>
  <c r="R136" i="1"/>
  <c r="A138" i="1" l="1"/>
  <c r="R137" i="1"/>
  <c r="A139" i="1" l="1"/>
  <c r="R138" i="1"/>
  <c r="A140" i="1" l="1"/>
  <c r="R139" i="1"/>
  <c r="A141" i="1" l="1"/>
  <c r="R140" i="1"/>
  <c r="A142" i="1" l="1"/>
  <c r="R141" i="1"/>
  <c r="A143" i="1" l="1"/>
  <c r="R142" i="1"/>
  <c r="A144" i="1" l="1"/>
  <c r="R143" i="1"/>
  <c r="A145" i="1" l="1"/>
  <c r="R144" i="1"/>
  <c r="A146" i="1" l="1"/>
  <c r="R145" i="1"/>
  <c r="A147" i="1" l="1"/>
  <c r="R146" i="1"/>
  <c r="A148" i="1" l="1"/>
  <c r="R147" i="1"/>
  <c r="A149" i="1" l="1"/>
  <c r="R148" i="1"/>
  <c r="A150" i="1" l="1"/>
  <c r="R149" i="1"/>
  <c r="A151" i="1" l="1"/>
  <c r="R150" i="1"/>
  <c r="A152" i="1" l="1"/>
  <c r="R151" i="1"/>
  <c r="A153" i="1" l="1"/>
  <c r="R152" i="1"/>
  <c r="A154" i="1" l="1"/>
  <c r="R153" i="1"/>
  <c r="A155" i="1" l="1"/>
  <c r="R154" i="1"/>
  <c r="A156" i="1" l="1"/>
  <c r="R155" i="1"/>
  <c r="A157" i="1" l="1"/>
  <c r="R156" i="1"/>
  <c r="A158" i="1" l="1"/>
  <c r="R157" i="1"/>
  <c r="A159" i="1" l="1"/>
  <c r="R158" i="1"/>
  <c r="A160" i="1" l="1"/>
  <c r="R159" i="1"/>
  <c r="A161" i="1" l="1"/>
  <c r="R160" i="1"/>
  <c r="A162" i="1" l="1"/>
  <c r="R161" i="1"/>
  <c r="A163" i="1" l="1"/>
  <c r="R162" i="1"/>
  <c r="A164" i="1" l="1"/>
  <c r="R163" i="1"/>
  <c r="A165" i="1" l="1"/>
  <c r="R164" i="1"/>
  <c r="A166" i="1" l="1"/>
  <c r="R165" i="1"/>
  <c r="A167" i="1" l="1"/>
  <c r="R166" i="1"/>
  <c r="A168" i="1" l="1"/>
  <c r="R167" i="1"/>
  <c r="A169" i="1" l="1"/>
  <c r="R168" i="1"/>
  <c r="A170" i="1" l="1"/>
  <c r="R169" i="1"/>
  <c r="A171" i="1" l="1"/>
  <c r="R170" i="1"/>
  <c r="A172" i="1" l="1"/>
  <c r="R171" i="1"/>
  <c r="A173" i="1" l="1"/>
  <c r="R172" i="1"/>
  <c r="A174" i="1" l="1"/>
  <c r="R173" i="1"/>
  <c r="A175" i="1" l="1"/>
  <c r="R174" i="1"/>
  <c r="A176" i="1" l="1"/>
  <c r="R175" i="1"/>
  <c r="A177" i="1" l="1"/>
  <c r="R176" i="1"/>
  <c r="A178" i="1" l="1"/>
  <c r="R177" i="1"/>
  <c r="A179" i="1" l="1"/>
  <c r="R178" i="1"/>
  <c r="A180" i="1" l="1"/>
  <c r="R179" i="1"/>
  <c r="A181" i="1" l="1"/>
  <c r="R180" i="1"/>
  <c r="A182" i="1" l="1"/>
  <c r="R181" i="1"/>
  <c r="A183" i="1" l="1"/>
  <c r="R182" i="1"/>
  <c r="A184" i="1" l="1"/>
  <c r="R183" i="1"/>
  <c r="A185" i="1" l="1"/>
  <c r="R184" i="1"/>
  <c r="A186" i="1" l="1"/>
  <c r="R185" i="1"/>
  <c r="A187" i="1" l="1"/>
  <c r="R186" i="1"/>
  <c r="A188" i="1" l="1"/>
  <c r="R187" i="1"/>
  <c r="A189" i="1" l="1"/>
  <c r="R188" i="1"/>
  <c r="A190" i="1" l="1"/>
  <c r="R189" i="1"/>
  <c r="A191" i="1" l="1"/>
  <c r="R190" i="1"/>
  <c r="A192" i="1" l="1"/>
  <c r="R191" i="1"/>
  <c r="A193" i="1" l="1"/>
  <c r="R192" i="1"/>
  <c r="A194" i="1" l="1"/>
  <c r="R193" i="1"/>
  <c r="A195" i="1" l="1"/>
  <c r="R194" i="1"/>
  <c r="A196" i="1" l="1"/>
  <c r="R195" i="1"/>
  <c r="A197" i="1" l="1"/>
  <c r="R196" i="1"/>
  <c r="A198" i="1" l="1"/>
  <c r="R197" i="1"/>
  <c r="A199" i="1" l="1"/>
  <c r="R198" i="1"/>
  <c r="A200" i="1" l="1"/>
  <c r="R199" i="1"/>
  <c r="A201" i="1" l="1"/>
  <c r="R200" i="1"/>
  <c r="A202" i="1" l="1"/>
  <c r="R201" i="1"/>
  <c r="A203" i="1" l="1"/>
  <c r="R202" i="1"/>
  <c r="A204" i="1" l="1"/>
  <c r="R203" i="1"/>
  <c r="A205" i="1" l="1"/>
  <c r="R204" i="1"/>
  <c r="A206" i="1" l="1"/>
  <c r="R205" i="1"/>
  <c r="A207" i="1" l="1"/>
  <c r="R206" i="1"/>
  <c r="A208" i="1" l="1"/>
  <c r="R207" i="1"/>
  <c r="A209" i="1" l="1"/>
  <c r="R208" i="1"/>
  <c r="A210" i="1" l="1"/>
  <c r="R209" i="1"/>
  <c r="A211" i="1" l="1"/>
  <c r="R210" i="1"/>
  <c r="A212" i="1" l="1"/>
  <c r="R211" i="1"/>
  <c r="A213" i="1" l="1"/>
  <c r="R212" i="1"/>
  <c r="A214" i="1" l="1"/>
  <c r="R213" i="1"/>
  <c r="A215" i="1" l="1"/>
  <c r="R214" i="1"/>
  <c r="A216" i="1" l="1"/>
  <c r="R215" i="1"/>
  <c r="A217" i="1" l="1"/>
  <c r="R216" i="1"/>
  <c r="A218" i="1" l="1"/>
  <c r="R217" i="1"/>
  <c r="A219" i="1" l="1"/>
  <c r="R218" i="1"/>
  <c r="A220" i="1" l="1"/>
  <c r="R219" i="1"/>
  <c r="A221" i="1" l="1"/>
  <c r="R220" i="1"/>
  <c r="A222" i="1" l="1"/>
  <c r="R221" i="1"/>
  <c r="A223" i="1" l="1"/>
  <c r="R222" i="1"/>
  <c r="A224" i="1" l="1"/>
  <c r="R223" i="1"/>
  <c r="A225" i="1" l="1"/>
  <c r="R224" i="1"/>
  <c r="A226" i="1" l="1"/>
  <c r="R225" i="1"/>
  <c r="A227" i="1" l="1"/>
  <c r="R226" i="1"/>
  <c r="A228" i="1" l="1"/>
  <c r="R227" i="1"/>
  <c r="A229" i="1" l="1"/>
  <c r="R228" i="1"/>
  <c r="A230" i="1" l="1"/>
  <c r="R229" i="1"/>
  <c r="A231" i="1" l="1"/>
  <c r="R230" i="1"/>
  <c r="A232" i="1" l="1"/>
  <c r="R231" i="1"/>
  <c r="A233" i="1" l="1"/>
  <c r="R232" i="1"/>
  <c r="A234" i="1" l="1"/>
  <c r="R233" i="1"/>
  <c r="A235" i="1" l="1"/>
  <c r="R234" i="1"/>
  <c r="A236" i="1" l="1"/>
  <c r="R235" i="1"/>
  <c r="A237" i="1" l="1"/>
  <c r="R236" i="1"/>
  <c r="A238" i="1" l="1"/>
  <c r="R237" i="1"/>
  <c r="A239" i="1" l="1"/>
  <c r="R238" i="1"/>
  <c r="A240" i="1" l="1"/>
  <c r="R239" i="1"/>
  <c r="A241" i="1" l="1"/>
  <c r="R240" i="1"/>
  <c r="A242" i="1" l="1"/>
  <c r="R241" i="1"/>
  <c r="A243" i="1" l="1"/>
  <c r="R242" i="1"/>
  <c r="A244" i="1" l="1"/>
  <c r="R243" i="1"/>
  <c r="A245" i="1" l="1"/>
  <c r="R244" i="1"/>
  <c r="A246" i="1" l="1"/>
  <c r="R245" i="1"/>
  <c r="A247" i="1" l="1"/>
  <c r="R246" i="1"/>
  <c r="A248" i="1" l="1"/>
  <c r="R247" i="1"/>
  <c r="A249" i="1" l="1"/>
  <c r="R248" i="1"/>
  <c r="A250" i="1" l="1"/>
  <c r="R249" i="1"/>
  <c r="A251" i="1" l="1"/>
  <c r="R250" i="1"/>
  <c r="A252" i="1" l="1"/>
  <c r="R251" i="1"/>
  <c r="A253" i="1" l="1"/>
  <c r="R252" i="1"/>
  <c r="A254" i="1" l="1"/>
  <c r="R253" i="1"/>
  <c r="A255" i="1" l="1"/>
  <c r="R254" i="1"/>
  <c r="A256" i="1" l="1"/>
  <c r="R255" i="1"/>
  <c r="A257" i="1" l="1"/>
  <c r="R256" i="1"/>
  <c r="A258" i="1" l="1"/>
  <c r="R257" i="1"/>
  <c r="A259" i="1" l="1"/>
  <c r="R258" i="1"/>
  <c r="A260" i="1" l="1"/>
  <c r="R259" i="1"/>
  <c r="A261" i="1" l="1"/>
  <c r="R260" i="1"/>
  <c r="A262" i="1" l="1"/>
  <c r="R261" i="1"/>
  <c r="A263" i="1" l="1"/>
  <c r="R262" i="1"/>
  <c r="A264" i="1" l="1"/>
  <c r="R263" i="1"/>
  <c r="A265" i="1" l="1"/>
  <c r="R264" i="1"/>
  <c r="A266" i="1" l="1"/>
  <c r="R265" i="1"/>
  <c r="A267" i="1" l="1"/>
  <c r="R266" i="1"/>
  <c r="A268" i="1" l="1"/>
  <c r="R267" i="1"/>
  <c r="A269" i="1" l="1"/>
  <c r="R268" i="1"/>
  <c r="A270" i="1" l="1"/>
  <c r="R269" i="1"/>
  <c r="A271" i="1" l="1"/>
  <c r="R270" i="1"/>
  <c r="A272" i="1" l="1"/>
  <c r="R271" i="1"/>
  <c r="A273" i="1" l="1"/>
  <c r="R272" i="1"/>
  <c r="A274" i="1" l="1"/>
  <c r="R273" i="1"/>
  <c r="A275" i="1" l="1"/>
  <c r="R274" i="1"/>
  <c r="A276" i="1" l="1"/>
  <c r="R275" i="1"/>
  <c r="A277" i="1" l="1"/>
  <c r="R276" i="1"/>
  <c r="A278" i="1" l="1"/>
  <c r="R277" i="1"/>
  <c r="A279" i="1" l="1"/>
  <c r="R278" i="1"/>
  <c r="A280" i="1" l="1"/>
  <c r="R279" i="1"/>
  <c r="A281" i="1" l="1"/>
  <c r="R280" i="1"/>
  <c r="A282" i="1" l="1"/>
  <c r="R281" i="1"/>
  <c r="A283" i="1" l="1"/>
  <c r="R282" i="1"/>
  <c r="A284" i="1" l="1"/>
  <c r="R283" i="1"/>
  <c r="A285" i="1" l="1"/>
  <c r="R284" i="1"/>
  <c r="A286" i="1" l="1"/>
  <c r="R285" i="1"/>
  <c r="A287" i="1" l="1"/>
  <c r="R286" i="1"/>
  <c r="A288" i="1" l="1"/>
  <c r="R287" i="1"/>
  <c r="A289" i="1" l="1"/>
  <c r="R288" i="1"/>
  <c r="A290" i="1" l="1"/>
  <c r="R289" i="1"/>
  <c r="A291" i="1" l="1"/>
  <c r="R290" i="1"/>
  <c r="A292" i="1" l="1"/>
  <c r="R291" i="1"/>
  <c r="A293" i="1" l="1"/>
  <c r="R292" i="1"/>
  <c r="A294" i="1" l="1"/>
  <c r="R293" i="1"/>
  <c r="A295" i="1" l="1"/>
  <c r="R294" i="1"/>
  <c r="A296" i="1" l="1"/>
  <c r="R295" i="1"/>
  <c r="A297" i="1" l="1"/>
  <c r="R296" i="1"/>
  <c r="A298" i="1" l="1"/>
  <c r="R297" i="1"/>
  <c r="A299" i="1" l="1"/>
  <c r="R298" i="1"/>
  <c r="A300" i="1" l="1"/>
  <c r="R299" i="1"/>
  <c r="A301" i="1" l="1"/>
  <c r="R300" i="1"/>
  <c r="A302" i="1" l="1"/>
  <c r="R301" i="1"/>
  <c r="A303" i="1" l="1"/>
  <c r="R302" i="1"/>
  <c r="A304" i="1" l="1"/>
  <c r="R303" i="1"/>
  <c r="A305" i="1" l="1"/>
  <c r="R304" i="1"/>
  <c r="A306" i="1" l="1"/>
  <c r="R305" i="1"/>
  <c r="A307" i="1" l="1"/>
  <c r="R306" i="1"/>
  <c r="A308" i="1" l="1"/>
  <c r="R307" i="1"/>
  <c r="A309" i="1" l="1"/>
  <c r="R308" i="1"/>
  <c r="A310" i="1" l="1"/>
  <c r="R309" i="1"/>
  <c r="A311" i="1" l="1"/>
  <c r="R310" i="1"/>
  <c r="A312" i="1" l="1"/>
  <c r="R311" i="1"/>
  <c r="A313" i="1" l="1"/>
  <c r="R312" i="1"/>
  <c r="A314" i="1" l="1"/>
  <c r="R313" i="1"/>
  <c r="A315" i="1" l="1"/>
  <c r="R314" i="1"/>
  <c r="A316" i="1" l="1"/>
  <c r="R315" i="1"/>
  <c r="A317" i="1" l="1"/>
  <c r="R316" i="1"/>
  <c r="A318" i="1" l="1"/>
  <c r="R317" i="1"/>
  <c r="A319" i="1" l="1"/>
  <c r="R318" i="1"/>
  <c r="A320" i="1" l="1"/>
  <c r="R319" i="1"/>
  <c r="A321" i="1" l="1"/>
  <c r="R320" i="1"/>
  <c r="A322" i="1" l="1"/>
  <c r="R321" i="1"/>
  <c r="A323" i="1" l="1"/>
  <c r="R322" i="1"/>
  <c r="A324" i="1" l="1"/>
  <c r="R323" i="1"/>
  <c r="A325" i="1" l="1"/>
  <c r="R324" i="1"/>
  <c r="A326" i="1" l="1"/>
  <c r="R325" i="1"/>
  <c r="A327" i="1" l="1"/>
  <c r="R326" i="1"/>
  <c r="A328" i="1" l="1"/>
  <c r="R327" i="1"/>
  <c r="A329" i="1" l="1"/>
  <c r="R328" i="1"/>
  <c r="A330" i="1" l="1"/>
  <c r="R329" i="1"/>
  <c r="A331" i="1" l="1"/>
  <c r="R330" i="1"/>
  <c r="A332" i="1" l="1"/>
  <c r="R331" i="1"/>
  <c r="A333" i="1" l="1"/>
  <c r="R332" i="1"/>
  <c r="A334" i="1" l="1"/>
  <c r="R333" i="1"/>
  <c r="A335" i="1" l="1"/>
  <c r="R334" i="1"/>
  <c r="A336" i="1" l="1"/>
  <c r="R335" i="1"/>
  <c r="A337" i="1" l="1"/>
  <c r="R336" i="1"/>
  <c r="A338" i="1" l="1"/>
  <c r="R337" i="1"/>
  <c r="A339" i="1" l="1"/>
  <c r="R338" i="1"/>
  <c r="A340" i="1" l="1"/>
  <c r="R339" i="1"/>
  <c r="A341" i="1" l="1"/>
  <c r="R340" i="1"/>
  <c r="A342" i="1" l="1"/>
  <c r="R341" i="1"/>
  <c r="A343" i="1" l="1"/>
  <c r="R342" i="1"/>
  <c r="A344" i="1" l="1"/>
  <c r="R343" i="1"/>
  <c r="A345" i="1" l="1"/>
  <c r="R344" i="1"/>
  <c r="A346" i="1" l="1"/>
  <c r="R345" i="1"/>
  <c r="A347" i="1" l="1"/>
  <c r="R346" i="1"/>
  <c r="A348" i="1" l="1"/>
  <c r="R347" i="1"/>
  <c r="A349" i="1" l="1"/>
  <c r="R348" i="1"/>
  <c r="A350" i="1" l="1"/>
  <c r="R349" i="1"/>
  <c r="A351" i="1" l="1"/>
  <c r="R350" i="1"/>
  <c r="A352" i="1" l="1"/>
  <c r="R351" i="1"/>
  <c r="A353" i="1" l="1"/>
  <c r="R352" i="1"/>
  <c r="A354" i="1" l="1"/>
  <c r="R353" i="1"/>
  <c r="A355" i="1" l="1"/>
  <c r="R354" i="1"/>
  <c r="A356" i="1" l="1"/>
  <c r="R355" i="1"/>
  <c r="A357" i="1" l="1"/>
  <c r="R356" i="1"/>
  <c r="A358" i="1" l="1"/>
  <c r="R357" i="1"/>
  <c r="A359" i="1" l="1"/>
  <c r="R358" i="1"/>
  <c r="A360" i="1" l="1"/>
  <c r="R359" i="1"/>
  <c r="A361" i="1" l="1"/>
  <c r="R360" i="1"/>
  <c r="A362" i="1" l="1"/>
  <c r="R361" i="1"/>
  <c r="A363" i="1" l="1"/>
  <c r="R362" i="1"/>
  <c r="A364" i="1" l="1"/>
  <c r="R363" i="1"/>
  <c r="A365" i="1" l="1"/>
  <c r="R364" i="1"/>
  <c r="A366" i="1" l="1"/>
  <c r="R365" i="1"/>
  <c r="A367" i="1" l="1"/>
  <c r="R366" i="1"/>
  <c r="A368" i="1" l="1"/>
  <c r="R367" i="1"/>
  <c r="A369" i="1" l="1"/>
  <c r="R368" i="1"/>
  <c r="A370" i="1" l="1"/>
  <c r="R369" i="1"/>
  <c r="A371" i="1" l="1"/>
  <c r="R370" i="1"/>
  <c r="A372" i="1" l="1"/>
  <c r="R371" i="1"/>
  <c r="A373" i="1" l="1"/>
  <c r="R372" i="1"/>
  <c r="A374" i="1" l="1"/>
  <c r="R373" i="1"/>
  <c r="A375" i="1" l="1"/>
  <c r="R374" i="1"/>
  <c r="R375" i="1" l="1"/>
  <c r="A376" i="1"/>
  <c r="F6" i="24"/>
  <c r="E18" i="24"/>
  <c r="E34" i="21"/>
  <c r="D57" i="21"/>
  <c r="F18" i="25"/>
  <c r="C57" i="21"/>
  <c r="E53" i="21"/>
  <c r="E5" i="21"/>
  <c r="C33" i="21"/>
  <c r="C62" i="21"/>
  <c r="D3" i="24"/>
  <c r="C20" i="25"/>
  <c r="C7" i="24"/>
  <c r="C61" i="21"/>
  <c r="B13" i="21"/>
  <c r="B18" i="24"/>
  <c r="F59" i="21"/>
  <c r="D20" i="24"/>
  <c r="D40" i="21"/>
  <c r="B61" i="21"/>
  <c r="F23" i="24"/>
  <c r="C56" i="21"/>
  <c r="F38" i="21"/>
  <c r="D23" i="24"/>
  <c r="C12" i="21"/>
  <c r="D8" i="24"/>
  <c r="F21" i="24"/>
  <c r="F55" i="21"/>
  <c r="B11" i="24"/>
  <c r="B41" i="21"/>
  <c r="D4" i="24"/>
  <c r="F43" i="21"/>
  <c r="D55" i="21"/>
  <c r="D9" i="21"/>
  <c r="F58" i="21"/>
  <c r="F11" i="21"/>
  <c r="E3" i="21"/>
  <c r="B57" i="21"/>
  <c r="C53" i="21"/>
  <c r="D8" i="21"/>
  <c r="D6" i="24"/>
  <c r="E7" i="24"/>
  <c r="D16" i="24"/>
  <c r="D20" i="25"/>
  <c r="F19" i="24"/>
  <c r="C8" i="24"/>
  <c r="F61" i="21"/>
  <c r="D56" i="21"/>
  <c r="E23" i="25"/>
  <c r="D4" i="21"/>
  <c r="C5" i="21"/>
  <c r="C10" i="24"/>
  <c r="D33" i="21"/>
  <c r="B56" i="21"/>
  <c r="E60" i="21"/>
  <c r="E54" i="21"/>
  <c r="F34" i="21"/>
  <c r="F14" i="21"/>
  <c r="B6" i="21"/>
  <c r="C11" i="21"/>
  <c r="B4" i="24"/>
  <c r="C9" i="24"/>
  <c r="B15" i="24"/>
  <c r="F11" i="24"/>
  <c r="D58" i="21"/>
  <c r="D37" i="21"/>
  <c r="C34" i="21"/>
  <c r="D3" i="21"/>
  <c r="E10" i="21"/>
  <c r="D38" i="21"/>
  <c r="B9" i="21"/>
  <c r="D27" i="25"/>
  <c r="F10" i="24"/>
  <c r="D14" i="21"/>
  <c r="E7" i="21"/>
  <c r="F41" i="21"/>
  <c r="E52" i="21"/>
  <c r="B14" i="21"/>
  <c r="B18" i="25"/>
  <c r="F25" i="25"/>
  <c r="B59" i="21"/>
  <c r="C7" i="21"/>
  <c r="E43" i="21"/>
  <c r="B16" i="24"/>
  <c r="E6" i="24"/>
  <c r="D60" i="21"/>
  <c r="D61" i="21"/>
  <c r="C24" i="25"/>
  <c r="C28" i="25"/>
  <c r="B25" i="25"/>
  <c r="C22" i="24"/>
  <c r="E4" i="21"/>
  <c r="E11" i="24"/>
  <c r="E42" i="21"/>
  <c r="F32" i="21"/>
  <c r="E36" i="21"/>
  <c r="E5" i="24"/>
  <c r="D11" i="21"/>
  <c r="C18" i="24"/>
  <c r="F4" i="21"/>
  <c r="D10" i="21"/>
  <c r="C59" i="21"/>
  <c r="C3" i="21"/>
  <c r="D11" i="24"/>
  <c r="E15" i="24"/>
  <c r="B20" i="24"/>
  <c r="F13" i="21"/>
  <c r="F39" i="21"/>
  <c r="B43" i="21"/>
  <c r="F52" i="21"/>
  <c r="E12" i="21"/>
  <c r="F53" i="21"/>
  <c r="D7" i="24"/>
  <c r="B52" i="21"/>
  <c r="B40" i="21"/>
  <c r="D7" i="21"/>
  <c r="C36" i="21"/>
  <c r="B28" i="25"/>
  <c r="B55" i="21"/>
  <c r="E51" i="21"/>
  <c r="E28" i="25"/>
  <c r="F40" i="21"/>
  <c r="B26" i="25"/>
  <c r="D62" i="21"/>
  <c r="D53" i="21"/>
  <c r="D34" i="21"/>
  <c r="D54" i="21"/>
  <c r="D17" i="24"/>
  <c r="E61" i="21"/>
  <c r="B11" i="21"/>
  <c r="C4" i="21"/>
  <c r="F7" i="24"/>
  <c r="B3" i="21"/>
  <c r="E4" i="24"/>
  <c r="E21" i="24"/>
  <c r="D24" i="25"/>
  <c r="C17" i="24"/>
  <c r="B34" i="21"/>
  <c r="E22" i="24"/>
  <c r="E40" i="21"/>
  <c r="B21" i="24"/>
  <c r="C20" i="24"/>
  <c r="C5" i="24"/>
  <c r="E58" i="21"/>
  <c r="D23" i="25"/>
  <c r="F20" i="24"/>
  <c r="E8" i="21"/>
  <c r="F28" i="25"/>
  <c r="B4" i="21"/>
  <c r="C55" i="21"/>
  <c r="E24" i="25"/>
  <c r="F9" i="24"/>
  <c r="F37" i="21"/>
  <c r="C15" i="24"/>
  <c r="F62" i="21"/>
  <c r="B22" i="24"/>
  <c r="D6" i="21"/>
  <c r="B5" i="24"/>
  <c r="B53" i="21"/>
  <c r="C19" i="24"/>
  <c r="F26" i="25"/>
  <c r="B10" i="24"/>
  <c r="B36" i="21"/>
  <c r="C13" i="21"/>
  <c r="D9" i="24"/>
  <c r="F15" i="24"/>
  <c r="D12" i="21"/>
  <c r="C27" i="25"/>
  <c r="B23" i="25"/>
  <c r="C35" i="21"/>
  <c r="B7" i="24"/>
  <c r="F27" i="25"/>
  <c r="C14" i="21"/>
  <c r="B42" i="21"/>
  <c r="F12" i="21"/>
  <c r="F51" i="21"/>
  <c r="B38" i="21"/>
  <c r="E18" i="25"/>
  <c r="C58" i="21"/>
  <c r="D36" i="21"/>
  <c r="E33" i="21"/>
  <c r="F60" i="21"/>
  <c r="F16" i="24"/>
  <c r="D13" i="21"/>
  <c r="B32" i="21"/>
  <c r="B7" i="21"/>
  <c r="E25" i="25"/>
  <c r="D26" i="25"/>
  <c r="D59" i="21"/>
  <c r="F4" i="24"/>
  <c r="E23" i="24"/>
  <c r="F9" i="21"/>
  <c r="E17" i="24"/>
  <c r="E27" i="25"/>
  <c r="B9" i="24"/>
  <c r="C6" i="24"/>
  <c r="D10" i="24"/>
  <c r="B24" i="25"/>
  <c r="C21" i="24"/>
  <c r="C6" i="21"/>
  <c r="E9" i="21"/>
  <c r="B6" i="24"/>
  <c r="D43" i="21"/>
  <c r="F10" i="21"/>
  <c r="C8" i="21"/>
  <c r="F8" i="21"/>
  <c r="E14" i="21"/>
  <c r="B19" i="24"/>
  <c r="E35" i="21"/>
  <c r="C41" i="21"/>
  <c r="B58" i="21"/>
  <c r="C23" i="24"/>
  <c r="B17" i="24"/>
  <c r="E59" i="21"/>
  <c r="C18" i="25"/>
  <c r="B35" i="21"/>
  <c r="E56" i="21"/>
  <c r="F7" i="21"/>
  <c r="D35" i="21"/>
  <c r="B27" i="25"/>
  <c r="E26" i="25"/>
  <c r="C23" i="25"/>
  <c r="E20" i="25"/>
  <c r="F22" i="24"/>
  <c r="B12" i="21"/>
  <c r="D52" i="21"/>
  <c r="B10" i="21"/>
  <c r="C42" i="21"/>
  <c r="C43" i="21"/>
  <c r="C9" i="21"/>
  <c r="D32" i="21"/>
  <c r="B8" i="24"/>
  <c r="E55" i="21"/>
  <c r="C38" i="21"/>
  <c r="F57" i="21"/>
  <c r="C25" i="25"/>
  <c r="D18" i="25"/>
  <c r="F5" i="24"/>
  <c r="E19" i="24"/>
  <c r="D15" i="24"/>
  <c r="E57" i="21"/>
  <c r="E6" i="21"/>
  <c r="B54" i="21"/>
  <c r="E9" i="24"/>
  <c r="F24" i="25"/>
  <c r="B23" i="24"/>
  <c r="B51" i="21"/>
  <c r="C3" i="24"/>
  <c r="D5" i="24"/>
  <c r="F36" i="21"/>
  <c r="E32" i="21"/>
  <c r="D22" i="24"/>
  <c r="D5" i="21"/>
  <c r="D25" i="25"/>
  <c r="D21" i="24"/>
  <c r="C37" i="21"/>
  <c r="C16" i="24"/>
  <c r="B33" i="21"/>
  <c r="C4" i="24"/>
  <c r="E8" i="24"/>
  <c r="C51" i="21"/>
  <c r="B62" i="21"/>
  <c r="B37" i="21"/>
  <c r="E37" i="21"/>
  <c r="E11" i="21"/>
  <c r="E62" i="21"/>
  <c r="C11" i="24"/>
  <c r="F17" i="24"/>
  <c r="B3" i="24"/>
  <c r="D28" i="25"/>
  <c r="F56" i="21"/>
  <c r="B60" i="21"/>
  <c r="B8" i="21"/>
  <c r="D39" i="21"/>
  <c r="F18" i="24"/>
  <c r="E20" i="24"/>
  <c r="B5" i="21"/>
  <c r="E16" i="24"/>
  <c r="F42" i="21"/>
  <c r="E10" i="24"/>
  <c r="D42" i="21"/>
  <c r="C40" i="21"/>
  <c r="D19" i="24"/>
  <c r="C10" i="21"/>
  <c r="E3" i="24"/>
  <c r="F8" i="24"/>
  <c r="D18" i="24"/>
  <c r="E41" i="21"/>
  <c r="E39" i="21"/>
  <c r="D41" i="21"/>
  <c r="D51" i="21"/>
  <c r="C26" i="25"/>
  <c r="B39" i="21"/>
  <c r="E38" i="21"/>
  <c r="F23" i="25"/>
  <c r="F33" i="21"/>
  <c r="C32" i="21"/>
  <c r="C60" i="21"/>
  <c r="B20" i="25"/>
  <c r="E13" i="21"/>
  <c r="C52" i="21"/>
  <c r="C54" i="21"/>
  <c r="C39" i="21"/>
  <c r="A377" i="1" l="1"/>
  <c r="R376" i="1"/>
  <c r="A378" i="1" l="1"/>
  <c r="R377" i="1"/>
  <c r="D28" i="21"/>
  <c r="C19" i="21"/>
  <c r="E21" i="21"/>
  <c r="C18" i="21"/>
  <c r="B21" i="21"/>
  <c r="F18" i="21"/>
  <c r="F28" i="21"/>
  <c r="F29" i="21"/>
  <c r="C24" i="21"/>
  <c r="B23" i="21"/>
  <c r="C29" i="21"/>
  <c r="E26" i="21"/>
  <c r="C26" i="21"/>
  <c r="E28" i="21"/>
  <c r="C22" i="21"/>
  <c r="F27" i="21"/>
  <c r="B29" i="21"/>
  <c r="B19" i="21"/>
  <c r="B18" i="21"/>
  <c r="D26" i="21"/>
  <c r="E25" i="21"/>
  <c r="C23" i="21"/>
  <c r="F26" i="21"/>
  <c r="D24" i="21"/>
  <c r="D18" i="21"/>
  <c r="D22" i="21"/>
  <c r="C21" i="21"/>
  <c r="E29" i="21"/>
  <c r="D25" i="21"/>
  <c r="E24" i="21"/>
  <c r="E23" i="21"/>
  <c r="C28" i="21"/>
  <c r="B24" i="21"/>
  <c r="B27" i="21"/>
  <c r="B25" i="21"/>
  <c r="D21" i="21"/>
  <c r="F25" i="21"/>
  <c r="D27" i="21"/>
  <c r="E18" i="21"/>
  <c r="C25" i="21"/>
  <c r="B22" i="21"/>
  <c r="D19" i="21"/>
  <c r="D29" i="21"/>
  <c r="F19" i="21"/>
  <c r="F23" i="21"/>
  <c r="D23" i="21"/>
  <c r="F24" i="21"/>
  <c r="B28" i="21"/>
  <c r="E19" i="21"/>
  <c r="C27" i="21"/>
  <c r="B26" i="21"/>
  <c r="E27" i="21"/>
  <c r="E22" i="21"/>
  <c r="F22" i="21"/>
  <c r="R378" i="1" l="1"/>
  <c r="A379" i="1"/>
  <c r="D20" i="21"/>
  <c r="C20" i="21"/>
  <c r="B20" i="21"/>
  <c r="E20" i="21"/>
  <c r="F20" i="21"/>
  <c r="R379" i="1" l="1"/>
  <c r="A380" i="1"/>
  <c r="R380" i="1" l="1"/>
  <c r="A381" i="1"/>
  <c r="R381" i="1" l="1"/>
  <c r="A382" i="1"/>
  <c r="R382" i="1" l="1"/>
  <c r="A383" i="1"/>
  <c r="R383" i="1" l="1"/>
  <c r="A384" i="1"/>
  <c r="R384" i="1" l="1"/>
  <c r="A385" i="1"/>
  <c r="R385" i="1" l="1"/>
  <c r="A386" i="1"/>
  <c r="R386" i="1" l="1"/>
  <c r="A387" i="1"/>
  <c r="R387" i="1" l="1"/>
  <c r="A388" i="1"/>
  <c r="R388" i="1" l="1"/>
  <c r="A389" i="1"/>
  <c r="R389" i="1" l="1"/>
  <c r="A390" i="1"/>
  <c r="R390" i="1" l="1"/>
  <c r="A391" i="1"/>
  <c r="R391" i="1" l="1"/>
  <c r="A392" i="1"/>
  <c r="R392" i="1" l="1"/>
  <c r="A393" i="1"/>
  <c r="R393" i="1" l="1"/>
  <c r="A394" i="1"/>
  <c r="R394" i="1" l="1"/>
  <c r="A395" i="1"/>
  <c r="R395" i="1" l="1"/>
  <c r="A396" i="1"/>
  <c r="R396" i="1" l="1"/>
  <c r="A397" i="1"/>
  <c r="A398" i="1" l="1"/>
  <c r="R397" i="1"/>
  <c r="A399" i="1" l="1"/>
  <c r="R398" i="1"/>
  <c r="A400" i="1" l="1"/>
  <c r="R399" i="1"/>
  <c r="A401" i="1" l="1"/>
  <c r="R400" i="1"/>
  <c r="A402" i="1" l="1"/>
  <c r="R401" i="1"/>
  <c r="A403" i="1" l="1"/>
  <c r="R402" i="1"/>
  <c r="A404" i="1" l="1"/>
  <c r="R403" i="1"/>
  <c r="A405" i="1" l="1"/>
  <c r="R404" i="1"/>
  <c r="A406" i="1" l="1"/>
  <c r="R405" i="1"/>
  <c r="A407" i="1" l="1"/>
  <c r="R406" i="1"/>
  <c r="A408" i="1" l="1"/>
  <c r="R407" i="1"/>
  <c r="A409" i="1" l="1"/>
  <c r="R408" i="1"/>
  <c r="A410" i="1" l="1"/>
  <c r="R409" i="1"/>
  <c r="A411" i="1" l="1"/>
  <c r="R410" i="1"/>
  <c r="A412" i="1" l="1"/>
  <c r="R411" i="1"/>
  <c r="A413" i="1" l="1"/>
  <c r="R412" i="1"/>
  <c r="A414" i="1" l="1"/>
  <c r="R413" i="1"/>
  <c r="A415" i="1" l="1"/>
  <c r="R414" i="1"/>
  <c r="A416" i="1" l="1"/>
  <c r="R415" i="1"/>
  <c r="A417" i="1" l="1"/>
  <c r="R416" i="1"/>
  <c r="A418" i="1" l="1"/>
  <c r="R417" i="1"/>
  <c r="A419" i="1" l="1"/>
  <c r="R418" i="1"/>
  <c r="A420" i="1" l="1"/>
  <c r="R419" i="1"/>
  <c r="A421" i="1" l="1"/>
  <c r="R420" i="1"/>
  <c r="A422" i="1" l="1"/>
  <c r="R421" i="1"/>
  <c r="A423" i="1" l="1"/>
  <c r="R422" i="1"/>
  <c r="D7" i="13" l="1"/>
  <c r="C5" i="13"/>
  <c r="C7" i="13" s="1"/>
  <c r="C6" i="30"/>
  <c r="B4" i="20"/>
  <c r="D6" i="30"/>
  <c r="B6" i="30"/>
  <c r="E6" i="30"/>
  <c r="G6" i="30" s="1"/>
  <c r="D7" i="19"/>
  <c r="B8" i="19"/>
  <c r="C7" i="19"/>
  <c r="E6" i="19"/>
  <c r="E5" i="19"/>
  <c r="B5" i="19"/>
  <c r="E8" i="19"/>
  <c r="F7" i="19"/>
  <c r="F8" i="19"/>
  <c r="E4" i="19"/>
  <c r="C6" i="19"/>
  <c r="B7" i="19"/>
  <c r="F5" i="19"/>
  <c r="E7" i="19"/>
  <c r="C5" i="19"/>
  <c r="C4" i="19"/>
  <c r="D4" i="19"/>
  <c r="D5" i="19"/>
  <c r="D8" i="19"/>
  <c r="C8" i="19"/>
  <c r="D6" i="19"/>
  <c r="F6" i="19"/>
  <c r="B4" i="19"/>
  <c r="B6" i="19"/>
  <c r="F42" i="28"/>
  <c r="F41" i="28"/>
  <c r="F19" i="28"/>
  <c r="F12" i="28"/>
  <c r="F13" i="28"/>
  <c r="F39" i="28"/>
  <c r="F37" i="28"/>
  <c r="D32" i="28"/>
  <c r="F22" i="28"/>
  <c r="F35" i="28"/>
  <c r="F33" i="28"/>
  <c r="F38" i="28"/>
  <c r="F28" i="28"/>
  <c r="F32" i="28"/>
  <c r="E31" i="28"/>
  <c r="C32" i="28"/>
  <c r="F25" i="28"/>
  <c r="F31" i="28"/>
  <c r="F18" i="28"/>
  <c r="B32" i="28"/>
  <c r="B31" i="28"/>
  <c r="F10" i="28"/>
  <c r="F4" i="28"/>
  <c r="F27" i="28"/>
  <c r="F14" i="28"/>
  <c r="F7" i="28"/>
  <c r="F26" i="28"/>
  <c r="F11" i="28"/>
  <c r="F17" i="28"/>
  <c r="E32" i="28"/>
  <c r="F5" i="28"/>
  <c r="C31" i="28"/>
  <c r="F36" i="28"/>
  <c r="F21" i="28"/>
  <c r="F23" i="28"/>
  <c r="F9" i="28"/>
  <c r="F8" i="28"/>
  <c r="F24" i="28"/>
  <c r="F40" i="28"/>
  <c r="F3" i="28"/>
  <c r="D31" i="28"/>
  <c r="F5" i="27"/>
  <c r="C5" i="27"/>
  <c r="C20" i="27"/>
  <c r="C10" i="27"/>
  <c r="D10" i="27"/>
  <c r="D5" i="27"/>
  <c r="D15" i="27"/>
  <c r="E10" i="27"/>
  <c r="F10" i="27"/>
  <c r="F15" i="27"/>
  <c r="F20" i="27"/>
  <c r="E5" i="27"/>
  <c r="B5" i="27"/>
  <c r="B10" i="27"/>
  <c r="C15" i="27"/>
  <c r="B20" i="27"/>
  <c r="B15" i="27"/>
  <c r="D20" i="27"/>
  <c r="E15" i="27"/>
  <c r="E20" i="27"/>
  <c r="C5" i="26"/>
  <c r="D5" i="26"/>
  <c r="B5" i="26"/>
  <c r="E5" i="26"/>
  <c r="R423" i="1"/>
  <c r="C58" i="9"/>
  <c r="E83" i="9"/>
  <c r="E21" i="9"/>
  <c r="D35" i="8"/>
  <c r="D36" i="16"/>
  <c r="D6" i="9"/>
  <c r="B57" i="9"/>
  <c r="B26" i="20"/>
  <c r="E28" i="8"/>
  <c r="C18" i="20"/>
  <c r="D59" i="9"/>
  <c r="D83" i="9"/>
  <c r="F28" i="15"/>
  <c r="E5" i="16"/>
  <c r="D29" i="15"/>
  <c r="F30" i="16"/>
  <c r="F24" i="16"/>
  <c r="E38" i="8"/>
  <c r="D85" i="9"/>
  <c r="D9" i="8"/>
  <c r="B25" i="9"/>
  <c r="C9" i="20"/>
  <c r="B13" i="20"/>
  <c r="E43" i="8"/>
  <c r="D27" i="15"/>
  <c r="D40" i="8"/>
  <c r="C23" i="9"/>
  <c r="E14" i="14"/>
  <c r="F14" i="15"/>
  <c r="F38" i="8"/>
  <c r="B3" i="17"/>
  <c r="F29" i="8"/>
  <c r="D8" i="8"/>
  <c r="F22" i="16"/>
  <c r="C12" i="17"/>
  <c r="C24" i="20"/>
  <c r="D17" i="16"/>
  <c r="E9" i="16"/>
  <c r="E25" i="9"/>
  <c r="C8" i="9"/>
  <c r="C35" i="8"/>
  <c r="C22" i="8"/>
  <c r="D81" i="9"/>
  <c r="C13" i="17"/>
  <c r="E19" i="9"/>
  <c r="B12" i="9"/>
  <c r="D22" i="16"/>
  <c r="B27" i="20"/>
  <c r="C14" i="8"/>
  <c r="F23" i="16"/>
  <c r="D12" i="19"/>
  <c r="E7" i="16"/>
  <c r="E30" i="16"/>
  <c r="E11" i="16"/>
  <c r="E5" i="9"/>
  <c r="E27" i="9"/>
  <c r="D14" i="14"/>
  <c r="B30" i="16"/>
  <c r="E27" i="20"/>
  <c r="B29" i="20"/>
  <c r="B9" i="19"/>
  <c r="E85" i="9"/>
  <c r="F12" i="8"/>
  <c r="B12" i="19"/>
  <c r="B84" i="9"/>
  <c r="B13" i="17"/>
  <c r="C36" i="8"/>
  <c r="E13" i="20"/>
  <c r="D8" i="20"/>
  <c r="D39" i="8"/>
  <c r="F3" i="20"/>
  <c r="F10" i="8"/>
  <c r="E21" i="16"/>
  <c r="D19" i="13"/>
  <c r="E59" i="9"/>
  <c r="D28" i="8"/>
  <c r="C25" i="9"/>
  <c r="C83" i="9"/>
  <c r="D3" i="20"/>
  <c r="E26" i="8"/>
  <c r="F21" i="9"/>
  <c r="C7" i="9"/>
  <c r="D20" i="8"/>
  <c r="B40" i="8"/>
  <c r="B9" i="20"/>
  <c r="B6" i="8"/>
  <c r="C10" i="16"/>
  <c r="B29" i="8"/>
  <c r="C28" i="20"/>
  <c r="B11" i="19"/>
  <c r="B21" i="9"/>
  <c r="D25" i="9"/>
  <c r="F82" i="9"/>
  <c r="E37" i="16"/>
  <c r="B8" i="8"/>
  <c r="C7" i="8"/>
  <c r="B85" i="9"/>
  <c r="F57" i="9"/>
  <c r="E8" i="8"/>
  <c r="D19" i="20"/>
  <c r="D20" i="14"/>
  <c r="F11" i="16"/>
  <c r="F27" i="8"/>
  <c r="C14" i="15"/>
  <c r="E19" i="15"/>
  <c r="F37" i="8"/>
  <c r="D60" i="9"/>
  <c r="C6" i="8"/>
  <c r="C8" i="16"/>
  <c r="C4" i="20"/>
  <c r="B4" i="9"/>
  <c r="E25" i="15"/>
  <c r="F20" i="9"/>
  <c r="D24" i="20"/>
  <c r="C59" i="9"/>
  <c r="E4" i="9"/>
  <c r="F8" i="20"/>
  <c r="C9" i="16"/>
  <c r="B5" i="9"/>
  <c r="B30" i="15"/>
  <c r="B25" i="15"/>
  <c r="B34" i="8"/>
  <c r="D5" i="9"/>
  <c r="E39" i="8"/>
  <c r="B37" i="16"/>
  <c r="F14" i="14"/>
  <c r="B13" i="16"/>
  <c r="E25" i="20"/>
  <c r="D9" i="19"/>
  <c r="C41" i="8"/>
  <c r="D26" i="15"/>
  <c r="C19" i="13"/>
  <c r="F36" i="16"/>
  <c r="F9" i="20"/>
  <c r="E28" i="15"/>
  <c r="B21" i="16"/>
  <c r="D12" i="8"/>
  <c r="C29" i="20"/>
  <c r="C27" i="20"/>
  <c r="B24" i="16"/>
  <c r="E24" i="16"/>
  <c r="E8" i="16"/>
  <c r="D15" i="8"/>
  <c r="D13" i="16"/>
  <c r="C34" i="16"/>
  <c r="D38" i="8"/>
  <c r="D9" i="20"/>
  <c r="E24" i="8"/>
  <c r="D10" i="16"/>
  <c r="E7" i="9"/>
  <c r="E27" i="15"/>
  <c r="F58" i="9"/>
  <c r="D7" i="16"/>
  <c r="F19" i="16"/>
  <c r="C20" i="13"/>
  <c r="F27" i="15"/>
  <c r="D23" i="20"/>
  <c r="E21" i="8"/>
  <c r="D21" i="16"/>
  <c r="D10" i="8"/>
  <c r="B15" i="8"/>
  <c r="E9" i="8"/>
  <c r="C53" i="9"/>
  <c r="D12" i="9"/>
  <c r="B9" i="8"/>
  <c r="F29" i="20"/>
  <c r="C54" i="9"/>
  <c r="C84" i="9"/>
  <c r="B38" i="8"/>
  <c r="C20" i="20"/>
  <c r="E36" i="16"/>
  <c r="E33" i="16"/>
  <c r="B14" i="15"/>
  <c r="F22" i="8"/>
  <c r="E14" i="15"/>
  <c r="C31" i="16"/>
  <c r="E56" i="9"/>
  <c r="B18" i="16"/>
  <c r="C85" i="9"/>
  <c r="F25" i="9"/>
  <c r="E40" i="8"/>
  <c r="D20" i="15"/>
  <c r="E55" i="9"/>
  <c r="D23" i="8"/>
  <c r="D30" i="15"/>
  <c r="E17" i="16"/>
  <c r="E10" i="16"/>
  <c r="E13" i="17"/>
  <c r="D34" i="8"/>
  <c r="C34" i="8"/>
  <c r="D13" i="20"/>
  <c r="B24" i="20"/>
  <c r="F30" i="15"/>
  <c r="D18" i="20"/>
  <c r="B10" i="19"/>
  <c r="F60" i="9"/>
  <c r="E20" i="13"/>
  <c r="C20" i="14"/>
  <c r="F24" i="9"/>
  <c r="F81" i="9"/>
  <c r="E20" i="15"/>
  <c r="B29" i="15"/>
  <c r="F59" i="9"/>
  <c r="C24" i="16"/>
  <c r="D11" i="16"/>
  <c r="B27" i="15"/>
  <c r="E54" i="9"/>
  <c r="D53" i="9"/>
  <c r="D20" i="13"/>
  <c r="D21" i="9"/>
  <c r="E12" i="16"/>
  <c r="D56" i="9"/>
  <c r="B26" i="8"/>
  <c r="D35" i="16"/>
  <c r="D7" i="9"/>
  <c r="D10" i="19"/>
  <c r="D5" i="16"/>
  <c r="D14" i="20"/>
  <c r="C81" i="9"/>
  <c r="C42" i="8"/>
  <c r="B60" i="9"/>
  <c r="C60" i="9"/>
  <c r="E29" i="8"/>
  <c r="B18" i="20"/>
  <c r="E22" i="16"/>
  <c r="C19" i="9"/>
  <c r="E15" i="15"/>
  <c r="F84" i="9"/>
  <c r="B25" i="20"/>
  <c r="C24" i="9"/>
  <c r="E29" i="16"/>
  <c r="F27" i="20"/>
  <c r="C12" i="16"/>
  <c r="C82" i="9"/>
  <c r="B56" i="9"/>
  <c r="E35" i="8"/>
  <c r="E7" i="8"/>
  <c r="F18" i="16"/>
  <c r="E19" i="16"/>
  <c r="D19" i="15"/>
  <c r="C20" i="16"/>
  <c r="B28" i="8"/>
  <c r="D19" i="9"/>
  <c r="E18" i="20"/>
  <c r="C55" i="9"/>
  <c r="E30" i="20"/>
  <c r="D37" i="8"/>
  <c r="C14" i="14"/>
  <c r="F27" i="9"/>
  <c r="C8" i="8"/>
  <c r="D22" i="9"/>
  <c r="C61" i="9"/>
  <c r="D28" i="20"/>
  <c r="B20" i="20"/>
  <c r="E29" i="20"/>
  <c r="F12" i="9"/>
  <c r="B53" i="9"/>
  <c r="C25" i="8"/>
  <c r="B7" i="16"/>
  <c r="F85" i="9"/>
  <c r="B5" i="16"/>
  <c r="E26" i="20"/>
  <c r="B8" i="20"/>
  <c r="E6" i="8"/>
  <c r="B20" i="9"/>
  <c r="F41" i="8"/>
  <c r="C25" i="16"/>
  <c r="E14" i="8"/>
  <c r="C21" i="8"/>
  <c r="C6" i="16"/>
  <c r="F83" i="9"/>
  <c r="C13" i="16"/>
  <c r="D58" i="9"/>
  <c r="C19" i="15"/>
  <c r="B54" i="9"/>
  <c r="E26" i="15"/>
  <c r="C40" i="8"/>
  <c r="B37" i="8"/>
  <c r="D7" i="8"/>
  <c r="E13" i="8"/>
  <c r="C35" i="16"/>
  <c r="C30" i="16"/>
  <c r="C3" i="17"/>
  <c r="D55" i="9"/>
  <c r="D29" i="8"/>
  <c r="E19" i="20"/>
  <c r="F11" i="19"/>
  <c r="E8" i="20"/>
  <c r="E35" i="16"/>
  <c r="B25" i="8"/>
  <c r="D26" i="8"/>
  <c r="B34" i="16"/>
  <c r="D12" i="17"/>
  <c r="E81" i="9"/>
  <c r="E30" i="15"/>
  <c r="E32" i="16"/>
  <c r="C19" i="16"/>
  <c r="E82" i="9"/>
  <c r="B19" i="13"/>
  <c r="C20" i="15"/>
  <c r="C21" i="16"/>
  <c r="B19" i="9"/>
  <c r="E11" i="19"/>
  <c r="D82" i="9"/>
  <c r="E15" i="8"/>
  <c r="E58" i="9"/>
  <c r="C28" i="15"/>
  <c r="E28" i="20"/>
  <c r="D14" i="8"/>
  <c r="B10" i="16"/>
  <c r="E23" i="16"/>
  <c r="D30" i="16"/>
  <c r="E12" i="8"/>
  <c r="E15" i="14"/>
  <c r="B27" i="9"/>
  <c r="D6" i="16"/>
  <c r="E20" i="8"/>
  <c r="F13" i="16"/>
  <c r="C39" i="8"/>
  <c r="F7" i="16"/>
  <c r="B31" i="16"/>
  <c r="C23" i="16"/>
  <c r="C19" i="14"/>
  <c r="D25" i="20"/>
  <c r="D15" i="15"/>
  <c r="E12" i="9"/>
  <c r="B14" i="20"/>
  <c r="B19" i="15"/>
  <c r="D19" i="14"/>
  <c r="E24" i="15"/>
  <c r="D25" i="16"/>
  <c r="C15" i="15"/>
  <c r="D61" i="9"/>
  <c r="F26" i="8"/>
  <c r="D27" i="20"/>
  <c r="F12" i="17"/>
  <c r="E24" i="9"/>
  <c r="C26" i="20"/>
  <c r="F6" i="16"/>
  <c r="B35" i="16"/>
  <c r="F25" i="8"/>
  <c r="E25" i="8"/>
  <c r="E26" i="9"/>
  <c r="C12" i="9"/>
  <c r="C5" i="9"/>
  <c r="B11" i="8"/>
  <c r="B20" i="14"/>
  <c r="E12" i="19"/>
  <c r="F13" i="8"/>
  <c r="B11" i="16"/>
  <c r="F40" i="8"/>
  <c r="F12" i="19"/>
  <c r="B27" i="8"/>
  <c r="D26" i="20"/>
  <c r="F34" i="8"/>
  <c r="F25" i="20"/>
  <c r="B23" i="9"/>
  <c r="B26" i="9"/>
  <c r="B20" i="13"/>
  <c r="D54" i="9"/>
  <c r="B7" i="9"/>
  <c r="F20" i="16"/>
  <c r="C29" i="16"/>
  <c r="D24" i="16"/>
  <c r="C6" i="9"/>
  <c r="B23" i="20"/>
  <c r="D27" i="9"/>
  <c r="C37" i="16"/>
  <c r="C20" i="8"/>
  <c r="B20" i="16"/>
  <c r="D8" i="9"/>
  <c r="C15" i="8"/>
  <c r="D11" i="19"/>
  <c r="D14" i="17"/>
  <c r="B25" i="16"/>
  <c r="E53" i="9"/>
  <c r="F35" i="16"/>
  <c r="F14" i="8"/>
  <c r="C4" i="9"/>
  <c r="B59" i="9"/>
  <c r="B10" i="8"/>
  <c r="D9" i="16"/>
  <c r="E34" i="8"/>
  <c r="E8" i="9"/>
  <c r="D37" i="16"/>
  <c r="C11" i="16"/>
  <c r="D27" i="8"/>
  <c r="B42" i="8"/>
  <c r="C14" i="20"/>
  <c r="B8" i="16"/>
  <c r="D34" i="16"/>
  <c r="B29" i="16"/>
  <c r="D18" i="16"/>
  <c r="D42" i="8"/>
  <c r="B12" i="8"/>
  <c r="E20" i="20"/>
  <c r="B19" i="16"/>
  <c r="E60" i="9"/>
  <c r="F39" i="8"/>
  <c r="F30" i="20"/>
  <c r="B6" i="16"/>
  <c r="B6" i="9"/>
  <c r="D28" i="15"/>
  <c r="C13" i="20"/>
  <c r="F18" i="20"/>
  <c r="C7" i="16"/>
  <c r="F26" i="9"/>
  <c r="D41" i="8"/>
  <c r="E84" i="9"/>
  <c r="D24" i="8"/>
  <c r="F22" i="9"/>
  <c r="D21" i="8"/>
  <c r="F20" i="8"/>
  <c r="E57" i="9"/>
  <c r="F14" i="17"/>
  <c r="E23" i="9"/>
  <c r="E10" i="8"/>
  <c r="D20" i="9"/>
  <c r="E18" i="16"/>
  <c r="C27" i="15"/>
  <c r="F29" i="16"/>
  <c r="C32" i="16"/>
  <c r="E3" i="20"/>
  <c r="F42" i="8"/>
  <c r="B26" i="15"/>
  <c r="E25" i="16"/>
  <c r="D15" i="14"/>
  <c r="B15" i="15"/>
  <c r="B7" i="8"/>
  <c r="C33" i="16"/>
  <c r="E19" i="13"/>
  <c r="F36" i="8"/>
  <c r="B15" i="14"/>
  <c r="B23" i="8"/>
  <c r="C29" i="8"/>
  <c r="B28" i="20"/>
  <c r="B12" i="17"/>
  <c r="E22" i="8"/>
  <c r="B39" i="8"/>
  <c r="C26" i="15"/>
  <c r="C15" i="14"/>
  <c r="F25" i="16"/>
  <c r="C27" i="8"/>
  <c r="E23" i="20"/>
  <c r="F28" i="8"/>
  <c r="B14" i="8"/>
  <c r="E31" i="16"/>
  <c r="E12" i="17"/>
  <c r="C23" i="20"/>
  <c r="C12" i="8"/>
  <c r="E3" i="17"/>
  <c r="B17" i="16"/>
  <c r="C26" i="9"/>
  <c r="B22" i="9"/>
  <c r="F19" i="9"/>
  <c r="C25" i="20"/>
  <c r="C56" i="9"/>
  <c r="B32" i="16"/>
  <c r="F26" i="20"/>
  <c r="E20" i="16"/>
  <c r="E61" i="9"/>
  <c r="F33" i="16"/>
  <c r="C29" i="15"/>
  <c r="E20" i="9"/>
  <c r="B12" i="16"/>
  <c r="B22" i="8"/>
  <c r="C30" i="15"/>
  <c r="F13" i="20"/>
  <c r="C30" i="20"/>
  <c r="B14" i="17"/>
  <c r="D4" i="20"/>
  <c r="D13" i="8"/>
  <c r="D33" i="16"/>
  <c r="D84" i="9"/>
  <c r="F12" i="16"/>
  <c r="C17" i="16"/>
  <c r="B14" i="14"/>
  <c r="C20" i="9"/>
  <c r="E20" i="14"/>
  <c r="F29" i="15"/>
  <c r="D20" i="16"/>
  <c r="B19" i="14"/>
  <c r="E13" i="16"/>
  <c r="C18" i="16"/>
  <c r="B20" i="15"/>
  <c r="B30" i="20"/>
  <c r="F25" i="15"/>
  <c r="B21" i="8"/>
  <c r="E19" i="14"/>
  <c r="C26" i="8"/>
  <c r="F32" i="16"/>
  <c r="F9" i="16"/>
  <c r="F24" i="20"/>
  <c r="C36" i="16"/>
  <c r="F23" i="8"/>
  <c r="D12" i="16"/>
  <c r="F61" i="9"/>
  <c r="B36" i="16"/>
  <c r="F21" i="16"/>
  <c r="F20" i="15"/>
  <c r="E34" i="16"/>
  <c r="F9" i="19"/>
  <c r="B24" i="8"/>
  <c r="C13" i="8"/>
  <c r="D57" i="9"/>
  <c r="D36" i="8"/>
  <c r="B20" i="8"/>
  <c r="C37" i="8"/>
  <c r="F23" i="20"/>
  <c r="F11" i="8"/>
  <c r="B13" i="8"/>
  <c r="D30" i="20"/>
  <c r="C38" i="8"/>
  <c r="E10" i="19"/>
  <c r="C22" i="9"/>
  <c r="F54" i="9"/>
  <c r="E4" i="20"/>
  <c r="F10" i="19"/>
  <c r="E6" i="9"/>
  <c r="F26" i="15"/>
  <c r="C23" i="8"/>
  <c r="D11" i="8"/>
  <c r="C57" i="9"/>
  <c r="C28" i="8"/>
  <c r="D25" i="8"/>
  <c r="D4" i="9"/>
  <c r="B24" i="9"/>
  <c r="E24" i="20"/>
  <c r="E27" i="8"/>
  <c r="E22" i="9"/>
  <c r="E29" i="15"/>
  <c r="F24" i="8"/>
  <c r="E41" i="8"/>
  <c r="C14" i="17"/>
  <c r="F10" i="16"/>
  <c r="F43" i="8"/>
  <c r="F8" i="8"/>
  <c r="F8" i="16"/>
  <c r="D26" i="9"/>
  <c r="C25" i="15"/>
  <c r="B28" i="15"/>
  <c r="D29" i="20"/>
  <c r="E42" i="8"/>
  <c r="B33" i="16"/>
  <c r="E14" i="17"/>
  <c r="C10" i="8"/>
  <c r="C9" i="19"/>
  <c r="B22" i="16"/>
  <c r="B83" i="9"/>
  <c r="D43" i="8"/>
  <c r="B24" i="15"/>
  <c r="C11" i="8"/>
  <c r="B82" i="9"/>
  <c r="C19" i="20"/>
  <c r="D31" i="16"/>
  <c r="F9" i="8"/>
  <c r="C22" i="16"/>
  <c r="D13" i="17"/>
  <c r="D6" i="8"/>
  <c r="D14" i="15"/>
  <c r="C43" i="8"/>
  <c r="F37" i="16"/>
  <c r="B8" i="9"/>
  <c r="D25" i="15"/>
  <c r="D22" i="8"/>
  <c r="B23" i="16"/>
  <c r="F28" i="20"/>
  <c r="D32" i="16"/>
  <c r="E14" i="20"/>
  <c r="C21" i="9"/>
  <c r="B36" i="8"/>
  <c r="C24" i="15"/>
  <c r="E36" i="8"/>
  <c r="F24" i="15"/>
  <c r="B9" i="16"/>
  <c r="E11" i="8"/>
  <c r="D20" i="20"/>
  <c r="B35" i="8"/>
  <c r="D23" i="9"/>
  <c r="F31" i="16"/>
  <c r="F55" i="9"/>
  <c r="C9" i="8"/>
  <c r="C12" i="19"/>
  <c r="F6" i="9"/>
  <c r="B61" i="9"/>
  <c r="C10" i="19"/>
  <c r="F34" i="16"/>
  <c r="D8" i="16"/>
  <c r="C3" i="20"/>
  <c r="B43" i="8"/>
  <c r="F15" i="15"/>
  <c r="C24" i="8"/>
  <c r="B41" i="8"/>
  <c r="F15" i="8"/>
  <c r="F23" i="9"/>
  <c r="D19" i="16"/>
  <c r="D23" i="16"/>
  <c r="D24" i="15"/>
  <c r="C5" i="16"/>
  <c r="D24" i="9"/>
  <c r="B58" i="9"/>
  <c r="E6" i="16"/>
  <c r="F56" i="9"/>
  <c r="D29" i="16"/>
  <c r="E37" i="8"/>
  <c r="B3" i="20"/>
  <c r="D3" i="17"/>
  <c r="C27" i="9"/>
  <c r="C11" i="19"/>
  <c r="B81" i="9"/>
  <c r="B19" i="20"/>
  <c r="E9" i="20"/>
  <c r="E23" i="8"/>
  <c r="B55" i="9"/>
  <c r="C8" i="20"/>
  <c r="E9" i="19"/>
  <c r="F86" i="9"/>
  <c r="D87" i="9"/>
  <c r="C88" i="9"/>
  <c r="E88" i="9"/>
  <c r="F87" i="9"/>
  <c r="B88" i="9"/>
  <c r="E86" i="9"/>
  <c r="C87" i="9"/>
  <c r="E87" i="9"/>
  <c r="B87" i="9"/>
  <c r="C86" i="9"/>
  <c r="F88" i="9"/>
  <c r="D86" i="9"/>
  <c r="B86" i="9"/>
  <c r="D88" i="9"/>
  <c r="E89" i="9"/>
  <c r="C89" i="9"/>
  <c r="F89" i="9"/>
  <c r="B89" i="9"/>
  <c r="D89" i="9"/>
  <c r="A424" i="1"/>
  <c r="D20" i="26"/>
  <c r="E50" i="9"/>
  <c r="B52" i="9"/>
  <c r="F66" i="9"/>
  <c r="F50" i="9"/>
  <c r="B64" i="9"/>
  <c r="F41" i="16"/>
  <c r="D78" i="9"/>
  <c r="C40" i="16"/>
  <c r="F73" i="9"/>
  <c r="D72" i="9"/>
  <c r="B78" i="9"/>
  <c r="F64" i="9"/>
  <c r="B44" i="16"/>
  <c r="E73" i="9"/>
  <c r="C69" i="9"/>
  <c r="E71" i="9"/>
  <c r="B18" i="9"/>
  <c r="E47" i="16"/>
  <c r="B51" i="9"/>
  <c r="D71" i="9"/>
  <c r="C50" i="9"/>
  <c r="D18" i="9"/>
  <c r="F16" i="9"/>
  <c r="F67" i="9"/>
  <c r="C47" i="16"/>
  <c r="E44" i="16"/>
  <c r="C64" i="9"/>
  <c r="E69" i="9"/>
  <c r="F46" i="16"/>
  <c r="C15" i="26"/>
  <c r="F69" i="9"/>
  <c r="E65" i="9"/>
  <c r="D74" i="9"/>
  <c r="F80" i="9"/>
  <c r="E68" i="9"/>
  <c r="C72" i="9"/>
  <c r="E66" i="9"/>
  <c r="D79" i="9"/>
  <c r="D65" i="9"/>
  <c r="C44" i="16"/>
  <c r="D43" i="16"/>
  <c r="E15" i="26"/>
  <c r="D75" i="9"/>
  <c r="F18" i="9"/>
  <c r="D47" i="16"/>
  <c r="F45" i="16"/>
  <c r="E41" i="16"/>
  <c r="C51" i="9"/>
  <c r="F78" i="9"/>
  <c r="C75" i="9"/>
  <c r="C67" i="9"/>
  <c r="D16" i="9"/>
  <c r="E51" i="9"/>
  <c r="C42" i="16"/>
  <c r="D15" i="26"/>
  <c r="C43" i="16"/>
  <c r="B67" i="9"/>
  <c r="E39" i="16"/>
  <c r="F44" i="16"/>
  <c r="B50" i="9"/>
  <c r="B17" i="9"/>
  <c r="B71" i="9"/>
  <c r="D51" i="9"/>
  <c r="F47" i="16"/>
  <c r="E74" i="9"/>
  <c r="B40" i="16"/>
  <c r="B75" i="9"/>
  <c r="F71" i="9"/>
  <c r="B43" i="16"/>
  <c r="E42" i="16"/>
  <c r="D39" i="16"/>
  <c r="E43" i="16"/>
  <c r="D46" i="16"/>
  <c r="D50" i="9"/>
  <c r="F68" i="9"/>
  <c r="E45" i="16"/>
  <c r="D42" i="16"/>
  <c r="B45" i="16"/>
  <c r="C66" i="9"/>
  <c r="B73" i="9"/>
  <c r="E40" i="16"/>
  <c r="C70" i="9"/>
  <c r="F72" i="9"/>
  <c r="F43" i="16"/>
  <c r="D70" i="9"/>
  <c r="B46" i="16"/>
  <c r="C80" i="9"/>
  <c r="C79" i="9"/>
  <c r="B15" i="26"/>
  <c r="B41" i="16"/>
  <c r="D40" i="16"/>
  <c r="F79" i="9"/>
  <c r="B42" i="16"/>
  <c r="D66" i="9"/>
  <c r="E80" i="9"/>
  <c r="C71" i="9"/>
  <c r="B70" i="9"/>
  <c r="E78" i="9"/>
  <c r="C74" i="9"/>
  <c r="C18" i="9"/>
  <c r="E16" i="9"/>
  <c r="C52" i="9"/>
  <c r="B66" i="9"/>
  <c r="B65" i="9"/>
  <c r="C39" i="16"/>
  <c r="E72" i="9"/>
  <c r="E20" i="26"/>
  <c r="F52" i="9"/>
  <c r="F39" i="16"/>
  <c r="E18" i="9"/>
  <c r="F51" i="9"/>
  <c r="E46" i="16"/>
  <c r="F17" i="9"/>
  <c r="D80" i="9"/>
  <c r="F75" i="9"/>
  <c r="B72" i="9"/>
  <c r="D64" i="9"/>
  <c r="B16" i="9"/>
  <c r="B80" i="9"/>
  <c r="D68" i="9"/>
  <c r="D17" i="9"/>
  <c r="F70" i="9"/>
  <c r="C41" i="16"/>
  <c r="E64" i="9"/>
  <c r="B47" i="16"/>
  <c r="C68" i="9"/>
  <c r="E67" i="9"/>
  <c r="D41" i="16"/>
  <c r="D69" i="9"/>
  <c r="C65" i="9"/>
  <c r="C73" i="9"/>
  <c r="C45" i="16"/>
  <c r="E52" i="9"/>
  <c r="B74" i="9"/>
  <c r="C46" i="16"/>
  <c r="C17" i="9"/>
  <c r="B20" i="26"/>
  <c r="F74" i="9"/>
  <c r="D67" i="9"/>
  <c r="C16" i="9"/>
  <c r="D45" i="16"/>
  <c r="F40" i="16"/>
  <c r="B69" i="9"/>
  <c r="D44" i="16"/>
  <c r="B68" i="9"/>
  <c r="E79" i="9"/>
  <c r="F42" i="16"/>
  <c r="E70" i="9"/>
  <c r="D52" i="9"/>
  <c r="D73" i="9"/>
  <c r="E75" i="9"/>
  <c r="B79" i="9"/>
  <c r="C78" i="9"/>
  <c r="C20" i="26"/>
  <c r="B39" i="16"/>
  <c r="F65" i="9"/>
  <c r="E17" i="9"/>
  <c r="C22" i="14" l="1"/>
  <c r="H18" i="14" s="1"/>
  <c r="C17" i="14"/>
  <c r="C22" i="13"/>
  <c r="H18" i="13" s="1"/>
  <c r="G5" i="30"/>
  <c r="G4" i="30" s="1"/>
  <c r="G3" i="30" s="1"/>
  <c r="G7" i="30"/>
  <c r="G8" i="30" s="1"/>
  <c r="G9" i="30" s="1"/>
  <c r="G10" i="30" s="1"/>
  <c r="G11" i="30" s="1"/>
  <c r="G12" i="30" s="1"/>
  <c r="G13" i="30" s="1"/>
  <c r="G14" i="30" s="1"/>
  <c r="D6" i="27"/>
  <c r="C6" i="27"/>
  <c r="B6" i="27"/>
  <c r="E6" i="27"/>
  <c r="F6" i="27"/>
  <c r="R424" i="1"/>
  <c r="A425" i="1"/>
  <c r="F6" i="13"/>
  <c r="B6" i="15"/>
  <c r="E6" i="14"/>
  <c r="E7" i="14" s="1"/>
  <c r="E6" i="26"/>
  <c r="D6" i="26" s="1"/>
  <c r="C6" i="26" s="1"/>
  <c r="E6" i="13"/>
  <c r="E7" i="13" s="1"/>
  <c r="F6" i="14"/>
  <c r="B6" i="13"/>
  <c r="F6" i="26"/>
  <c r="E6" i="15"/>
  <c r="E7" i="15" s="1"/>
  <c r="F6" i="15"/>
  <c r="B6" i="14"/>
  <c r="B6" i="26"/>
  <c r="A426" i="1" l="1"/>
  <c r="R425" i="1"/>
  <c r="A427" i="1" l="1"/>
  <c r="R426" i="1"/>
  <c r="D7" i="17"/>
  <c r="C7" i="17"/>
  <c r="B7" i="17"/>
  <c r="F7" i="17"/>
  <c r="E7" i="17"/>
  <c r="B13" i="15"/>
  <c r="D13" i="15"/>
  <c r="E13" i="15"/>
  <c r="C13" i="15"/>
  <c r="A428" i="1" l="1"/>
  <c r="R427" i="1"/>
  <c r="B14" i="13"/>
  <c r="E15" i="13"/>
  <c r="B15" i="13"/>
  <c r="E14" i="13"/>
  <c r="C15" i="13"/>
  <c r="D15" i="13"/>
  <c r="D14" i="13"/>
  <c r="C14" i="13"/>
  <c r="C17" i="13" s="1"/>
  <c r="B11" i="17"/>
  <c r="C11" i="17"/>
  <c r="D11" i="17"/>
  <c r="E11" i="17"/>
  <c r="F11" i="13"/>
  <c r="B13" i="13"/>
  <c r="B11" i="13"/>
  <c r="E11" i="13"/>
  <c r="E12" i="13" s="1"/>
  <c r="C10" i="13" l="1"/>
  <c r="C12" i="13" s="1"/>
  <c r="D10" i="13"/>
  <c r="D12" i="13" s="1"/>
  <c r="R428" i="1"/>
  <c r="A429" i="1"/>
  <c r="E11" i="27" l="1"/>
  <c r="B11" i="27"/>
  <c r="F11" i="27"/>
  <c r="C11" i="27"/>
  <c r="D11" i="27"/>
  <c r="A430" i="1"/>
  <c r="R429" i="1"/>
  <c r="B11" i="15"/>
  <c r="E11" i="15"/>
  <c r="D11" i="15" s="1"/>
  <c r="D12" i="15" s="1"/>
  <c r="F11" i="15"/>
  <c r="E12" i="15" l="1"/>
  <c r="C11" i="15"/>
  <c r="C12" i="15" s="1"/>
  <c r="H8" i="15" s="1"/>
  <c r="R430" i="1"/>
  <c r="A431" i="1"/>
  <c r="B11" i="14"/>
  <c r="E11" i="14"/>
  <c r="F11" i="14"/>
  <c r="F11" i="26"/>
  <c r="E11" i="26"/>
  <c r="D11" i="26" s="1"/>
  <c r="C11" i="26" s="1"/>
  <c r="B11" i="26"/>
  <c r="E12" i="14" l="1"/>
  <c r="D11" i="14"/>
  <c r="D12" i="14" s="1"/>
  <c r="R431" i="1"/>
  <c r="A432" i="1"/>
  <c r="E21" i="13"/>
  <c r="B13" i="14"/>
  <c r="C13" i="14"/>
  <c r="B21" i="13"/>
  <c r="E13" i="14"/>
  <c r="D13" i="14"/>
  <c r="H13" i="14" s="1"/>
  <c r="E22" i="13" l="1"/>
  <c r="D21" i="13"/>
  <c r="D22" i="13" s="1"/>
  <c r="A433" i="1"/>
  <c r="R432" i="1"/>
  <c r="E16" i="13"/>
  <c r="B16" i="13"/>
  <c r="E17" i="13" l="1"/>
  <c r="D16" i="13"/>
  <c r="D17" i="13" s="1"/>
  <c r="A434" i="1"/>
  <c r="R433" i="1"/>
  <c r="D16" i="27" l="1"/>
  <c r="F16" i="27"/>
  <c r="C16" i="27"/>
  <c r="E16" i="27"/>
  <c r="B16" i="27"/>
  <c r="A435" i="1"/>
  <c r="R434" i="1"/>
  <c r="F16" i="15"/>
  <c r="B16" i="15"/>
  <c r="E16" i="15"/>
  <c r="D16" i="15" s="1"/>
  <c r="D17" i="15" s="1"/>
  <c r="E17" i="15" l="1"/>
  <c r="C16" i="15"/>
  <c r="C17" i="15" s="1"/>
  <c r="H13" i="15" s="1"/>
  <c r="R435" i="1"/>
  <c r="A436" i="1"/>
  <c r="A437" i="1" l="1"/>
  <c r="R436" i="1"/>
  <c r="A438" i="1" l="1"/>
  <c r="R437" i="1"/>
  <c r="E21" i="27" l="1"/>
  <c r="F21" i="27"/>
  <c r="C21" i="27"/>
  <c r="B21" i="27"/>
  <c r="D21" i="27"/>
  <c r="R438" i="1"/>
  <c r="A439" i="1"/>
  <c r="E21" i="15"/>
  <c r="D21" i="15" s="1"/>
  <c r="D22" i="15" s="1"/>
  <c r="F16" i="14"/>
  <c r="E16" i="14"/>
  <c r="F21" i="15"/>
  <c r="B21" i="15"/>
  <c r="B16" i="14"/>
  <c r="F16" i="26"/>
  <c r="E16" i="26"/>
  <c r="D16" i="26" s="1"/>
  <c r="C16" i="26" s="1"/>
  <c r="B16" i="26"/>
  <c r="E17" i="14" l="1"/>
  <c r="D16" i="14"/>
  <c r="D17" i="14" s="1"/>
  <c r="E22" i="15"/>
  <c r="C21" i="15"/>
  <c r="C22" i="15" s="1"/>
  <c r="H18" i="15" s="1"/>
  <c r="A440" i="1"/>
  <c r="R439" i="1"/>
  <c r="A441" i="1" l="1"/>
  <c r="A442" i="1" s="1"/>
  <c r="R440" i="1"/>
  <c r="A443" i="1" l="1"/>
  <c r="R442" i="1"/>
  <c r="E4" i="27"/>
  <c r="E7" i="27" s="1"/>
  <c r="B14" i="27"/>
  <c r="E9" i="27"/>
  <c r="E12" i="27" s="1"/>
  <c r="E14" i="27"/>
  <c r="E17" i="27" s="1"/>
  <c r="C14" i="27"/>
  <c r="D4" i="27"/>
  <c r="D14" i="27"/>
  <c r="C9" i="27"/>
  <c r="B19" i="27"/>
  <c r="F14" i="27"/>
  <c r="B4" i="27"/>
  <c r="C19" i="27"/>
  <c r="F4" i="27"/>
  <c r="D9" i="27"/>
  <c r="B9" i="27"/>
  <c r="F9" i="27"/>
  <c r="D19" i="27"/>
  <c r="E19" i="27"/>
  <c r="E22" i="27" s="1"/>
  <c r="C4" i="27"/>
  <c r="E13" i="27"/>
  <c r="D27" i="27"/>
  <c r="E26" i="27"/>
  <c r="F25" i="27"/>
  <c r="D25" i="27"/>
  <c r="F24" i="27"/>
  <c r="D24" i="27"/>
  <c r="B13" i="27"/>
  <c r="C8" i="27"/>
  <c r="C28" i="27"/>
  <c r="C13" i="27"/>
  <c r="B26" i="27"/>
  <c r="B23" i="27"/>
  <c r="E27" i="27"/>
  <c r="D18" i="27"/>
  <c r="E3" i="27"/>
  <c r="E8" i="27"/>
  <c r="C27" i="27"/>
  <c r="B28" i="27"/>
  <c r="C24" i="27"/>
  <c r="D28" i="27"/>
  <c r="B8" i="27"/>
  <c r="C26" i="27"/>
  <c r="E25" i="27"/>
  <c r="E28" i="27"/>
  <c r="F3" i="27"/>
  <c r="B24" i="27"/>
  <c r="E18" i="27"/>
  <c r="F18" i="27"/>
  <c r="C23" i="27"/>
  <c r="F28" i="27"/>
  <c r="C3" i="27"/>
  <c r="E24" i="27"/>
  <c r="B25" i="27"/>
  <c r="D23" i="27"/>
  <c r="D3" i="27"/>
  <c r="B18" i="27"/>
  <c r="F26" i="27"/>
  <c r="D13" i="27"/>
  <c r="C18" i="27"/>
  <c r="F27" i="27"/>
  <c r="B3" i="27"/>
  <c r="B27" i="27"/>
  <c r="E23" i="27"/>
  <c r="D26" i="27"/>
  <c r="F13" i="27"/>
  <c r="D8" i="27"/>
  <c r="C25" i="27"/>
  <c r="F23" i="27"/>
  <c r="B4" i="26"/>
  <c r="C14" i="26"/>
  <c r="C17" i="26" s="1"/>
  <c r="E4" i="26"/>
  <c r="E7" i="26" s="1"/>
  <c r="D14" i="26"/>
  <c r="D17" i="26" s="1"/>
  <c r="E9" i="26"/>
  <c r="E12" i="26" s="1"/>
  <c r="C9" i="26"/>
  <c r="C12" i="26" s="1"/>
  <c r="F9" i="26"/>
  <c r="F14" i="26"/>
  <c r="B9" i="26"/>
  <c r="D4" i="26"/>
  <c r="D7" i="26" s="1"/>
  <c r="B19" i="26"/>
  <c r="D19" i="26"/>
  <c r="E14" i="26"/>
  <c r="E17" i="26" s="1"/>
  <c r="E19" i="26"/>
  <c r="C19" i="26"/>
  <c r="C4" i="26"/>
  <c r="C7" i="26" s="1"/>
  <c r="D9" i="26"/>
  <c r="D12" i="26" s="1"/>
  <c r="B14" i="26"/>
  <c r="F4" i="26"/>
  <c r="B3" i="26"/>
  <c r="E3" i="26"/>
  <c r="C8" i="26"/>
  <c r="D13" i="26"/>
  <c r="E8" i="26"/>
  <c r="B8" i="26"/>
  <c r="C13" i="26"/>
  <c r="E13" i="26"/>
  <c r="F13" i="26"/>
  <c r="F8" i="26"/>
  <c r="D8" i="26"/>
  <c r="F3" i="26"/>
  <c r="B13" i="26"/>
  <c r="C3" i="26"/>
  <c r="D3" i="26"/>
  <c r="D27" i="26"/>
  <c r="B25" i="26"/>
  <c r="E24" i="26"/>
  <c r="D25" i="26"/>
  <c r="B27" i="26"/>
  <c r="B26" i="26"/>
  <c r="F28" i="26"/>
  <c r="F25" i="26"/>
  <c r="E28" i="26"/>
  <c r="C23" i="26"/>
  <c r="F27" i="26"/>
  <c r="D18" i="26"/>
  <c r="F23" i="26"/>
  <c r="F24" i="26"/>
  <c r="D28" i="26"/>
  <c r="B24" i="26"/>
  <c r="C28" i="26"/>
  <c r="D23" i="26"/>
  <c r="B18" i="26"/>
  <c r="E23" i="26"/>
  <c r="E25" i="26"/>
  <c r="B28" i="26"/>
  <c r="C18" i="26"/>
  <c r="D26" i="26"/>
  <c r="E26" i="26"/>
  <c r="C25" i="26"/>
  <c r="E18" i="26"/>
  <c r="E27" i="26"/>
  <c r="C24" i="26"/>
  <c r="C27" i="26"/>
  <c r="B23" i="26"/>
  <c r="C26" i="26"/>
  <c r="F26" i="26"/>
  <c r="D24" i="26"/>
  <c r="R441" i="1"/>
  <c r="F21" i="14"/>
  <c r="E21" i="14"/>
  <c r="B21" i="14"/>
  <c r="F13" i="25"/>
  <c r="B29" i="24"/>
  <c r="D32" i="24"/>
  <c r="F28" i="24"/>
  <c r="F32" i="24"/>
  <c r="B16" i="25"/>
  <c r="F8" i="25"/>
  <c r="C36" i="24"/>
  <c r="B3" i="25"/>
  <c r="D33" i="24"/>
  <c r="B11" i="25"/>
  <c r="E36" i="24"/>
  <c r="B15" i="25"/>
  <c r="B21" i="25"/>
  <c r="B14" i="25"/>
  <c r="D28" i="24"/>
  <c r="B36" i="24"/>
  <c r="C14" i="25"/>
  <c r="D29" i="24"/>
  <c r="D19" i="25"/>
  <c r="B34" i="24"/>
  <c r="B30" i="24"/>
  <c r="E34" i="24"/>
  <c r="B31" i="24"/>
  <c r="F33" i="24"/>
  <c r="B33" i="24"/>
  <c r="F30" i="24"/>
  <c r="E30" i="24"/>
  <c r="B19" i="25"/>
  <c r="B6" i="25"/>
  <c r="F6" i="25"/>
  <c r="F11" i="25"/>
  <c r="E13" i="25"/>
  <c r="E33" i="24"/>
  <c r="B32" i="24"/>
  <c r="E28" i="24"/>
  <c r="E6" i="25"/>
  <c r="E15" i="25"/>
  <c r="D31" i="24"/>
  <c r="C33" i="24"/>
  <c r="F36" i="24"/>
  <c r="D36" i="24"/>
  <c r="F35" i="24"/>
  <c r="B28" i="24"/>
  <c r="C30" i="24"/>
  <c r="E35" i="24"/>
  <c r="C28" i="24"/>
  <c r="F21" i="25"/>
  <c r="F16" i="25"/>
  <c r="F14" i="25"/>
  <c r="C34" i="24"/>
  <c r="D14" i="25"/>
  <c r="B35" i="24"/>
  <c r="D30" i="24"/>
  <c r="F31" i="24"/>
  <c r="E19" i="25"/>
  <c r="E11" i="25"/>
  <c r="E29" i="24"/>
  <c r="F29" i="24"/>
  <c r="E16" i="25"/>
  <c r="D16" i="25" s="1"/>
  <c r="E32" i="24"/>
  <c r="B8" i="25"/>
  <c r="E14" i="25"/>
  <c r="C31" i="24"/>
  <c r="E31" i="24"/>
  <c r="C15" i="25"/>
  <c r="E21" i="25"/>
  <c r="D21" i="25" s="1"/>
  <c r="F3" i="25"/>
  <c r="C35" i="24"/>
  <c r="D35" i="24"/>
  <c r="D34" i="24"/>
  <c r="C32" i="24"/>
  <c r="C19" i="25"/>
  <c r="C22" i="25" s="1"/>
  <c r="F34" i="24"/>
  <c r="D15" i="25"/>
  <c r="C29" i="24"/>
  <c r="B13" i="25"/>
  <c r="F21" i="26"/>
  <c r="E21" i="26"/>
  <c r="D21" i="26" s="1"/>
  <c r="C21" i="26" s="1"/>
  <c r="B21" i="26"/>
  <c r="C22" i="26" l="1"/>
  <c r="E22" i="26"/>
  <c r="D22" i="26"/>
  <c r="E22" i="14"/>
  <c r="D21" i="14"/>
  <c r="D22" i="14" s="1"/>
  <c r="E12" i="25"/>
  <c r="D11" i="25"/>
  <c r="D12" i="25" s="1"/>
  <c r="E7" i="25"/>
  <c r="D6" i="25"/>
  <c r="D22" i="25"/>
  <c r="D17" i="25"/>
  <c r="C17" i="25"/>
  <c r="R443" i="1"/>
  <c r="A444" i="1"/>
  <c r="E22" i="25"/>
  <c r="E17" i="25"/>
  <c r="R444" i="1" l="1"/>
  <c r="A445" i="1"/>
  <c r="A446" i="1" l="1"/>
  <c r="R445" i="1"/>
  <c r="R446" i="1" l="1"/>
  <c r="A447" i="1"/>
  <c r="A448" i="1" l="1"/>
  <c r="R447" i="1"/>
  <c r="A449" i="1" l="1"/>
  <c r="R448" i="1"/>
  <c r="A450" i="1" l="1"/>
  <c r="A451" i="1" s="1"/>
  <c r="R449" i="1"/>
  <c r="A452" i="1" l="1"/>
  <c r="R451" i="1"/>
  <c r="C19" i="19"/>
  <c r="C20" i="19"/>
  <c r="D35" i="19"/>
  <c r="B26" i="19"/>
  <c r="C35" i="19"/>
  <c r="F24" i="19"/>
  <c r="C18" i="19"/>
  <c r="D19" i="19"/>
  <c r="D21" i="19"/>
  <c r="B22" i="19"/>
  <c r="C23" i="19"/>
  <c r="B35" i="19"/>
  <c r="F19" i="19"/>
  <c r="B20" i="19"/>
  <c r="D34" i="19"/>
  <c r="E23" i="19"/>
  <c r="B21" i="19"/>
  <c r="F25" i="19"/>
  <c r="E26" i="19"/>
  <c r="C34" i="19"/>
  <c r="F22" i="19"/>
  <c r="E34" i="19"/>
  <c r="D25" i="19"/>
  <c r="E21" i="19"/>
  <c r="F20" i="19"/>
  <c r="E19" i="19"/>
  <c r="E35" i="19"/>
  <c r="D20" i="19"/>
  <c r="B18" i="19"/>
  <c r="C21" i="19"/>
  <c r="F21" i="19"/>
  <c r="E25" i="19"/>
  <c r="D26" i="19"/>
  <c r="C25" i="19"/>
  <c r="F35" i="19"/>
  <c r="B19" i="19"/>
  <c r="E22" i="19"/>
  <c r="E20" i="19"/>
  <c r="D23" i="19"/>
  <c r="E18" i="19"/>
  <c r="B23" i="19"/>
  <c r="F26" i="19"/>
  <c r="B25" i="19"/>
  <c r="C26" i="19"/>
  <c r="E24" i="19"/>
  <c r="C22" i="19"/>
  <c r="D18" i="19"/>
  <c r="D22" i="19"/>
  <c r="D24" i="19"/>
  <c r="C24" i="19"/>
  <c r="F23" i="19"/>
  <c r="B24" i="19"/>
  <c r="B34" i="19"/>
  <c r="R450" i="1"/>
  <c r="F7" i="29"/>
  <c r="E7" i="28"/>
  <c r="C37" i="28"/>
  <c r="B28" i="28"/>
  <c r="E26" i="28"/>
  <c r="C9" i="29"/>
  <c r="C3" i="28"/>
  <c r="E27" i="28"/>
  <c r="D40" i="28"/>
  <c r="C4" i="29"/>
  <c r="E13" i="28"/>
  <c r="D23" i="28"/>
  <c r="D36" i="28"/>
  <c r="F9" i="29"/>
  <c r="E8" i="28"/>
  <c r="D39" i="28"/>
  <c r="D4" i="29"/>
  <c r="D4" i="28"/>
  <c r="C11" i="28"/>
  <c r="D41" i="28"/>
  <c r="D26" i="28"/>
  <c r="F10" i="29"/>
  <c r="B9" i="29"/>
  <c r="D28" i="28"/>
  <c r="E6" i="29"/>
  <c r="D11" i="29"/>
  <c r="C8" i="28"/>
  <c r="B14" i="28"/>
  <c r="D18" i="28"/>
  <c r="B40" i="28"/>
  <c r="D12" i="28"/>
  <c r="E8" i="29"/>
  <c r="B6" i="29"/>
  <c r="E35" i="28"/>
  <c r="D7" i="28"/>
  <c r="E20" i="28"/>
  <c r="C27" i="28"/>
  <c r="B34" i="28"/>
  <c r="F4" i="29"/>
  <c r="E33" i="28"/>
  <c r="B27" i="28"/>
  <c r="B11" i="29"/>
  <c r="B24" i="28"/>
  <c r="D34" i="28"/>
  <c r="C3" i="29"/>
  <c r="F8" i="29"/>
  <c r="B8" i="29"/>
  <c r="D42" i="28"/>
  <c r="B5" i="29"/>
  <c r="B18" i="28"/>
  <c r="D13" i="28"/>
  <c r="E4" i="28"/>
  <c r="B36" i="28"/>
  <c r="F11" i="29"/>
  <c r="C5" i="29"/>
  <c r="D10" i="29"/>
  <c r="D8" i="28"/>
  <c r="D8" i="29"/>
  <c r="D7" i="29"/>
  <c r="B5" i="28"/>
  <c r="E23" i="28"/>
  <c r="C23" i="28"/>
  <c r="D5" i="29"/>
  <c r="C33" i="28"/>
  <c r="D6" i="28"/>
  <c r="E39" i="28"/>
  <c r="C6" i="28"/>
  <c r="C18" i="28"/>
  <c r="D35" i="28"/>
  <c r="E24" i="28"/>
  <c r="B11" i="28"/>
  <c r="C40" i="28"/>
  <c r="B39" i="28"/>
  <c r="D33" i="28"/>
  <c r="C28" i="28"/>
  <c r="B33" i="28"/>
  <c r="C19" i="28"/>
  <c r="B19" i="28"/>
  <c r="C12" i="28"/>
  <c r="E37" i="28"/>
  <c r="B20" i="28"/>
  <c r="D9" i="29"/>
  <c r="C38" i="28"/>
  <c r="B6" i="28"/>
  <c r="E7" i="29"/>
  <c r="B3" i="28"/>
  <c r="C34" i="28"/>
  <c r="E14" i="28"/>
  <c r="D24" i="28"/>
  <c r="B12" i="28"/>
  <c r="E9" i="29"/>
  <c r="E12" i="28"/>
  <c r="C14" i="28"/>
  <c r="B4" i="29"/>
  <c r="D6" i="29"/>
  <c r="D38" i="28"/>
  <c r="C35" i="28"/>
  <c r="E42" i="28"/>
  <c r="E40" i="28"/>
  <c r="E10" i="29"/>
  <c r="B41" i="28"/>
  <c r="E28" i="28"/>
  <c r="C21" i="28"/>
  <c r="D14" i="28"/>
  <c r="C7" i="28"/>
  <c r="E41" i="28"/>
  <c r="F5" i="29"/>
  <c r="B38" i="28"/>
  <c r="C26" i="28"/>
  <c r="D37" i="28"/>
  <c r="C5" i="28"/>
  <c r="C4" i="28"/>
  <c r="C25" i="28"/>
  <c r="E21" i="28"/>
  <c r="E22" i="28"/>
  <c r="B4" i="28"/>
  <c r="B22" i="28"/>
  <c r="D11" i="28"/>
  <c r="D5" i="28"/>
  <c r="B21" i="28"/>
  <c r="B10" i="29"/>
  <c r="C39" i="28"/>
  <c r="E10" i="28"/>
  <c r="C8" i="29"/>
  <c r="C6" i="29"/>
  <c r="E38" i="28"/>
  <c r="B35" i="28"/>
  <c r="E17" i="28"/>
  <c r="C11" i="29"/>
  <c r="E6" i="28"/>
  <c r="C10" i="28"/>
  <c r="B23" i="28"/>
  <c r="B10" i="28"/>
  <c r="C20" i="28"/>
  <c r="D9" i="28"/>
  <c r="E5" i="28"/>
  <c r="E9" i="28"/>
  <c r="C42" i="28"/>
  <c r="C7" i="29"/>
  <c r="D27" i="28"/>
  <c r="B42" i="28"/>
  <c r="C36" i="28"/>
  <c r="C13" i="28"/>
  <c r="B7" i="29"/>
  <c r="B25" i="28"/>
  <c r="E25" i="28"/>
  <c r="B3" i="29"/>
  <c r="C17" i="28"/>
  <c r="E4" i="29"/>
  <c r="B17" i="28"/>
  <c r="E3" i="28"/>
  <c r="B13" i="28"/>
  <c r="D21" i="28"/>
  <c r="D19" i="28"/>
  <c r="C10" i="29"/>
  <c r="C41" i="28"/>
  <c r="D22" i="28"/>
  <c r="B8" i="28"/>
  <c r="B37" i="28"/>
  <c r="E36" i="28"/>
  <c r="C22" i="28"/>
  <c r="E34" i="28"/>
  <c r="D10" i="28"/>
  <c r="E11" i="29"/>
  <c r="D25" i="28"/>
  <c r="B9" i="28"/>
  <c r="E11" i="28"/>
  <c r="E18" i="28"/>
  <c r="D3" i="29"/>
  <c r="C24" i="28"/>
  <c r="B7" i="28"/>
  <c r="E19" i="28"/>
  <c r="E3" i="29"/>
  <c r="E5" i="29"/>
  <c r="D3" i="28"/>
  <c r="B26" i="28"/>
  <c r="C9" i="28"/>
  <c r="D17" i="28"/>
  <c r="F6" i="29"/>
  <c r="D20" i="28"/>
  <c r="A453" i="1" l="1"/>
  <c r="R452" i="1"/>
  <c r="A454" i="1" l="1"/>
  <c r="R453" i="1"/>
  <c r="F36" i="19"/>
  <c r="C37" i="19"/>
  <c r="B36" i="19"/>
  <c r="B37" i="19"/>
  <c r="C36" i="19"/>
  <c r="D36" i="19"/>
  <c r="E36" i="19"/>
  <c r="E37" i="19"/>
  <c r="F37" i="19"/>
  <c r="D37" i="19"/>
  <c r="A455" i="1" l="1"/>
  <c r="R454" i="1"/>
  <c r="A456" i="1" l="1"/>
  <c r="R455" i="1"/>
  <c r="E39" i="19"/>
  <c r="E38" i="19"/>
  <c r="B38" i="19"/>
  <c r="F39" i="19"/>
  <c r="F38" i="19"/>
  <c r="D39" i="19"/>
  <c r="C39" i="19"/>
  <c r="C38" i="19"/>
  <c r="B39" i="19"/>
  <c r="D38" i="19"/>
  <c r="A457" i="1" l="1"/>
  <c r="R456" i="1"/>
  <c r="A458" i="1" l="1"/>
  <c r="R457" i="1"/>
  <c r="D40" i="19"/>
  <c r="E40" i="19"/>
  <c r="B40" i="19"/>
  <c r="B41" i="19"/>
  <c r="C40" i="19"/>
  <c r="F41" i="19"/>
  <c r="D41" i="19"/>
  <c r="E41" i="19"/>
  <c r="C41" i="19"/>
  <c r="F40" i="19"/>
  <c r="A459" i="1" l="1"/>
  <c r="R458" i="1"/>
  <c r="A460" i="1" l="1"/>
  <c r="R459" i="1"/>
  <c r="D42" i="19"/>
  <c r="F42" i="19"/>
  <c r="E42" i="19"/>
  <c r="B42" i="19"/>
  <c r="C42" i="19"/>
  <c r="A461" i="1" l="1"/>
  <c r="R460" i="1"/>
  <c r="A462" i="1" l="1"/>
  <c r="R461" i="1"/>
  <c r="F9" i="30"/>
  <c r="E9" i="30"/>
  <c r="D9" i="30"/>
  <c r="B8" i="30"/>
  <c r="C9" i="30"/>
  <c r="E8" i="30"/>
  <c r="C7" i="30"/>
  <c r="F8" i="30"/>
  <c r="B9" i="30"/>
  <c r="F7" i="30"/>
  <c r="E7" i="30"/>
  <c r="D7" i="30"/>
  <c r="B7" i="30"/>
  <c r="D8" i="30"/>
  <c r="C8" i="30"/>
  <c r="A463" i="1" l="1"/>
  <c r="R462" i="1"/>
  <c r="A464" i="1" l="1"/>
  <c r="R463" i="1"/>
  <c r="E10" i="30"/>
  <c r="C11" i="30"/>
  <c r="D11" i="30"/>
  <c r="B11" i="30"/>
  <c r="D10" i="30"/>
  <c r="C10" i="30"/>
  <c r="F10" i="30"/>
  <c r="B10" i="30"/>
  <c r="F11" i="30"/>
  <c r="E11" i="30"/>
  <c r="A465" i="1" l="1"/>
  <c r="R464" i="1"/>
  <c r="A466" i="1" l="1"/>
  <c r="R465" i="1"/>
  <c r="C13" i="30"/>
  <c r="B12" i="30"/>
  <c r="D13" i="30"/>
  <c r="D12" i="30"/>
  <c r="F13" i="30"/>
  <c r="E13" i="30"/>
  <c r="E12" i="30"/>
  <c r="B13" i="30"/>
  <c r="C12" i="30"/>
  <c r="F12" i="30"/>
  <c r="A467" i="1" l="1"/>
  <c r="R466" i="1"/>
  <c r="A468" i="1" l="1"/>
  <c r="R467" i="1"/>
  <c r="E14" i="30"/>
  <c r="B78" i="21"/>
  <c r="B65" i="21"/>
  <c r="D78" i="21"/>
  <c r="D65" i="21"/>
  <c r="C78" i="21"/>
  <c r="C65" i="21"/>
  <c r="C14" i="30"/>
  <c r="F14" i="30"/>
  <c r="B14" i="30"/>
  <c r="E65" i="21"/>
  <c r="D14" i="30"/>
  <c r="E78" i="21"/>
  <c r="R468" i="1" l="1"/>
  <c r="A469" i="1"/>
  <c r="R469" i="1" l="1"/>
  <c r="A470" i="1"/>
  <c r="B80" i="21"/>
  <c r="F79" i="21"/>
  <c r="C79" i="21"/>
  <c r="D66" i="21"/>
  <c r="B66" i="21"/>
  <c r="B79" i="21"/>
  <c r="E67" i="21"/>
  <c r="F80" i="21"/>
  <c r="E66" i="21"/>
  <c r="E80" i="21"/>
  <c r="F66" i="21"/>
  <c r="C66" i="21"/>
  <c r="F67" i="21"/>
  <c r="B67" i="21"/>
  <c r="D79" i="21"/>
  <c r="D80" i="21"/>
  <c r="E79" i="21"/>
  <c r="C80" i="21"/>
  <c r="D67" i="21"/>
  <c r="C67" i="21"/>
  <c r="R470" i="1" l="1"/>
  <c r="A471" i="1"/>
  <c r="R471" i="1" l="1"/>
  <c r="A472" i="1"/>
  <c r="E81" i="21"/>
  <c r="E82" i="21"/>
  <c r="F81" i="21"/>
  <c r="D81" i="21"/>
  <c r="B82" i="21"/>
  <c r="B81" i="21"/>
  <c r="C82" i="21"/>
  <c r="F82" i="21"/>
  <c r="C81" i="21"/>
  <c r="D82" i="21"/>
  <c r="R472" i="1" l="1"/>
  <c r="A473" i="1"/>
  <c r="R473" i="1" l="1"/>
  <c r="A474" i="1"/>
  <c r="R474" i="1" l="1"/>
  <c r="A475" i="1"/>
  <c r="R475" i="1" l="1"/>
  <c r="A476" i="1"/>
  <c r="A477" i="1" l="1"/>
  <c r="R476" i="1"/>
  <c r="R477" i="1" l="1"/>
  <c r="A478" i="1"/>
  <c r="R478" i="1" l="1"/>
  <c r="A479" i="1"/>
  <c r="A480" i="1" l="1"/>
  <c r="R479" i="1"/>
  <c r="A481" i="1" l="1"/>
  <c r="R480" i="1"/>
  <c r="A482" i="1" l="1"/>
  <c r="R481" i="1"/>
  <c r="A483" i="1" l="1"/>
  <c r="R482" i="1"/>
  <c r="A484" i="1" l="1"/>
  <c r="R483" i="1"/>
  <c r="A485" i="1" l="1"/>
  <c r="R484" i="1"/>
  <c r="A486" i="1" l="1"/>
  <c r="R485" i="1"/>
  <c r="A487" i="1" l="1"/>
  <c r="R486" i="1"/>
  <c r="A488" i="1" l="1"/>
  <c r="R487" i="1"/>
  <c r="A489" i="1" l="1"/>
  <c r="R488" i="1"/>
  <c r="A490" i="1" l="1"/>
  <c r="R489" i="1"/>
  <c r="A491" i="1" l="1"/>
  <c r="R490" i="1"/>
  <c r="A492" i="1" l="1"/>
  <c r="R491" i="1"/>
  <c r="R492" i="1" l="1"/>
  <c r="A493" i="1"/>
  <c r="A494" i="1" l="1"/>
  <c r="A495" i="1" s="1"/>
  <c r="R493" i="1"/>
  <c r="R495" i="1" l="1"/>
  <c r="A496" i="1"/>
  <c r="R494" i="1"/>
  <c r="D70" i="21"/>
  <c r="C71" i="21"/>
  <c r="E71" i="21"/>
  <c r="B70" i="21"/>
  <c r="E69" i="21"/>
  <c r="F71" i="21"/>
  <c r="E72" i="21"/>
  <c r="F72" i="21"/>
  <c r="D73" i="21"/>
  <c r="E73" i="21"/>
  <c r="F70" i="21"/>
  <c r="D71" i="21"/>
  <c r="D72" i="21"/>
  <c r="B68" i="21"/>
  <c r="E68" i="21"/>
  <c r="C73" i="21"/>
  <c r="B72" i="21"/>
  <c r="B71" i="21"/>
  <c r="F73" i="21"/>
  <c r="C69" i="21"/>
  <c r="F69" i="21"/>
  <c r="B69" i="21"/>
  <c r="D68" i="21"/>
  <c r="C72" i="21"/>
  <c r="C68" i="21"/>
  <c r="D69" i="21"/>
  <c r="C70" i="21"/>
  <c r="F68" i="21"/>
  <c r="E70" i="21"/>
  <c r="B73" i="21"/>
  <c r="B24" i="30"/>
  <c r="C28" i="30"/>
  <c r="C25" i="30"/>
  <c r="C15" i="20"/>
  <c r="C24" i="30"/>
  <c r="D3" i="30"/>
  <c r="D85" i="21"/>
  <c r="D27" i="30"/>
  <c r="F10" i="20"/>
  <c r="D26" i="30"/>
  <c r="C86" i="21"/>
  <c r="D25" i="30"/>
  <c r="B5" i="30"/>
  <c r="E16" i="20"/>
  <c r="C20" i="30"/>
  <c r="B86" i="21"/>
  <c r="C5" i="30"/>
  <c r="F5" i="20"/>
  <c r="B10" i="20"/>
  <c r="E6" i="20"/>
  <c r="C3" i="30"/>
  <c r="F29" i="30"/>
  <c r="D83" i="21"/>
  <c r="F86" i="21"/>
  <c r="D86" i="21"/>
  <c r="D10" i="20"/>
  <c r="F24" i="30"/>
  <c r="C4" i="30"/>
  <c r="C21" i="30"/>
  <c r="B30" i="30"/>
  <c r="E19" i="30"/>
  <c r="F26" i="30"/>
  <c r="C16" i="20"/>
  <c r="B22" i="30"/>
  <c r="F3" i="30"/>
  <c r="E86" i="21"/>
  <c r="D84" i="21"/>
  <c r="F23" i="30"/>
  <c r="F30" i="30"/>
  <c r="B84" i="21"/>
  <c r="B21" i="20"/>
  <c r="B15" i="20"/>
  <c r="F85" i="21"/>
  <c r="C19" i="30"/>
  <c r="B83" i="21"/>
  <c r="F25" i="30"/>
  <c r="C11" i="20"/>
  <c r="B5" i="20"/>
  <c r="C26" i="30"/>
  <c r="C30" i="30"/>
  <c r="E5" i="20"/>
  <c r="E23" i="30"/>
  <c r="D5" i="20"/>
  <c r="B23" i="30"/>
  <c r="E85" i="21"/>
  <c r="E5" i="30"/>
  <c r="D30" i="30"/>
  <c r="E22" i="30"/>
  <c r="G22" i="30" s="1"/>
  <c r="D21" i="20"/>
  <c r="C23" i="30"/>
  <c r="B26" i="30"/>
  <c r="E83" i="21"/>
  <c r="E21" i="30"/>
  <c r="B85" i="21"/>
  <c r="C5" i="20"/>
  <c r="C85" i="21"/>
  <c r="E27" i="30"/>
  <c r="E25" i="30"/>
  <c r="D15" i="20"/>
  <c r="C21" i="20"/>
  <c r="C84" i="21"/>
  <c r="C6" i="20"/>
  <c r="C10" i="20"/>
  <c r="D5" i="30"/>
  <c r="B16" i="20"/>
  <c r="E28" i="30"/>
  <c r="E11" i="20"/>
  <c r="B11" i="20"/>
  <c r="D28" i="30"/>
  <c r="F6" i="20"/>
  <c r="D6" i="20"/>
  <c r="F83" i="21"/>
  <c r="D24" i="30"/>
  <c r="D23" i="30"/>
  <c r="E15" i="20"/>
  <c r="F84" i="21"/>
  <c r="F28" i="30"/>
  <c r="D29" i="30"/>
  <c r="E21" i="20"/>
  <c r="E22" i="20" s="1"/>
  <c r="B27" i="30"/>
  <c r="E30" i="30"/>
  <c r="B19" i="30"/>
  <c r="C83" i="21"/>
  <c r="E20" i="30"/>
  <c r="C22" i="30"/>
  <c r="F4" i="30"/>
  <c r="F11" i="20"/>
  <c r="D19" i="30"/>
  <c r="B21" i="30"/>
  <c r="D20" i="30"/>
  <c r="B6" i="20"/>
  <c r="E3" i="30"/>
  <c r="F19" i="30"/>
  <c r="B3" i="30"/>
  <c r="B20" i="30"/>
  <c r="D11" i="20"/>
  <c r="E26" i="30"/>
  <c r="E29" i="30"/>
  <c r="D16" i="20"/>
  <c r="B28" i="30"/>
  <c r="E84" i="21"/>
  <c r="B4" i="30"/>
  <c r="D22" i="30"/>
  <c r="E24" i="30"/>
  <c r="B29" i="30"/>
  <c r="E10" i="20"/>
  <c r="C29" i="30"/>
  <c r="B25" i="30"/>
  <c r="E4" i="30"/>
  <c r="C27" i="30"/>
  <c r="F20" i="30"/>
  <c r="F27" i="30"/>
  <c r="D21" i="30"/>
  <c r="D4" i="30"/>
  <c r="G23" i="30" l="1"/>
  <c r="G24" i="30" s="1"/>
  <c r="G25" i="30" s="1"/>
  <c r="G26" i="30" s="1"/>
  <c r="G27" i="30" s="1"/>
  <c r="G28" i="30" s="1"/>
  <c r="G29" i="30" s="1"/>
  <c r="G30" i="30" s="1"/>
  <c r="G21" i="30"/>
  <c r="G20" i="30" s="1"/>
  <c r="G19" i="30" s="1"/>
  <c r="E17" i="20"/>
  <c r="R496" i="1"/>
  <c r="A497" i="1"/>
  <c r="E7" i="20"/>
  <c r="E12" i="20"/>
  <c r="R497" i="1" l="1"/>
  <c r="A498" i="1"/>
  <c r="A499" i="1" l="1"/>
  <c r="A500" i="1" s="1"/>
  <c r="R498" i="1"/>
  <c r="A501" i="1" l="1"/>
  <c r="R500" i="1"/>
  <c r="R499" i="1"/>
  <c r="E55" i="8"/>
  <c r="F56" i="8"/>
  <c r="D54" i="8"/>
  <c r="D55" i="8"/>
  <c r="C56" i="8"/>
  <c r="C55" i="8"/>
  <c r="B56" i="8"/>
  <c r="D56" i="8"/>
  <c r="E56" i="8"/>
  <c r="F55" i="8"/>
  <c r="F54" i="8"/>
  <c r="E54" i="8"/>
  <c r="B55" i="8"/>
  <c r="B54" i="8"/>
  <c r="C54" i="8"/>
  <c r="R501" i="1" l="1"/>
  <c r="A502" i="1"/>
  <c r="A503" i="1" l="1"/>
  <c r="R502" i="1"/>
  <c r="A504" i="1" l="1"/>
  <c r="R503" i="1"/>
  <c r="A505" i="1" l="1"/>
  <c r="R504" i="1"/>
  <c r="A506" i="1" l="1"/>
  <c r="A507" i="1" s="1"/>
  <c r="A508" i="1" s="1"/>
  <c r="A509" i="1" s="1"/>
  <c r="A510" i="1" s="1"/>
  <c r="A511" i="1" s="1"/>
  <c r="R505" i="1"/>
  <c r="D5" i="25" l="1"/>
  <c r="D7" i="25" s="1"/>
  <c r="B32" i="9"/>
  <c r="D39" i="9"/>
  <c r="D38" i="9"/>
  <c r="E32" i="9"/>
  <c r="C36" i="9"/>
  <c r="E41" i="9"/>
  <c r="F37" i="9"/>
  <c r="C39" i="9"/>
  <c r="E34" i="9"/>
  <c r="D30" i="9"/>
  <c r="C33" i="9"/>
  <c r="C35" i="9"/>
  <c r="E30" i="9"/>
  <c r="E38" i="9"/>
  <c r="B35" i="9"/>
  <c r="F32" i="9"/>
  <c r="F39" i="9"/>
  <c r="F30" i="9"/>
  <c r="B41" i="9"/>
  <c r="C34" i="9"/>
  <c r="C30" i="9"/>
  <c r="C41" i="9"/>
  <c r="F35" i="9"/>
  <c r="B34" i="9"/>
  <c r="D35" i="9"/>
  <c r="C31" i="9"/>
  <c r="E35" i="9"/>
  <c r="B36" i="9"/>
  <c r="E31" i="9"/>
  <c r="B38" i="9"/>
  <c r="F36" i="9"/>
  <c r="F31" i="9"/>
  <c r="B40" i="9"/>
  <c r="B31" i="9"/>
  <c r="B33" i="9"/>
  <c r="D36" i="9"/>
  <c r="D34" i="9"/>
  <c r="D31" i="9"/>
  <c r="C38" i="9"/>
  <c r="D32" i="9"/>
  <c r="D33" i="9"/>
  <c r="F40" i="9"/>
  <c r="B39" i="9"/>
  <c r="E36" i="9"/>
  <c r="C40" i="9"/>
  <c r="F41" i="9"/>
  <c r="E33" i="9"/>
  <c r="C32" i="9"/>
  <c r="F38" i="9"/>
  <c r="D40" i="9"/>
  <c r="D37" i="9"/>
  <c r="D41" i="9"/>
  <c r="E37" i="9"/>
  <c r="B30" i="9"/>
  <c r="E40" i="9"/>
  <c r="C37" i="9"/>
  <c r="B37" i="9"/>
  <c r="F34" i="9"/>
  <c r="E39" i="9"/>
  <c r="F61" i="8"/>
  <c r="E57" i="8"/>
  <c r="B60" i="8"/>
  <c r="F65" i="8"/>
  <c r="C59" i="8"/>
  <c r="D65" i="8"/>
  <c r="D57" i="8"/>
  <c r="E61" i="8"/>
  <c r="C57" i="8"/>
  <c r="B58" i="8"/>
  <c r="B63" i="8"/>
  <c r="E58" i="8"/>
  <c r="D58" i="8"/>
  <c r="E62" i="8"/>
  <c r="F60" i="8"/>
  <c r="C65" i="8"/>
  <c r="C58" i="8"/>
  <c r="F58" i="8"/>
  <c r="C64" i="8"/>
  <c r="E59" i="8"/>
  <c r="F63" i="8"/>
  <c r="B65" i="8"/>
  <c r="C62" i="8"/>
  <c r="B64" i="8"/>
  <c r="B59" i="8"/>
  <c r="F64" i="8"/>
  <c r="D62" i="8"/>
  <c r="D63" i="8"/>
  <c r="F62" i="8"/>
  <c r="B62" i="8"/>
  <c r="E63" i="8"/>
  <c r="D64" i="8"/>
  <c r="C61" i="8"/>
  <c r="E60" i="8"/>
  <c r="C60" i="8"/>
  <c r="D60" i="8"/>
  <c r="B61" i="8"/>
  <c r="C63" i="8"/>
  <c r="E65" i="8"/>
  <c r="D61" i="8"/>
  <c r="B57" i="8"/>
  <c r="D59" i="8"/>
  <c r="F59" i="8"/>
  <c r="E64" i="8"/>
  <c r="O215" i="1" l="1"/>
  <c r="F3" i="17" s="1"/>
  <c r="O12" i="1"/>
  <c r="O24" i="1"/>
  <c r="O84" i="1"/>
  <c r="O3" i="1"/>
  <c r="F4" i="17" s="1"/>
  <c r="F4" i="16" l="1"/>
  <c r="F10" i="13"/>
  <c r="F10" i="25"/>
  <c r="F5" i="16"/>
  <c r="F15" i="25"/>
  <c r="F15" i="13"/>
  <c r="F20" i="13"/>
  <c r="F20" i="25"/>
  <c r="F5" i="13"/>
  <c r="F3" i="16"/>
  <c r="F5" i="25"/>
  <c r="O468" i="1"/>
  <c r="O426" i="1"/>
  <c r="F13" i="15" s="1"/>
  <c r="O271" i="1"/>
  <c r="F21" i="21" s="1"/>
  <c r="O283" i="1"/>
  <c r="F35" i="21" s="1"/>
  <c r="O232" i="1"/>
  <c r="F54" i="21" s="1"/>
  <c r="O157" i="1" l="1"/>
  <c r="F3" i="29" s="1"/>
  <c r="O148" i="1"/>
  <c r="F3" i="24" s="1"/>
  <c r="O180" i="1"/>
  <c r="F4" i="19" s="1"/>
  <c r="O451" i="1"/>
  <c r="F34" i="19" s="1"/>
  <c r="F65" i="21"/>
  <c r="F78" i="21"/>
  <c r="O495" i="1"/>
  <c r="E495" i="1" s="1"/>
  <c r="D495" i="1" s="1"/>
  <c r="C495" i="1" s="1"/>
  <c r="O4" i="1"/>
  <c r="F5" i="17" s="1"/>
  <c r="O299" i="1"/>
  <c r="O139" i="1"/>
  <c r="O494" i="1"/>
  <c r="O13" i="1"/>
  <c r="O10" i="1"/>
  <c r="O442" i="1"/>
  <c r="F18" i="19" s="1"/>
  <c r="O425" i="1"/>
  <c r="F13" i="14" s="1"/>
  <c r="O19" i="1"/>
  <c r="F8" i="14" s="1"/>
  <c r="O21" i="1"/>
  <c r="O25" i="1"/>
  <c r="O295" i="1"/>
  <c r="O302" i="1"/>
  <c r="F5" i="9" s="1"/>
  <c r="O362" i="1"/>
  <c r="F53" i="9" s="1"/>
  <c r="O93" i="1"/>
  <c r="O239" i="1"/>
  <c r="O264" i="1"/>
  <c r="F13" i="17" s="1"/>
  <c r="O39" i="1"/>
  <c r="F18" i="14" s="1"/>
  <c r="O199" i="1"/>
  <c r="F18" i="26" s="1"/>
  <c r="O479" i="1"/>
  <c r="O483" i="1"/>
  <c r="O22" i="1"/>
  <c r="O217" i="1"/>
  <c r="O7" i="1"/>
  <c r="F3" i="14" s="1"/>
  <c r="O213" i="1"/>
  <c r="O57" i="1" l="1"/>
  <c r="O66" i="1"/>
  <c r="F14" i="13"/>
  <c r="F6" i="8"/>
  <c r="F19" i="8"/>
  <c r="F9" i="14"/>
  <c r="O300" i="1"/>
  <c r="F8" i="9" s="1"/>
  <c r="O301" i="1"/>
  <c r="F4" i="9" s="1"/>
  <c r="F22" i="30"/>
  <c r="F21" i="20"/>
  <c r="F6" i="21"/>
  <c r="F19" i="20"/>
  <c r="F15" i="20"/>
  <c r="F5" i="30"/>
  <c r="F5" i="21"/>
  <c r="F14" i="20"/>
  <c r="O111" i="1"/>
  <c r="O129" i="1"/>
  <c r="O120" i="1"/>
  <c r="F16" i="16"/>
  <c r="F10" i="14"/>
  <c r="F10" i="26"/>
  <c r="F18" i="8"/>
  <c r="F4" i="14"/>
  <c r="O183" i="1"/>
  <c r="O48" i="1"/>
  <c r="F18" i="15" s="1"/>
  <c r="O500" i="1"/>
  <c r="F57" i="8" s="1"/>
  <c r="O75" i="1"/>
  <c r="F5" i="8"/>
  <c r="F9" i="13"/>
  <c r="F15" i="16"/>
  <c r="F5" i="14"/>
  <c r="F5" i="26"/>
  <c r="F20" i="14"/>
  <c r="F17" i="16"/>
  <c r="F20" i="26"/>
  <c r="F15" i="26"/>
  <c r="F15" i="14"/>
  <c r="F20" i="20"/>
  <c r="F6" i="30"/>
  <c r="O482" i="1"/>
  <c r="F35" i="8" l="1"/>
  <c r="F19" i="15"/>
  <c r="F22" i="20"/>
  <c r="O30" i="1"/>
  <c r="F18" i="13" s="1"/>
  <c r="O424" i="1"/>
  <c r="F13" i="13" s="1"/>
  <c r="F21" i="30"/>
  <c r="F16" i="20"/>
  <c r="F17" i="20" s="1"/>
  <c r="F20" i="28"/>
  <c r="F19" i="26"/>
  <c r="F19" i="27"/>
  <c r="F34" i="28"/>
  <c r="F19" i="14"/>
  <c r="F21" i="8"/>
  <c r="F6" i="28"/>
  <c r="F19" i="25"/>
  <c r="F19" i="13"/>
  <c r="F7" i="8"/>
  <c r="O178" i="1" l="1"/>
  <c r="F7" i="9" s="1"/>
  <c r="O166" i="1"/>
  <c r="F11" i="17" s="1"/>
  <c r="O380" i="1"/>
  <c r="F33" i="9" s="1"/>
  <c r="O182" i="1" l="1"/>
  <c r="F3" i="21" l="1"/>
  <c r="F4" i="20"/>
  <c r="D424" i="1"/>
  <c r="D13" i="13" s="1"/>
  <c r="H13" i="13" s="1"/>
  <c r="E13" i="13"/>
  <c r="E18" i="1"/>
  <c r="D18" i="1" l="1"/>
  <c r="D439" i="1" s="1"/>
  <c r="D8" i="25" s="1"/>
  <c r="E439" i="1"/>
  <c r="E8" i="25" s="1"/>
  <c r="C424" i="1"/>
  <c r="D168" i="1"/>
  <c r="D13" i="25" s="1"/>
  <c r="E8" i="13"/>
  <c r="E6" i="1"/>
  <c r="E436" i="1" s="1"/>
  <c r="E3" i="25" s="1"/>
  <c r="C18" i="1" l="1"/>
  <c r="C8" i="13" s="1"/>
  <c r="D8" i="13"/>
  <c r="H8" i="13" s="1"/>
  <c r="C13" i="13"/>
  <c r="C168" i="1"/>
  <c r="C13" i="25" s="1"/>
  <c r="E3" i="13"/>
  <c r="D6" i="1"/>
  <c r="D436" i="1" s="1"/>
  <c r="D3" i="25" s="1"/>
  <c r="C439" i="1" l="1"/>
  <c r="C8" i="25" s="1"/>
  <c r="C6" i="1"/>
  <c r="D3" i="13"/>
  <c r="H3" i="13" s="1"/>
  <c r="C3" i="13" l="1"/>
  <c r="C436" i="1"/>
  <c r="C3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JAVIER</author>
    <author>JAVIER YUNGA</author>
  </authors>
  <commentList>
    <comment ref="E6" authorId="0" shapeId="0" xr:uid="{69FFFBB8-91DD-4526-B1A8-18EFDF06A2F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ESTE VALOR ES DE 0,5 CTVS MAS ECONOMICO QUE LAS TALLAS 32-42</t>
        </r>
      </text>
    </comment>
    <comment ref="C12" authorId="1" shapeId="0" xr:uid="{F9855427-2437-4796-903C-2E5E59E5B96E}">
      <text>
        <r>
          <rPr>
            <b/>
            <sz val="9"/>
            <color indexed="81"/>
            <rFont val="Tahoma"/>
            <family val="2"/>
          </rPr>
          <t>JAVIER:</t>
        </r>
        <r>
          <rPr>
            <sz val="9"/>
            <color indexed="81"/>
            <rFont val="Tahoma"/>
            <family val="2"/>
          </rPr>
          <t xml:space="preserve">
ESTE VALOR ES EL MINIMO.</t>
        </r>
      </text>
    </comment>
    <comment ref="C24" authorId="1" shapeId="0" xr:uid="{D759DB14-812F-4366-8919-8CA2820965BA}">
      <text>
        <r>
          <rPr>
            <b/>
            <sz val="9"/>
            <color indexed="81"/>
            <rFont val="Tahoma"/>
            <family val="2"/>
          </rPr>
          <t>JAVIER:</t>
        </r>
        <r>
          <rPr>
            <sz val="9"/>
            <color indexed="81"/>
            <rFont val="Tahoma"/>
            <family val="2"/>
          </rPr>
          <t xml:space="preserve">
ESTE ES EL COSTO MÍNIMO</t>
        </r>
      </text>
    </comment>
    <comment ref="C84" authorId="1" shapeId="0" xr:uid="{2BFF317E-DCEF-49EF-9F60-27851C1D6714}">
      <text>
        <r>
          <rPr>
            <b/>
            <sz val="9"/>
            <color indexed="81"/>
            <rFont val="Tahoma"/>
            <family val="2"/>
          </rPr>
          <t>JAVIER:</t>
        </r>
        <r>
          <rPr>
            <sz val="9"/>
            <color indexed="81"/>
            <rFont val="Tahoma"/>
            <family val="2"/>
          </rPr>
          <t xml:space="preserve">
ESTE ES EL COSTO MÍNIMO</t>
        </r>
      </text>
    </comment>
    <comment ref="E139" authorId="2" shapeId="0" xr:uid="{785CA8DE-64D8-4F3B-B82A-E8240DA55195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N180" authorId="2" shapeId="0" xr:uid="{FA694570-D963-4AC8-B175-8BA6CA67980F}">
      <text>
        <r>
          <rPr>
            <sz val="9"/>
            <color indexed="81"/>
            <rFont val="Tahoma"/>
            <family val="2"/>
          </rPr>
          <t>Se considera el mismo APU ya que utilizando la misma cantidad en tela y sublimación.</t>
        </r>
      </text>
    </comment>
    <comment ref="E353" authorId="2" shapeId="0" xr:uid="{FFE01BCF-21EA-4307-92CC-57C972BEADEA}">
      <text>
        <r>
          <rPr>
            <sz val="9"/>
            <color indexed="81"/>
            <rFont val="Tahoma"/>
            <family val="2"/>
          </rPr>
          <t>Esta prenda cuesta 1 dólar más que las PREMIUN Y QUE LAS CAMISETAS DEPORTIVA PERSONALIZADAS 100% SUBLI</t>
        </r>
      </text>
    </comment>
    <comment ref="E380" authorId="2" shapeId="0" xr:uid="{8EDC32C7-8DDC-4D8F-B117-276F5687B69F}">
      <text>
        <r>
          <rPr>
            <sz val="9"/>
            <color indexed="81"/>
            <rFont val="Tahoma"/>
            <family val="2"/>
          </rPr>
          <t>Este valor es el mismo que una camiseta Premiun, la tela deportiva a gusto del cliente.</t>
        </r>
      </text>
    </comment>
    <comment ref="E468" authorId="2" shapeId="0" xr:uid="{FD70B107-1989-4EE2-B9EF-59C761D15AA0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69" authorId="2" shapeId="0" xr:uid="{B0DBBF77-FBA1-4407-9E27-2AA54CD9A5E3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0" authorId="2" shapeId="0" xr:uid="{48653E12-3433-4972-BE33-9606BF833B31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1" authorId="2" shapeId="0" xr:uid="{B387F992-6A0E-46E7-AEA9-9DAC433F315D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2" authorId="2" shapeId="0" xr:uid="{D54763A6-9954-4CF6-A2DD-EA23A2EB7FB0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3" authorId="2" shapeId="0" xr:uid="{1CD03798-DE07-4340-A546-980D47C52DB1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4" authorId="2" shapeId="0" xr:uid="{3C5B7A3D-E1F6-4C87-9E16-C3BDED2C0F6E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5" authorId="2" shapeId="0" xr:uid="{3AA5CEB7-CDCF-4565-828C-D88A353968DF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76" authorId="2" shapeId="0" xr:uid="{C87002D3-5246-4BA6-B26E-494BA7850E76}">
      <text>
        <r>
          <rPr>
            <sz val="9"/>
            <color indexed="81"/>
            <rFont val="Tahoma"/>
            <family val="2"/>
          </rPr>
          <t>Si se puede bajar el costo máximo en 10 dolares cada una.</t>
        </r>
      </text>
    </comment>
    <comment ref="E483" authorId="2" shapeId="0" xr:uid="{32AF4AC6-BB90-4ADC-ACE3-B25CAD21CC74}">
      <text>
        <r>
          <rPr>
            <sz val="9"/>
            <color indexed="81"/>
            <rFont val="Tahoma"/>
            <family val="2"/>
          </rPr>
          <t>Precio Base</t>
        </r>
      </text>
    </comment>
    <comment ref="E492" authorId="2" shapeId="0" xr:uid="{19EF5C90-60C4-4451-8CBA-E4FCA1745CA2}">
      <text>
        <r>
          <rPr>
            <sz val="9"/>
            <color indexed="81"/>
            <rFont val="Tahoma"/>
            <family val="2"/>
          </rPr>
          <t>Esta faldita cuesta 3 dolares más que el de niños.</t>
        </r>
      </text>
    </comment>
  </commentList>
</comments>
</file>

<file path=xl/sharedStrings.xml><?xml version="1.0" encoding="utf-8"?>
<sst xmlns="http://schemas.openxmlformats.org/spreadsheetml/2006/main" count="4754" uniqueCount="1171">
  <si>
    <t>COD.</t>
  </si>
  <si>
    <t>DESCRIPCION</t>
  </si>
  <si>
    <t>SUBLIMACION EN POLIN</t>
  </si>
  <si>
    <t>SERVICIO DE SUBLIMACION POR METRO</t>
  </si>
  <si>
    <t>CINTA DEPORTIVA PARA MADRINA</t>
  </si>
  <si>
    <t>GORRAS SUBLIMADAS</t>
  </si>
  <si>
    <t>SERVICIO DE CREACIÓN DE MARCA MAS LOGOTIPO/DISEÑO</t>
  </si>
  <si>
    <t>UNIF ÁRBITRO TXS-XL│ADULTO</t>
  </si>
  <si>
    <t>UNIF ÁRBITRO T2XL│ADULTO</t>
  </si>
  <si>
    <t>UNIF ÁRBITRO T3XL│ADULTO</t>
  </si>
  <si>
    <t>UNIF ÁRBITRO T4XL│ADULTO</t>
  </si>
  <si>
    <t>UNIF ÁRBITRO LICRA CORTA TXS-XL│ADULTO</t>
  </si>
  <si>
    <t>UNIF ÁRBITRO LICRA CORTA T2XL│ADULTO</t>
  </si>
  <si>
    <t>UNIF ÁRBITRO LICRA CORTA T3XL│ADULTO</t>
  </si>
  <si>
    <t>UNIF ÁRBITRO LICRA CORTA T4XL│ADULTO</t>
  </si>
  <si>
    <t>VESTIDO SUBLIMADO  TXS-XL│ADULTO</t>
  </si>
  <si>
    <t>BODY SUBLIMADA  T30-42│NIÑAS</t>
  </si>
  <si>
    <t>BANDERA DE 2 X 1,50 GALEON</t>
  </si>
  <si>
    <t>TELA SUBLIMADA</t>
  </si>
  <si>
    <t>MAESTRA</t>
  </si>
  <si>
    <t>ORIGEN</t>
  </si>
  <si>
    <t>APU5</t>
  </si>
  <si>
    <t>APU8</t>
  </si>
  <si>
    <t>APU55</t>
  </si>
  <si>
    <t>APU67</t>
  </si>
  <si>
    <t>CONJUNTO DEPORTIVO TXS-XL|ADULTO</t>
  </si>
  <si>
    <t>CONJUNTO DEPORTIVO T2XL|ADULTO</t>
  </si>
  <si>
    <t>CONJUNTO DEPORTIVO T3XL|ADULTO</t>
  </si>
  <si>
    <t>CONJUNTO DEPORTIVO T4XL|ADULTO</t>
  </si>
  <si>
    <t>CONJUNTO DEPORTIVO T5XL|ADULTO</t>
  </si>
  <si>
    <t>CONJUNTO DEPORTIVO T6XL|ADULTO</t>
  </si>
  <si>
    <t>CONJUNTO DEPORTIVO T7XL|ADULTO</t>
  </si>
  <si>
    <t>CONJUNTO DEPORTIVO T8XL|ADULTO</t>
  </si>
  <si>
    <t>CONJUNTO DEPORTIVO T9XL|ADULTO</t>
  </si>
  <si>
    <t>INFLABLE YUNPAR|ETIQUETA</t>
  </si>
  <si>
    <t>DISEÑO PARA ARQUERO</t>
  </si>
  <si>
    <t>APU38</t>
  </si>
  <si>
    <t>CHALECO DE ENTRENAMIENTO|TIPO BVD|XS-XL</t>
  </si>
  <si>
    <t>CHALECO DE ENTRENAMIENTO|ELASTICO|T32-42</t>
  </si>
  <si>
    <t>CHALECO DE ENTRENAMIENTO|TIPO BVD|T32-42</t>
  </si>
  <si>
    <t>CHALECO DE ENTRENAMIENTO|ELASTICO|XS-XL</t>
  </si>
  <si>
    <t>BOLSO PUBLICITARIO YUNPAR| 35cmx40cm</t>
  </si>
  <si>
    <t>APU19</t>
  </si>
  <si>
    <t>APU41</t>
  </si>
  <si>
    <t>APU62</t>
  </si>
  <si>
    <t>APU29</t>
  </si>
  <si>
    <t>APU63</t>
  </si>
  <si>
    <t>APU16</t>
  </si>
  <si>
    <t>BUZO CORPORATIVO ALGODON|CINTAS REFLECTIVAS|TXS-XL</t>
  </si>
  <si>
    <t>APU65</t>
  </si>
  <si>
    <t>APU27</t>
  </si>
  <si>
    <t>APU82</t>
  </si>
  <si>
    <t>APU12</t>
  </si>
  <si>
    <t>VALOR</t>
  </si>
  <si>
    <t>APU81</t>
  </si>
  <si>
    <t>APU85</t>
  </si>
  <si>
    <t>APU46</t>
  </si>
  <si>
    <t>APU86</t>
  </si>
  <si>
    <t>APU58</t>
  </si>
  <si>
    <t>APU56</t>
  </si>
  <si>
    <t>APU59</t>
  </si>
  <si>
    <t>CONJUNTO DEPORTIVO T38-42|ADULTO</t>
  </si>
  <si>
    <t>CONJUNTO DEPORTIVO T32-36|ADULTO</t>
  </si>
  <si>
    <t>CONJUNTO DEPORTIVO T26-30|ADULTO</t>
  </si>
  <si>
    <t>BUZO CORPORATIVO ALGODON|CINTAS REFLECTIVAS|T2XL</t>
  </si>
  <si>
    <t>BUZO CORPORATIVO ALGODON|CINTAS REFLECTIVAS|T3XL</t>
  </si>
  <si>
    <t>BUZO CORPORATIVO ALGODON|CINTAS REFLECTIVAS|T4XL</t>
  </si>
  <si>
    <t>BUZO CORPORATIVO ALGODON|CINTAS REFLECTIVAS|T5XL</t>
  </si>
  <si>
    <t>BUZO CORPORATIVO ALGODON|CINTAS REFLECTIVAS|T6XL</t>
  </si>
  <si>
    <t>BUZO CORPORATIVO ALGODON|CINTAS REFLECTIVAS|T7XL</t>
  </si>
  <si>
    <t>BUZO CORPORATIVO ALGODON|CINTAS REFLECTIVAS|T8XL</t>
  </si>
  <si>
    <t>BUZO CORPORATIVO ALGODON|CINTAS REFLECTIVAS|T9XL</t>
  </si>
  <si>
    <t>APU87</t>
  </si>
  <si>
    <t>APU74</t>
  </si>
  <si>
    <t>BOLSO</t>
  </si>
  <si>
    <t>UNIFORME</t>
  </si>
  <si>
    <t>CAMISETA</t>
  </si>
  <si>
    <t>PANTALONETA</t>
  </si>
  <si>
    <t>BUZO</t>
  </si>
  <si>
    <t>DISEÑO</t>
  </si>
  <si>
    <t>CHALECO</t>
  </si>
  <si>
    <t>CINTA</t>
  </si>
  <si>
    <t>GORRAS</t>
  </si>
  <si>
    <t>INFLABLE</t>
  </si>
  <si>
    <t>CHOMPA</t>
  </si>
  <si>
    <t>VESTIDO</t>
  </si>
  <si>
    <t>BODY</t>
  </si>
  <si>
    <t>BANDERA</t>
  </si>
  <si>
    <t>TELA</t>
  </si>
  <si>
    <t>CONJUNTO</t>
  </si>
  <si>
    <t>TICKET</t>
  </si>
  <si>
    <t>POLO</t>
  </si>
  <si>
    <t>ECO</t>
  </si>
  <si>
    <t>ARBITRO</t>
  </si>
  <si>
    <t>BUZO ALGODON |TXS-XL │SUBLI</t>
  </si>
  <si>
    <t>BUZO ALGODON |T2XL │SUBLI</t>
  </si>
  <si>
    <t>BUZO ALGODON |T3XL │SUBLI</t>
  </si>
  <si>
    <t>BUZO ALGODON |T4XL │SUBLI</t>
  </si>
  <si>
    <t>BUZO ALGODON |T5XL │SUBLI</t>
  </si>
  <si>
    <t>BUZO ALGODON |T6XL │SUBLI</t>
  </si>
  <si>
    <t>BUZO ALGODON |T7XL │SUBLI</t>
  </si>
  <si>
    <t>APU18</t>
  </si>
  <si>
    <t>PRENDA</t>
  </si>
  <si>
    <t>SUBLIMADO</t>
  </si>
  <si>
    <t>DTF</t>
  </si>
  <si>
    <t>BORDADO</t>
  </si>
  <si>
    <t>PIKE</t>
  </si>
  <si>
    <t>SI</t>
  </si>
  <si>
    <t>NO</t>
  </si>
  <si>
    <t>CALANDRA</t>
  </si>
  <si>
    <t>SUBLIMACION</t>
  </si>
  <si>
    <t>PLANCHA</t>
  </si>
  <si>
    <t>PREMIUM</t>
  </si>
  <si>
    <t>NIÑOS</t>
  </si>
  <si>
    <t>TELA|CATEG</t>
  </si>
  <si>
    <t>JOVEN</t>
  </si>
  <si>
    <t>UNI</t>
  </si>
  <si>
    <t>&gt;25</t>
  </si>
  <si>
    <t>ENTRENA</t>
  </si>
  <si>
    <t>CORPO</t>
  </si>
  <si>
    <t xml:space="preserve">CHALECO CORPORATIVO |T2XL│ADULTO </t>
  </si>
  <si>
    <t xml:space="preserve">CHALECO CORPORATIVO |T3XL│ADULTO </t>
  </si>
  <si>
    <t xml:space="preserve">CHALECO CORPORATIVO |T4XL│ADULTO </t>
  </si>
  <si>
    <t xml:space="preserve">CHALECO CORPORATIVO |T5XL│ADULTO </t>
  </si>
  <si>
    <t xml:space="preserve">CHALECO CORPORATIVO |T6XL│ADULTO </t>
  </si>
  <si>
    <t xml:space="preserve">CHALECO CORPORATIVO |T7XL│ADULTO </t>
  </si>
  <si>
    <t xml:space="preserve">CHALECO CORPORATIVO |T8XL│ADULTO </t>
  </si>
  <si>
    <t xml:space="preserve">CHALECO CORPORATIVO |T9XL│ADULTO </t>
  </si>
  <si>
    <t>PUBLIC</t>
  </si>
  <si>
    <t>BANDERA DE 1,50X1 GALEON</t>
  </si>
  <si>
    <t>BANDERA DE 1X0.75 GALEON</t>
  </si>
  <si>
    <t>GALEON</t>
  </si>
  <si>
    <t>2X1.5</t>
  </si>
  <si>
    <t>BANDERA DE 0.35X0.5 GALEON</t>
  </si>
  <si>
    <t>0.35X0.5</t>
  </si>
  <si>
    <t>1.5X1</t>
  </si>
  <si>
    <t>1X0.75</t>
  </si>
  <si>
    <t>BUZO POLO PIKE TXS-XL│BORDADO</t>
  </si>
  <si>
    <t>BUZO POLO PIKE T2XL│BORDADO</t>
  </si>
  <si>
    <t>BUZO POLO PIKE T3XL│BORDADO</t>
  </si>
  <si>
    <t>BUZO POLO PIKE T4XL│BORDADO</t>
  </si>
  <si>
    <t>BUZO POLO PIKE T5XL│BORDADO</t>
  </si>
  <si>
    <t>BUZO POLO PIKE T6XL│BORDADO</t>
  </si>
  <si>
    <t>BUZO POLO PIKE T7XL│BORDADO</t>
  </si>
  <si>
    <t>CAMI PUBLICITARIA |ECO|TICKET T26-30│NIÑOS</t>
  </si>
  <si>
    <t>CAMI PUBLICITARIA |ECO| TICKET T32-36│NIÑOS</t>
  </si>
  <si>
    <t>CAMI PUBLICITARIA |ECO| TICKET T38-42│NIÑOS</t>
  </si>
  <si>
    <t>BUZO PIKE |TXS-XL │BORDADO</t>
  </si>
  <si>
    <t>BUZO PIKE |T2XL │BORDADO</t>
  </si>
  <si>
    <t>BUZO PIKE |T3XL │BORDADO</t>
  </si>
  <si>
    <t>BUZO PIKE |T4XL │BORDADO</t>
  </si>
  <si>
    <t>BUZO PIKE |T5XL │BORDADO</t>
  </si>
  <si>
    <t>BUZO PIKE |T6XL │BORDADO</t>
  </si>
  <si>
    <t>BUZO PIKE |T7XL │BORDADO</t>
  </si>
  <si>
    <t>BUZO PIKE |T8XL │BORDADO</t>
  </si>
  <si>
    <t>BUZO PIKE |T9XL │BORDADO</t>
  </si>
  <si>
    <t>CAMI PUBLICITARIA |ECO| TICKET TS-XL│ADULTO</t>
  </si>
  <si>
    <t>PERSONALIZ</t>
  </si>
  <si>
    <t>CAMI PERSON|ALGODON|TXS-XL|DTF</t>
  </si>
  <si>
    <t>CAMI PERSON|ALGODON|T2XL|DTF</t>
  </si>
  <si>
    <t>CAMI PERSON|ALGODON|T3XL|DTF</t>
  </si>
  <si>
    <t>CAMI PERSON|ALGODON|T4XL|DTF</t>
  </si>
  <si>
    <t>CAMI PERSON|ALGODON|T5XL|DTF</t>
  </si>
  <si>
    <t>CAMI PERSON|ALGODON|T6XL|DTF</t>
  </si>
  <si>
    <t>CAMI PERSON|ALGODON|T7XL|DTF</t>
  </si>
  <si>
    <t>CAMI PERSON|ALGODON|T8XL|DTF</t>
  </si>
  <si>
    <t>CAMI PERSON|ALGODON|T9XL|DTF</t>
  </si>
  <si>
    <t>CAMI PERSON|DEPOR|TXS-XL|SUBLI</t>
  </si>
  <si>
    <t>CAMI PERSON|DEPOR|T2XL|SUBLI</t>
  </si>
  <si>
    <t>CAMI PERSON|DEPOR|T3XL|SUBLI</t>
  </si>
  <si>
    <t>CAMI PERSON|DEPOR|T4XL|SUBLI</t>
  </si>
  <si>
    <t>CAMI PERSON|DEPOR|T5XL|SUBLI</t>
  </si>
  <si>
    <t>CAMI PERSON|DEPOR|T6XL|SUBLI</t>
  </si>
  <si>
    <t>CAMI PERSON|DEPOR|T7XL|SUBLI</t>
  </si>
  <si>
    <t>CAMI PERSON|DEPOR|T8XL|SUBLI</t>
  </si>
  <si>
    <t>CAMI PERSON|DEPOR|T9XL|SUBLI</t>
  </si>
  <si>
    <t>CAMI PERSON|DEPOR|TXS-XL|TICKET</t>
  </si>
  <si>
    <t>CAMI PERSON|DEPOR|T2XL|TICKET</t>
  </si>
  <si>
    <t>CAMI PERSON|DEPOR|T3XL|TICKET</t>
  </si>
  <si>
    <t>CAMI PERSON|DEPOR|T4XL|TICKET</t>
  </si>
  <si>
    <t>CAMI PERSON|DEPOR|T5XL|TICKET</t>
  </si>
  <si>
    <t>CAMI PERSON|DEPOR|T6XL|TICKET</t>
  </si>
  <si>
    <t>CAMI PERSON|DEPOR|T7XL|TICKET</t>
  </si>
  <si>
    <t>CAMI PERSON|DEPOR|T8XL|TICKET</t>
  </si>
  <si>
    <t>CAMI PERSON|DEPOR|T9XL|TICKET</t>
  </si>
  <si>
    <t>CAMI PERSON|DEPOR|T26-30|SUBLI</t>
  </si>
  <si>
    <t>CAMI PERSON|DEPOR|T32-36|SUBLI</t>
  </si>
  <si>
    <t>CAMI PERSON|DEPOR|T38-42|SUBLI</t>
  </si>
  <si>
    <t>CAMI PERSON|DEPOR|T26-30|TICKET</t>
  </si>
  <si>
    <t>CAMI PERSON|DEPOR|T32-36|TICKET</t>
  </si>
  <si>
    <t>CAMI PERSON|DEPOR|T38-42|TICKET</t>
  </si>
  <si>
    <t>CAMI PERSON|ALGODON|T26-30|DTF</t>
  </si>
  <si>
    <t>CAMI PERSON|ALGODON|T32-36|DTF</t>
  </si>
  <si>
    <t>CAMI PERSON|ALGODON|T38-42|DTF</t>
  </si>
  <si>
    <t>APU60</t>
  </si>
  <si>
    <t>DEPORT</t>
  </si>
  <si>
    <t>CAMI POLO|DEPORT|T26-30│NIÑO|SUBLI</t>
  </si>
  <si>
    <t>CAMI POLO|DEPORT|T32-36│NIÑO|SUBLI</t>
  </si>
  <si>
    <t>CAMI POLO|DEPORT| T38-42│JOV|SUBLI</t>
  </si>
  <si>
    <t>CAMI POLO |PIKE|T38-42|JOV|DTF LOGO</t>
  </si>
  <si>
    <t>CAMI POLO|PIKE|T32-36│NIÑO|DTF LOGO</t>
  </si>
  <si>
    <t>CAMI POLO |PIKE|T26-30│NIÑO|DTF LOGO</t>
  </si>
  <si>
    <t>CAMI POLO |PIKE|T9XL | DTF LOGO</t>
  </si>
  <si>
    <t>CAMI POLO |PIKE|T8XL | DTF LOGO</t>
  </si>
  <si>
    <t>CAMI POLO |PIKE|T7XL | DTF LOGO</t>
  </si>
  <si>
    <t>CAMI POLO |PIKE|T6XL | DTF LOGO</t>
  </si>
  <si>
    <t>CAMI POLO |PIKE|T5XL | DTF LOGO</t>
  </si>
  <si>
    <t>CAMI POLO |PIKE|T4XL | DTF LOGO</t>
  </si>
  <si>
    <t>CAMI POLO |PIKE|T3XL | DTF LOGO</t>
  </si>
  <si>
    <t>CAMI POLO |PIKE|T2XL | DTF LOGO</t>
  </si>
  <si>
    <t>CAMI POLO |PIKE|TXS-XL | DTF LOGO</t>
  </si>
  <si>
    <t>CAMI POLO|ALGODON|T3XL|BORDADO</t>
  </si>
  <si>
    <t>CAMI POLO|ALGODON|T4XL|BORDADO</t>
  </si>
  <si>
    <t>CAMI POLO|ALGODON|T5XL|BORDADO</t>
  </si>
  <si>
    <t>CAMI POLO|ALGODON|T6XL|BORDADO</t>
  </si>
  <si>
    <t>CAMI POLO|ALGODON|T7XL|BORDADO</t>
  </si>
  <si>
    <t>CAMI POLO|ALGODON|T8XL|BORDADO</t>
  </si>
  <si>
    <t>CAMI POLO|ALGODON|T9XL|BORDADO</t>
  </si>
  <si>
    <t>CAMI POLO|ALGODON|T26-30│NIÑO|BORDADO</t>
  </si>
  <si>
    <t>CAMI POLO|ALGODON|T32-36│NIÑO|BORDADO</t>
  </si>
  <si>
    <t>CAMI POLO|ALGODON|T38-42│JOV|BORDADO</t>
  </si>
  <si>
    <t>CAMI POLO|PIKE|TXS-XL|BORDADO</t>
  </si>
  <si>
    <t>CAMI POLO|PIKE|T2XL|BORDADO</t>
  </si>
  <si>
    <t>CAMI POLO|PIKE|T3XL|BORDADO</t>
  </si>
  <si>
    <t>CAMI POLO|PIKE|T4XL|BORDADO</t>
  </si>
  <si>
    <t>CAMI POLO|PIKE|T5XL|BORDADO</t>
  </si>
  <si>
    <t>CAMI POLO|PIKE|T6XL|BORDADO</t>
  </si>
  <si>
    <t>CAMI POLO|PIKE|T7XL|BORDADO</t>
  </si>
  <si>
    <t>CAMI POLO|PIKE|T8XL|BORDADO</t>
  </si>
  <si>
    <t>CAMI POLO|PIKE|T9XL|BORDADO</t>
  </si>
  <si>
    <t>CAMI POLO|PIKE|T26-30│NIÑO|BORDADO</t>
  </si>
  <si>
    <t>CAMI POLO|PIKE|T32-36│NIÑO|BORDADO</t>
  </si>
  <si>
    <t>CAMI POLO|PIKE|T38-42│JOV|BORDADO</t>
  </si>
  <si>
    <t>BUZO POLO|DEPORT|TXS-XL│SUBLI</t>
  </si>
  <si>
    <t>BUZO POLO|DEPORT|T2XL│SUBLI</t>
  </si>
  <si>
    <t>BUZO POLO|DEPORT|T3XL│SUBLI</t>
  </si>
  <si>
    <t>BUZO POLO|DEPORT|T4XL│SUBLI</t>
  </si>
  <si>
    <t>BUZO POLO|DEPORT|T5XL│SUBLI</t>
  </si>
  <si>
    <t>BUZO POLO|DEPORT|T6XL│SUBLI</t>
  </si>
  <si>
    <t>BUZO POLO|DEPORT|T7XL│SUBLI</t>
  </si>
  <si>
    <t>BUZO POLO|DEPORT|T8XL│SUBLI</t>
  </si>
  <si>
    <t>BUZO POLO|DEPORT|T9XL│SUBLI</t>
  </si>
  <si>
    <t>CAMI POLO|DEPORT|TXS-XL |SUBLI</t>
  </si>
  <si>
    <t>BUZO|TORTUGA|TXS-XL│SUBLI</t>
  </si>
  <si>
    <t>BUZO|TORTUGA|T2XL│SUBLI</t>
  </si>
  <si>
    <t>BUZO|TORTUGA|T3XL│SUBLI</t>
  </si>
  <si>
    <t>BUZO|TORTUGA|T4XL│SUBLI</t>
  </si>
  <si>
    <t>BUZO|TORTUGA|T5XL│SUBLI</t>
  </si>
  <si>
    <t>BUZO|TORTUGA|T6XL│SUBLI</t>
  </si>
  <si>
    <t>BUZO|TORTUGA|T7XL│SUBLI</t>
  </si>
  <si>
    <t>BUZO|TORTUGA|T8XL│SUBLI</t>
  </si>
  <si>
    <t>BUZO|TORTUGA|T9XL│SUBLI</t>
  </si>
  <si>
    <t>BUZO POLO PIKE T8XL│BORDADO</t>
  </si>
  <si>
    <t>BUZO POLO PIKE T9XL│BORDADO</t>
  </si>
  <si>
    <t>BUZO |ALGODON|DTF|TXS-XL</t>
  </si>
  <si>
    <t>BUZO |ALGODON|DTF|T2XL</t>
  </si>
  <si>
    <t>BUZO |ALGODON|DTF|T3XL</t>
  </si>
  <si>
    <t>BUZO |ALGODON|DTF|T4XL</t>
  </si>
  <si>
    <t>BUZO |ALGODON|DTF|T5XL</t>
  </si>
  <si>
    <t>BUZO |ALGODON|DTF|T6XL</t>
  </si>
  <si>
    <t>BUZO |ALGODON|DTF|T7XL</t>
  </si>
  <si>
    <t>BUZO |ALGODON|DTF|T8XL</t>
  </si>
  <si>
    <t>BUZO |ALGODON|DTF|T9XL</t>
  </si>
  <si>
    <t>BUZO |ALGODON|CAPUC|DTF|TXS-XL</t>
  </si>
  <si>
    <t>BUZO |ALGODON|CAPUC|DTF|T2XL</t>
  </si>
  <si>
    <t>BUZO |ALGODON|CAPUC|DTF|T3XL</t>
  </si>
  <si>
    <t>BUZO |ALGODON|CAPUC|DTF|T4XL</t>
  </si>
  <si>
    <t>BUZO |ALGODON|CAPUC|DTF|T5XL</t>
  </si>
  <si>
    <t>BUZO |ALGODON|CAPUC|DTF|T6XL</t>
  </si>
  <si>
    <t>BUZO |ALGODON|CAPUC|DTF|T7XL</t>
  </si>
  <si>
    <t>BUZO |ALGODON|CAPUC|DTF|T8XL</t>
  </si>
  <si>
    <t>BUZO |ALGODON|CAPUC|DTF|T9XL</t>
  </si>
  <si>
    <t>APU83</t>
  </si>
  <si>
    <t>APU80</t>
  </si>
  <si>
    <t>PANT|VESTIR|TXS-XL│ADULTO</t>
  </si>
  <si>
    <t>PANT|VESTIR|T2XL│ADULTO</t>
  </si>
  <si>
    <t>PANT|VESTIR|T3XL│ADULTO</t>
  </si>
  <si>
    <t>PANT|VESTIR|T4XL│ADULTO</t>
  </si>
  <si>
    <t>PANT|VESTIR|T5XL│ADULTO</t>
  </si>
  <si>
    <t>PANT|VESTIR| T6XL│ADULTO</t>
  </si>
  <si>
    <t>PANT|VESTIR|T7XL│ADULTO</t>
  </si>
  <si>
    <t>PANT|VESTIR|T8XL│ADULTO</t>
  </si>
  <si>
    <t>PANT|VESTIR|T9XL│ADULTO</t>
  </si>
  <si>
    <t>EDAD</t>
  </si>
  <si>
    <t>CAMISETA CAMPAÑA T/UNICA|X 1000</t>
  </si>
  <si>
    <t>&gt;12</t>
  </si>
  <si>
    <t>CAMI PERSONALIZADA DEPORTIVA 100% SUBLI</t>
  </si>
  <si>
    <t>&gt;100</t>
  </si>
  <si>
    <t>CAMI ALGODHON COLORES/BLANCO DTF</t>
  </si>
  <si>
    <t>CAMI PERSONALIZADA SPUN 100% SUBLI</t>
  </si>
  <si>
    <t>CAMI PERSON|SPUN|T26-30|TICKET</t>
  </si>
  <si>
    <t>CAMI PERSON|SPUN|T32-36|TICKET</t>
  </si>
  <si>
    <t>CAMI PERSON|SPUN|T38-42|TICKET</t>
  </si>
  <si>
    <t>CAMI PERSON|SPUN|T26-30|SUBLI</t>
  </si>
  <si>
    <t>CAMI PERSON|SPUN|T32-36|SUBLI</t>
  </si>
  <si>
    <t>CAMI PERSON|SPUN|T38-42|SUBLI</t>
  </si>
  <si>
    <t>CAMI PERSON|SPUN|TXS-XL|SUBLI</t>
  </si>
  <si>
    <t>CAMI PERSON|SPUN|T2XL|SUBLI</t>
  </si>
  <si>
    <t>CAMI PERSON|SPUN|T3XL|SUBLI</t>
  </si>
  <si>
    <t>CAMI PERSON|SPUN|T4XL|SUBLI</t>
  </si>
  <si>
    <t>CAMI PERSON|SPUN|T5XL|SUBLI</t>
  </si>
  <si>
    <t>CAMI PERSON|SPUN|T6XL|SUBLI</t>
  </si>
  <si>
    <t>CAMI PERSON|SPUN|T7XL|SUBLI</t>
  </si>
  <si>
    <t>CAMI PERSON|SPUN|T8XL|SUBLI</t>
  </si>
  <si>
    <t>CAMI PERSON|SPUN|T9XL|SUBLI</t>
  </si>
  <si>
    <t>CAMI PERSON|SPUN|TXS-XL|TICKET</t>
  </si>
  <si>
    <t>CAMI PERSON|SPUN|T2XL|TICKET</t>
  </si>
  <si>
    <t>CAMI PERSON|SPUN|T3XL|TICKET</t>
  </si>
  <si>
    <t>CAMI PERSON|SPUN|T4XL|TICKET</t>
  </si>
  <si>
    <t>CAMI PERSON|SPUN|T5XL|TICKET</t>
  </si>
  <si>
    <t>CAMI PERSON|SPUN|T6XL|TICKET</t>
  </si>
  <si>
    <t>CAMI PERSON|SPUN|T7XL|TICKET</t>
  </si>
  <si>
    <t>CAMI PERSON|SPUN|T8XL|TICKET</t>
  </si>
  <si>
    <t>CAMI PERSON|SPUN|T9XL|TICKET</t>
  </si>
  <si>
    <t>CAMISETAS TICKET A4 CAMPAÑA</t>
  </si>
  <si>
    <t>PANTALONETA 100 % SUBLIMADA ECO</t>
  </si>
  <si>
    <t>CAMISETA 100 % SUBLIMADA ECO</t>
  </si>
  <si>
    <t>CAMISETA 100 % SUBLIMADA ESTANDAR</t>
  </si>
  <si>
    <t>PANTALONETA 100 % SUBLIMADA PREMIUN</t>
  </si>
  <si>
    <t>PANTALONETA 100 % SUBLIMADA ESTÁNDAR</t>
  </si>
  <si>
    <t>CAMI ESTANDAR T26-30|NIÑOS</t>
  </si>
  <si>
    <t>CAMI ESTANDAR T32-36│NIÑOS</t>
  </si>
  <si>
    <t>CAMI ESTANDAR TXS-XL│ADULTO</t>
  </si>
  <si>
    <t>CAMI ESTANDAR T2XL│ADULTO</t>
  </si>
  <si>
    <t>CAMI ESTANDAR T3XL│ADULTO</t>
  </si>
  <si>
    <t>CAMI ESTANDAR T4XL│ADULTO</t>
  </si>
  <si>
    <t>CAMI ESTANDAR T5XL│ADULTO</t>
  </si>
  <si>
    <t>CAMI ESTANDAR T6XL│ADULTO</t>
  </si>
  <si>
    <t>CAMI ESTANDAR T7XL│ADULTO</t>
  </si>
  <si>
    <t>CAMI ESTANDAR T8XL│ADULTO</t>
  </si>
  <si>
    <t>CAMI ESTANDAR T9XL│ADULTO</t>
  </si>
  <si>
    <t>CAMI ESTANDAR T38-42│JOV</t>
  </si>
  <si>
    <t>PANTALONETA 100 % SUBLIMADA VESTIR</t>
  </si>
  <si>
    <t>CHOMPAS</t>
  </si>
  <si>
    <t>VARIOS</t>
  </si>
  <si>
    <t>CONJUNTO EXTERIOR</t>
  </si>
  <si>
    <t>CHALECOS DE ENTRENAMIENTO</t>
  </si>
  <si>
    <t>POLIN 6-8|8-10</t>
  </si>
  <si>
    <t>POLIN 4-6</t>
  </si>
  <si>
    <t>POLIN</t>
  </si>
  <si>
    <t>CAMISETA POLO PIKE 1 BORDADO</t>
  </si>
  <si>
    <t>CAMISETA POLO DEPORTIVA 100 % SUBLIMADA</t>
  </si>
  <si>
    <t>CAMISETA POLO ALGODON 1 BORDADO</t>
  </si>
  <si>
    <t>CAMISETA POLO PIKE LOGO EN DFT</t>
  </si>
  <si>
    <t>BUZO POLO DEPORTIVO 100 % SUBLIMADA</t>
  </si>
  <si>
    <t>BUZO POLO PIKE 1 BORDADO</t>
  </si>
  <si>
    <t>CAMI POLO|ALGODON|TXS-XL|BORDADO</t>
  </si>
  <si>
    <t>ALGODON</t>
  </si>
  <si>
    <t>CAMI POLO|ALGODON|T2XL|BORDADO</t>
  </si>
  <si>
    <t>BUZO POLO|ALGODON|TXS-XL│DTF</t>
  </si>
  <si>
    <t>BUZO POLO|ALGODON|T2XL|DTF</t>
  </si>
  <si>
    <t>BUZO POLO|ALGODON|T3XL│DTF</t>
  </si>
  <si>
    <t>BUZO POLO|ALGODON|T4XL|DTF</t>
  </si>
  <si>
    <t>BUZO POLO|ALGODON|T5XL|DTF</t>
  </si>
  <si>
    <t>BUZO POLO|ALGODON|T6XL│DTF</t>
  </si>
  <si>
    <t>BUZO POLO|ALGODON|T8XL│DTF</t>
  </si>
  <si>
    <t>BUZO POLO|ALGODON|T9XL│DTF</t>
  </si>
  <si>
    <t>BUZO POLO ALGODHON LOGO EN DFT</t>
  </si>
  <si>
    <t>CAMI ALGODON TXS-XL│SUBLI</t>
  </si>
  <si>
    <t>CAMI ALGODON T2XL│SUBLI</t>
  </si>
  <si>
    <t>CAMI ALGODON T3XL│SUBLI</t>
  </si>
  <si>
    <t>CAMI ALGODON T4XL│SUBLI</t>
  </si>
  <si>
    <t>CAMI ALGODON T5XL│SUBLI</t>
  </si>
  <si>
    <t>CAMI ALGODON T6XL│SUBLI</t>
  </si>
  <si>
    <t>CAMI ALGODON T7XL│SUBLI</t>
  </si>
  <si>
    <t>CAMI ALGODON T8XL│SUBLI</t>
  </si>
  <si>
    <t>CAMI ALGODON T9XL│SUBLI</t>
  </si>
  <si>
    <t>BUZO POLO|ALGODON|T7XL│DTF</t>
  </si>
  <si>
    <t>UNIF|ESTANDAR|T26-30│NIÑOS</t>
  </si>
  <si>
    <t>UNIF|ESTANDAR|T32-36│NIÑOS</t>
  </si>
  <si>
    <t>UNIF|ESTANDAR|TXS-XL│ADULTO</t>
  </si>
  <si>
    <t>UNIF|ESTANDAR|T2XL│ADULTO</t>
  </si>
  <si>
    <t>UNIF|ESTANDAR|T3XL│ADULTO</t>
  </si>
  <si>
    <t>UNIF|ESTANDAR|T4XL│ADULTO</t>
  </si>
  <si>
    <t>UNIF|ESTANDAR|T5XL│ADULTO</t>
  </si>
  <si>
    <t>UNIF|ESTANDAR|T6XL│ADULTO</t>
  </si>
  <si>
    <t>UNIF|ESTANDAR|T7XL│ADULTO</t>
  </si>
  <si>
    <t>UNIF|ESTANDAR|T8XL│ADULTO</t>
  </si>
  <si>
    <t>UNIF|ESTANDAR|T9XL│ADULTO</t>
  </si>
  <si>
    <t>UNIF BUZO|ESTANDAR|T38-42│JOV</t>
  </si>
  <si>
    <t>UNIF|ESTANDAR|T38-42|JOVEN</t>
  </si>
  <si>
    <t>UNIF|ECO|T26-30│NIÑOS</t>
  </si>
  <si>
    <t>UNIF|ECO|T32-36|NIÑOS</t>
  </si>
  <si>
    <t>UNIF|ECO|TXS-XL│ADULTO</t>
  </si>
  <si>
    <t>UNIF|ECO|T2XL│ADULTO</t>
  </si>
  <si>
    <t>UNIF|ECO|T3XL│ADULTO</t>
  </si>
  <si>
    <t>UNIF|ECO|T4XL│ADULTO</t>
  </si>
  <si>
    <t>UNIF|ECO|T5XL│ADULTO</t>
  </si>
  <si>
    <t>UNIF|ECO|T6XL│ADULTO</t>
  </si>
  <si>
    <t>UNIF|ECO|T7XL│ADULTO</t>
  </si>
  <si>
    <t>UNIF|ECO|T8XL│ADULTO</t>
  </si>
  <si>
    <t>UNIF|ECO|T9XL│ADULTO</t>
  </si>
  <si>
    <t>UNIF BUZO|ECO|T38-42│JOV</t>
  </si>
  <si>
    <t>UNIF|ECO|T38-42|JOVEN</t>
  </si>
  <si>
    <t>UNIF BUZO|ECO|T26-30|NIÑOS</t>
  </si>
  <si>
    <t>UNIF BUZO|ESTANDAR|T26-30|NIÑOS</t>
  </si>
  <si>
    <t>UNIF BUZO|ECO|T32-36|NIÑOS</t>
  </si>
  <si>
    <t>UNIF BUZO|ESTANDAR|T32-36|NIÑOS</t>
  </si>
  <si>
    <t>ESTANDAR</t>
  </si>
  <si>
    <t>APU89</t>
  </si>
  <si>
    <t>APU90</t>
  </si>
  <si>
    <t>APU91</t>
  </si>
  <si>
    <t>APU92</t>
  </si>
  <si>
    <t>UNIF|PREMIUM|T26-30│NIÑOS</t>
  </si>
  <si>
    <t>UNIF|PREMIUM|T32-36│NIÑOS</t>
  </si>
  <si>
    <t>UNIF|PREMIUM|TXS-XL│ADULTO</t>
  </si>
  <si>
    <t>UNIF|PREMIUM|T2XL│ADULTO</t>
  </si>
  <si>
    <t>UNIF|PREMIUM|T3XL│ADULTO</t>
  </si>
  <si>
    <t>UNIF|PREMIUM|T4XL│ADULTO</t>
  </si>
  <si>
    <t>UNIF|PREMIUM|T5XL│ADULTO</t>
  </si>
  <si>
    <t>UNIF|PREMIUM|T6XL│ADULTO</t>
  </si>
  <si>
    <t>UNIF|PREMIUM|T7XL│ADULTO</t>
  </si>
  <si>
    <t>UNIF|PREMIUM|T8XL│ADULTO</t>
  </si>
  <si>
    <t>UNIF|PREMIUM|T9XL│ADULTO</t>
  </si>
  <si>
    <t>UNIF BUZO|PREMIUM|T38-42│JOV</t>
  </si>
  <si>
    <t>UNIF BUZO|PREMIUM|T26-30|NIÑOS</t>
  </si>
  <si>
    <t>UNIF BUZO|PREMIUM|T32-36|NIÑOS</t>
  </si>
  <si>
    <t>PANT|ESTANDAR T26-30|NIÑOS</t>
  </si>
  <si>
    <t>PANT|ESTANDAR T32-36|NIÑOS</t>
  </si>
  <si>
    <t>PANT|ESTANDAR TXS-XL│ADULTO|JOV</t>
  </si>
  <si>
    <t>PANT|ESTANDAR T2XL│ADULTO</t>
  </si>
  <si>
    <t>PANT|ESTANDAR T3XL│ADULTO</t>
  </si>
  <si>
    <t>PANT|ESTANDAR T4XL│ADULTO</t>
  </si>
  <si>
    <t>PANT|ESTANDAR T5XL│ADULTO</t>
  </si>
  <si>
    <t>PANT|ESTANDAR T6XL│ADULTO</t>
  </si>
  <si>
    <t>PANT|ESTANDAR T7XL│ADULTO</t>
  </si>
  <si>
    <t>PANT|ESTANDAR T8XL│ADULTO</t>
  </si>
  <si>
    <t>PANT|ESTANDAR T9XL│ADULTO</t>
  </si>
  <si>
    <t>PANT|ECO|T26-30|NIÑOS</t>
  </si>
  <si>
    <t>PANT|ECO|T32-36|NIÑOS</t>
  </si>
  <si>
    <t>PANT|ECO|TXS-XL│ADULTO</t>
  </si>
  <si>
    <t>PANT|ECO|T2XL│ADULTO</t>
  </si>
  <si>
    <t>PANT|ECO|T3XL│ADULTO</t>
  </si>
  <si>
    <t>PANT|ECO|T4XL│ADULTO</t>
  </si>
  <si>
    <t>PANT|ECO|T5XL│ADULTO</t>
  </si>
  <si>
    <t>PANT|ECO|T6XL│ADULTO</t>
  </si>
  <si>
    <t>PANT|ECO|T7XL│ADULTO</t>
  </si>
  <si>
    <t>PANT|ECO|T8XL│ADULTO</t>
  </si>
  <si>
    <t>PANT|ECO|T9XL│ADULTO</t>
  </si>
  <si>
    <t>CAMI|ECO|T26-30|NIÑOS</t>
  </si>
  <si>
    <t>BUZO|ECO|T26-30│NIÑOS</t>
  </si>
  <si>
    <t>CAMI|ECO|T32-36│NIÑOS</t>
  </si>
  <si>
    <t>BUZO|ECO|T32-36│NIÑOS</t>
  </si>
  <si>
    <t>CAMI|ECO|TXS-XL│ADULTO</t>
  </si>
  <si>
    <t>CAMI|ECO|T2XL│ADULTO</t>
  </si>
  <si>
    <t>CAMI|ECO|T3XL│ADULTO</t>
  </si>
  <si>
    <t>CAMI|ECO|T4XL│ADULTO</t>
  </si>
  <si>
    <t>CAMI|ECO|T5XL│ADULTO</t>
  </si>
  <si>
    <t>CAMI|ECO|T6XL│ADULTO</t>
  </si>
  <si>
    <t>CAMI|ECO|T7XL│ADULTO</t>
  </si>
  <si>
    <t>CAMI|ECO|T8XL│ADULTO</t>
  </si>
  <si>
    <t>CAMI|ECO|T9XL│ADULTO</t>
  </si>
  <si>
    <t>BUZO|ECO|TXS-XL│ADULTO</t>
  </si>
  <si>
    <t>BUZO|ECO|T2XL│ADULTO</t>
  </si>
  <si>
    <t>BUZO|ECO|T3XL│ADULTO</t>
  </si>
  <si>
    <t>BUZO|ECO|T4XL│ADULTO</t>
  </si>
  <si>
    <t>BUZO|ECO|T5XL│ADULTO</t>
  </si>
  <si>
    <t>BUZO|ECO|T6XL│ADULTO</t>
  </si>
  <si>
    <t>BUZO|ECO|T7XL│ADULTO</t>
  </si>
  <si>
    <t>BUZO|ECO|T8XL│ADULTO</t>
  </si>
  <si>
    <t>BUZO|ECO|T9XL│ADULTO</t>
  </si>
  <si>
    <t>CAMI|ECO|T38-42│JOV</t>
  </si>
  <si>
    <t>CAMI PUBLICITARIA ||ECO|COLOR | TICKET TS-XL│ADULTO</t>
  </si>
  <si>
    <t>BUZO|ECO|T38-42│JOV</t>
  </si>
  <si>
    <t>PANT|PREMIUM|T26-30|NIÑOS</t>
  </si>
  <si>
    <t>PANT|PREMIUM|T32-36|NIÑOS</t>
  </si>
  <si>
    <t>PANT|PREMIUM|TXS-XL│ADULTO|JOV</t>
  </si>
  <si>
    <t>PANT|PREMIUM|T2XL│ADULTO</t>
  </si>
  <si>
    <t>PANT|PREMIUM|T3XL│ADULTO</t>
  </si>
  <si>
    <t>PANT|PREMIUM|T4XL│ADULTO</t>
  </si>
  <si>
    <t>PANT|PREMIUM|T5XL│ADULTO</t>
  </si>
  <si>
    <t>PANT|PREMIUM|T6XL│ADULTO</t>
  </si>
  <si>
    <t>PANT|PREMIUM|T7XL│ADULTO</t>
  </si>
  <si>
    <t>PANT|PREMIUM|T8XL│ADULTO</t>
  </si>
  <si>
    <t>PANT|PREMIUM|T9XL│ADULTO</t>
  </si>
  <si>
    <t>CAMI|PREMIUM|T26-30│NIÑOS</t>
  </si>
  <si>
    <t>BUZO|PREMIUM|T26-30│NIÑOS</t>
  </si>
  <si>
    <t>CAMI|PREMIUM|T32-36│NIÑOS</t>
  </si>
  <si>
    <t>BUZO|PREMIUM|T32-36│NIÑOS</t>
  </si>
  <si>
    <t>CAMI|PREMIUM|TXS-XL│ADULTO</t>
  </si>
  <si>
    <t>CAMI|PREMIUM|T2XL│ADULTO</t>
  </si>
  <si>
    <t>CAMI|PREMIUM|T3XL│ADULTO</t>
  </si>
  <si>
    <t>CAMI|PREMIUM|T4XL│ADULTO</t>
  </si>
  <si>
    <t>CAMI|PREMIUM|T5XL│ADULTO</t>
  </si>
  <si>
    <t>CAMI|PREMIUM|T6XL│ADULTO</t>
  </si>
  <si>
    <t>CAMI|PREMIUM|T7XL│ADULTO</t>
  </si>
  <si>
    <t>CAMI|PREMIUM|T8XL│ADULTO</t>
  </si>
  <si>
    <t>CAMI|PREMIUM|T9XL│ADULTO</t>
  </si>
  <si>
    <t>BUZO|PREMIUM|TXS-XL│ADULTO</t>
  </si>
  <si>
    <t>BUZO|PREMIUM|T2XL│ADULTO</t>
  </si>
  <si>
    <t>BUZO|PREMIUM|T3XL│ADULTO</t>
  </si>
  <si>
    <t>BUZO|PREMIUM|T4XL│ADULTO</t>
  </si>
  <si>
    <t>BUZO|PREMIUM|T5XL│ADULTO</t>
  </si>
  <si>
    <t>BUZO|PREMIUM|T6XL│ADULTO</t>
  </si>
  <si>
    <t>BUZO|PREMIUM|T7XL│ADULTO</t>
  </si>
  <si>
    <t>BUZO|PREMIUM|T8XL│ADULTO</t>
  </si>
  <si>
    <t>BUZO|PREMIUM|T9XL│ADULTO</t>
  </si>
  <si>
    <t>CAMI|PREMIUM|T38-42│JOV</t>
  </si>
  <si>
    <t>BUZO|PREMIUM|T38-42│JOV</t>
  </si>
  <si>
    <t>APU96</t>
  </si>
  <si>
    <t>APU93</t>
  </si>
  <si>
    <t>UNIF|PREMIUM|T38-42│JOVEN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</si>
  <si>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</si>
  <si>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</si>
  <si>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</si>
  <si>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</si>
  <si>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</si>
  <si>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</si>
  <si>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</si>
  <si>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</si>
  <si>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</si>
  <si>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</si>
  <si>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</si>
  <si>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</si>
  <si>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</si>
  <si>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</si>
  <si>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</si>
  <si>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</si>
  <si>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</si>
  <si>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A0018</t>
  </si>
  <si>
    <t>A0019</t>
  </si>
  <si>
    <t>A0020</t>
  </si>
  <si>
    <t>A0021</t>
  </si>
  <si>
    <t>A0022</t>
  </si>
  <si>
    <t>A0023</t>
  </si>
  <si>
    <t>A0024</t>
  </si>
  <si>
    <t>A0025</t>
  </si>
  <si>
    <t>A0026</t>
  </si>
  <si>
    <t>A0027</t>
  </si>
  <si>
    <t>A0028</t>
  </si>
  <si>
    <t>A0029</t>
  </si>
  <si>
    <t>A0030</t>
  </si>
  <si>
    <t>A0031</t>
  </si>
  <si>
    <t>A0032</t>
  </si>
  <si>
    <t>A0033</t>
  </si>
  <si>
    <t>A0034</t>
  </si>
  <si>
    <t>A0035</t>
  </si>
  <si>
    <t>A0036</t>
  </si>
  <si>
    <t>A0037</t>
  </si>
  <si>
    <t>A0038</t>
  </si>
  <si>
    <t>A0039</t>
  </si>
  <si>
    <t>A0040</t>
  </si>
  <si>
    <t>A0041</t>
  </si>
  <si>
    <t>A0042</t>
  </si>
  <si>
    <t>A0043</t>
  </si>
  <si>
    <t>A0044</t>
  </si>
  <si>
    <t>A0045</t>
  </si>
  <si>
    <t>A0046</t>
  </si>
  <si>
    <t>A0047</t>
  </si>
  <si>
    <t>A0048</t>
  </si>
  <si>
    <t>A0049</t>
  </si>
  <si>
    <t>A0050</t>
  </si>
  <si>
    <t>A0051</t>
  </si>
  <si>
    <t>A0052</t>
  </si>
  <si>
    <t>A0053</t>
  </si>
  <si>
    <t>A0054</t>
  </si>
  <si>
    <t>A0055</t>
  </si>
  <si>
    <t>A0056</t>
  </si>
  <si>
    <t>A0057</t>
  </si>
  <si>
    <t>A0058</t>
  </si>
  <si>
    <t>A0059</t>
  </si>
  <si>
    <t>A0060</t>
  </si>
  <si>
    <t>A0061</t>
  </si>
  <si>
    <t>A0062</t>
  </si>
  <si>
    <t>A0063</t>
  </si>
  <si>
    <t>A0064</t>
  </si>
  <si>
    <t>A0065</t>
  </si>
  <si>
    <t>A0066</t>
  </si>
  <si>
    <t>A0067</t>
  </si>
  <si>
    <t>A0068</t>
  </si>
  <si>
    <t>A0069</t>
  </si>
  <si>
    <t>A0070</t>
  </si>
  <si>
    <t>A0071</t>
  </si>
  <si>
    <t>A0072</t>
  </si>
  <si>
    <t>A0073</t>
  </si>
  <si>
    <t>A0074</t>
  </si>
  <si>
    <t>A0075</t>
  </si>
  <si>
    <t>A0076</t>
  </si>
  <si>
    <t>A0077</t>
  </si>
  <si>
    <t>A0078</t>
  </si>
  <si>
    <t>A0079</t>
  </si>
  <si>
    <t>A0080</t>
  </si>
  <si>
    <t>A0081</t>
  </si>
  <si>
    <t>A0082</t>
  </si>
  <si>
    <t>A0083</t>
  </si>
  <si>
    <t>A0084</t>
  </si>
  <si>
    <t>A0085</t>
  </si>
  <si>
    <t>A0086</t>
  </si>
  <si>
    <t>A0087</t>
  </si>
  <si>
    <t>A0088</t>
  </si>
  <si>
    <t>A0089</t>
  </si>
  <si>
    <t>A0090</t>
  </si>
  <si>
    <t>A0091</t>
  </si>
  <si>
    <t>A0092</t>
  </si>
  <si>
    <t>A0093</t>
  </si>
  <si>
    <t>A0094</t>
  </si>
  <si>
    <t>A0095</t>
  </si>
  <si>
    <t>A0096</t>
  </si>
  <si>
    <t>A0097</t>
  </si>
  <si>
    <t>A0098</t>
  </si>
  <si>
    <t>A0099</t>
  </si>
  <si>
    <t>A0100</t>
  </si>
  <si>
    <t>A0101</t>
  </si>
  <si>
    <t>A0102</t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</si>
  <si>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</si>
  <si>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</si>
  <si>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</si>
  <si>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</si>
  <si>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</si>
  <si>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</si>
  <si>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</si>
  <si>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</si>
  <si>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</si>
  <si>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</si>
  <si>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</si>
  <si>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</si>
  <si>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</si>
  <si>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A0116</t>
  </si>
  <si>
    <t>A0117</t>
  </si>
  <si>
    <t>A0118</t>
  </si>
  <si>
    <t>A0119</t>
  </si>
  <si>
    <t>A0120</t>
  </si>
  <si>
    <t>A0121</t>
  </si>
  <si>
    <t>A0122</t>
  </si>
  <si>
    <t>A0123</t>
  </si>
  <si>
    <t>A0124</t>
  </si>
  <si>
    <t>A0125</t>
  </si>
  <si>
    <t>A0126</t>
  </si>
  <si>
    <t>A0127</t>
  </si>
  <si>
    <t>A0128</t>
  </si>
  <si>
    <t>A0129</t>
  </si>
  <si>
    <t>A0130</t>
  </si>
  <si>
    <t>A0131</t>
  </si>
  <si>
    <t>A0132</t>
  </si>
  <si>
    <t>A0133</t>
  </si>
  <si>
    <t>A0134</t>
  </si>
  <si>
    <t>A0135</t>
  </si>
  <si>
    <t>A0136</t>
  </si>
  <si>
    <t>A0137</t>
  </si>
  <si>
    <t>A0138</t>
  </si>
  <si>
    <t>A0139</t>
  </si>
  <si>
    <t>A0140</t>
  </si>
  <si>
    <t>A0141</t>
  </si>
  <si>
    <t>A0142</t>
  </si>
  <si>
    <t>A0143</t>
  </si>
  <si>
    <t>A0144</t>
  </si>
  <si>
    <t>A0145</t>
  </si>
  <si>
    <t>A0146</t>
  </si>
  <si>
    <t>A0147</t>
  </si>
  <si>
    <t>A0148</t>
  </si>
  <si>
    <t>A0149</t>
  </si>
  <si>
    <t>A0150</t>
  </si>
  <si>
    <t>A0151</t>
  </si>
  <si>
    <t>A0152</t>
  </si>
  <si>
    <t>A0153</t>
  </si>
  <si>
    <t>A0154</t>
  </si>
  <si>
    <t>A0155</t>
  </si>
  <si>
    <t>A0156</t>
  </si>
  <si>
    <t>A0157</t>
  </si>
  <si>
    <t>A0158</t>
  </si>
  <si>
    <t>A0159</t>
  </si>
  <si>
    <t>A0160</t>
  </si>
  <si>
    <t>A0161</t>
  </si>
  <si>
    <t>A0162</t>
  </si>
  <si>
    <t>A0163</t>
  </si>
  <si>
    <t>A0164</t>
  </si>
  <si>
    <t>A0165</t>
  </si>
  <si>
    <t>A0166</t>
  </si>
  <si>
    <t>A0167</t>
  </si>
  <si>
    <t>A0168</t>
  </si>
  <si>
    <t>A0169</t>
  </si>
  <si>
    <t>A0170</t>
  </si>
  <si>
    <t>A0171</t>
  </si>
  <si>
    <t>A0172</t>
  </si>
  <si>
    <t>A0173</t>
  </si>
  <si>
    <t>A0174</t>
  </si>
  <si>
    <t>A0175</t>
  </si>
  <si>
    <t>A0176</t>
  </si>
  <si>
    <t>A0177</t>
  </si>
  <si>
    <t>A0178</t>
  </si>
  <si>
    <t>A0179</t>
  </si>
  <si>
    <t>A0180</t>
  </si>
  <si>
    <t>A0181</t>
  </si>
  <si>
    <t>A0182</t>
  </si>
  <si>
    <t>A0183</t>
  </si>
  <si>
    <t>A0184</t>
  </si>
  <si>
    <t>A0185</t>
  </si>
  <si>
    <t>A0186</t>
  </si>
  <si>
    <t>A0187</t>
  </si>
  <si>
    <t>A0188</t>
  </si>
  <si>
    <t>A0189</t>
  </si>
  <si>
    <t>A0190</t>
  </si>
  <si>
    <t>A0191</t>
  </si>
  <si>
    <t>A0192</t>
  </si>
  <si>
    <t>A0193</t>
  </si>
  <si>
    <t>A0194</t>
  </si>
  <si>
    <t>A0195</t>
  </si>
  <si>
    <t>A0196</t>
  </si>
  <si>
    <t>A0197</t>
  </si>
  <si>
    <t>A0198</t>
  </si>
  <si>
    <t>A0199</t>
  </si>
  <si>
    <t>A0200</t>
  </si>
  <si>
    <t>A0201</t>
  </si>
  <si>
    <t>A0202</t>
  </si>
  <si>
    <t>A0203</t>
  </si>
  <si>
    <t>A0204</t>
  </si>
  <si>
    <t>A0205</t>
  </si>
  <si>
    <t>A0206</t>
  </si>
  <si>
    <t>A0207</t>
  </si>
  <si>
    <t>A0208</t>
  </si>
  <si>
    <t>A0209</t>
  </si>
  <si>
    <t>A0210</t>
  </si>
  <si>
    <t>A0211</t>
  </si>
  <si>
    <t>A0212</t>
  </si>
  <si>
    <t>A0213</t>
  </si>
  <si>
    <t>A0214</t>
  </si>
  <si>
    <t>A0215</t>
  </si>
  <si>
    <t>A0216</t>
  </si>
  <si>
    <t>A0217</t>
  </si>
  <si>
    <t>A0218</t>
  </si>
  <si>
    <t>A0219</t>
  </si>
  <si>
    <t>A0220</t>
  </si>
  <si>
    <t>A0221</t>
  </si>
  <si>
    <t>A0222</t>
  </si>
  <si>
    <t>A0223</t>
  </si>
  <si>
    <t>A0224</t>
  </si>
  <si>
    <t>A0225</t>
  </si>
  <si>
    <t>A0226</t>
  </si>
  <si>
    <t>A0227</t>
  </si>
  <si>
    <t>A0228</t>
  </si>
  <si>
    <t>A0229</t>
  </si>
  <si>
    <t>A0230</t>
  </si>
  <si>
    <t>A0231</t>
  </si>
  <si>
    <t>A0232</t>
  </si>
  <si>
    <t>A0233</t>
  </si>
  <si>
    <t>A0234</t>
  </si>
  <si>
    <t>A0235</t>
  </si>
  <si>
    <t>A0236</t>
  </si>
  <si>
    <t>A0237</t>
  </si>
  <si>
    <t>A0238</t>
  </si>
  <si>
    <t>A0239</t>
  </si>
  <si>
    <t>A0240</t>
  </si>
  <si>
    <t>A0241</t>
  </si>
  <si>
    <t>A0242</t>
  </si>
  <si>
    <t>A0243</t>
  </si>
  <si>
    <t>A0244</t>
  </si>
  <si>
    <t>A0245</t>
  </si>
  <si>
    <t>A0246</t>
  </si>
  <si>
    <t>A0247</t>
  </si>
  <si>
    <t>A0248</t>
  </si>
  <si>
    <t>A0249</t>
  </si>
  <si>
    <t>A0250</t>
  </si>
  <si>
    <t>A0251</t>
  </si>
  <si>
    <t>A0252</t>
  </si>
  <si>
    <t>A0253</t>
  </si>
  <si>
    <t>A0254</t>
  </si>
  <si>
    <t>A0255</t>
  </si>
  <si>
    <t>A0256</t>
  </si>
  <si>
    <t>A0257</t>
  </si>
  <si>
    <t>A0258</t>
  </si>
  <si>
    <t>A0259</t>
  </si>
  <si>
    <t>A0260</t>
  </si>
  <si>
    <t>A0261</t>
  </si>
  <si>
    <t>A0262</t>
  </si>
  <si>
    <t>A0263</t>
  </si>
  <si>
    <t>A0264</t>
  </si>
  <si>
    <t>A0265</t>
  </si>
  <si>
    <t>A0266</t>
  </si>
  <si>
    <t>A0267</t>
  </si>
  <si>
    <t>A0268</t>
  </si>
  <si>
    <t>A0269</t>
  </si>
  <si>
    <t>A0270</t>
  </si>
  <si>
    <t>A0271</t>
  </si>
  <si>
    <t>A0272</t>
  </si>
  <si>
    <t>A0273</t>
  </si>
  <si>
    <t>A0274</t>
  </si>
  <si>
    <t>A0275</t>
  </si>
  <si>
    <t>A0276</t>
  </si>
  <si>
    <t>A0277</t>
  </si>
  <si>
    <t>A0278</t>
  </si>
  <si>
    <t>A0279</t>
  </si>
  <si>
    <t>A0280</t>
  </si>
  <si>
    <t>A0281</t>
  </si>
  <si>
    <t>A0282</t>
  </si>
  <si>
    <t>A0283</t>
  </si>
  <si>
    <t>A0284</t>
  </si>
  <si>
    <t>A0285</t>
  </si>
  <si>
    <t>A0286</t>
  </si>
  <si>
    <t>A0287</t>
  </si>
  <si>
    <t>A0288</t>
  </si>
  <si>
    <t>A0289</t>
  </si>
  <si>
    <t>A0290</t>
  </si>
  <si>
    <t>A0291</t>
  </si>
  <si>
    <t>A0292</t>
  </si>
  <si>
    <t>A0293</t>
  </si>
  <si>
    <t>A0294</t>
  </si>
  <si>
    <t>A0295</t>
  </si>
  <si>
    <t>A0296</t>
  </si>
  <si>
    <t>A0297</t>
  </si>
  <si>
    <t>A0298</t>
  </si>
  <si>
    <t>A0299</t>
  </si>
  <si>
    <t>A0300</t>
  </si>
  <si>
    <t>A0301</t>
  </si>
  <si>
    <t>A0302</t>
  </si>
  <si>
    <t>A0303</t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</si>
  <si>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</si>
  <si>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</si>
  <si>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</si>
  <si>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</si>
  <si>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</si>
  <si>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</si>
  <si>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</si>
  <si>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</si>
  <si>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</si>
  <si>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A0313</t>
  </si>
  <si>
    <t>A0314</t>
  </si>
  <si>
    <t>A0315</t>
  </si>
  <si>
    <t>A0316</t>
  </si>
  <si>
    <t>A0317</t>
  </si>
  <si>
    <t>A0318</t>
  </si>
  <si>
    <t>A0319</t>
  </si>
  <si>
    <t>A0320</t>
  </si>
  <si>
    <t>A0321</t>
  </si>
  <si>
    <t>A0322</t>
  </si>
  <si>
    <t>A0323</t>
  </si>
  <si>
    <t>A0324</t>
  </si>
  <si>
    <t>A0325</t>
  </si>
  <si>
    <t>A0326</t>
  </si>
  <si>
    <t>A0327</t>
  </si>
  <si>
    <t>A0328</t>
  </si>
  <si>
    <t>A0329</t>
  </si>
  <si>
    <t>A0330</t>
  </si>
  <si>
    <t>A0331</t>
  </si>
  <si>
    <t>A0332</t>
  </si>
  <si>
    <t>A0333</t>
  </si>
  <si>
    <t>A0334</t>
  </si>
  <si>
    <t>A0335</t>
  </si>
  <si>
    <t>A0336</t>
  </si>
  <si>
    <t>A0337</t>
  </si>
  <si>
    <t>A0338</t>
  </si>
  <si>
    <t>A0339</t>
  </si>
  <si>
    <t>A0340</t>
  </si>
  <si>
    <t>A0341</t>
  </si>
  <si>
    <t>A0342</t>
  </si>
  <si>
    <t>A0343</t>
  </si>
  <si>
    <t>A0344</t>
  </si>
  <si>
    <t>A0345</t>
  </si>
  <si>
    <t>A0346</t>
  </si>
  <si>
    <t>A0347</t>
  </si>
  <si>
    <t>A0348</t>
  </si>
  <si>
    <t>A0349</t>
  </si>
  <si>
    <t>A0350</t>
  </si>
  <si>
    <t>A0351</t>
  </si>
  <si>
    <t>A0352</t>
  </si>
  <si>
    <t>A0353</t>
  </si>
  <si>
    <t>A0354</t>
  </si>
  <si>
    <t>A0355</t>
  </si>
  <si>
    <t>A0356</t>
  </si>
  <si>
    <t>A0357</t>
  </si>
  <si>
    <t>A0358</t>
  </si>
  <si>
    <t>A0359</t>
  </si>
  <si>
    <t>A0360</t>
  </si>
  <si>
    <t>A0361</t>
  </si>
  <si>
    <t>A0362</t>
  </si>
  <si>
    <t>A0363</t>
  </si>
  <si>
    <t>A0364</t>
  </si>
  <si>
    <t>A0365</t>
  </si>
  <si>
    <t>A0366</t>
  </si>
  <si>
    <t>A0367</t>
  </si>
  <si>
    <t>A0368</t>
  </si>
  <si>
    <t>A0369</t>
  </si>
  <si>
    <t>A0370</t>
  </si>
  <si>
    <t>A0371</t>
  </si>
  <si>
    <t>A0372</t>
  </si>
  <si>
    <t>A0373</t>
  </si>
  <si>
    <t>A0374</t>
  </si>
  <si>
    <t>A0375</t>
  </si>
  <si>
    <t>A0376</t>
  </si>
  <si>
    <t>A0377</t>
  </si>
  <si>
    <t>A0378</t>
  </si>
  <si>
    <t>A0379</t>
  </si>
  <si>
    <t>A0380</t>
  </si>
  <si>
    <t>A0381</t>
  </si>
  <si>
    <t>A0382</t>
  </si>
  <si>
    <t>A0383</t>
  </si>
  <si>
    <t>A0384</t>
  </si>
  <si>
    <t>A0385</t>
  </si>
  <si>
    <t>A0386</t>
  </si>
  <si>
    <t>A0387</t>
  </si>
  <si>
    <t>A0388</t>
  </si>
  <si>
    <t>A0389</t>
  </si>
  <si>
    <t>A0390</t>
  </si>
  <si>
    <t>A0391</t>
  </si>
  <si>
    <t>A0392</t>
  </si>
  <si>
    <t>A0393</t>
  </si>
  <si>
    <t>A0394</t>
  </si>
  <si>
    <t>A0395</t>
  </si>
  <si>
    <t>A0396</t>
  </si>
  <si>
    <t>A0397</t>
  </si>
  <si>
    <t>A0398</t>
  </si>
  <si>
    <t>A0399</t>
  </si>
  <si>
    <t>A0400</t>
  </si>
  <si>
    <t>A0401</t>
  </si>
  <si>
    <t>A0402</t>
  </si>
  <si>
    <t>A0403</t>
  </si>
  <si>
    <t>A0404</t>
  </si>
  <si>
    <t>A0405</t>
  </si>
  <si>
    <t>A0406</t>
  </si>
  <si>
    <t>A0407</t>
  </si>
  <si>
    <t>A0408</t>
  </si>
  <si>
    <t>A0409</t>
  </si>
  <si>
    <t>A0410</t>
  </si>
  <si>
    <t>A0411</t>
  </si>
  <si>
    <t>A0412</t>
  </si>
  <si>
    <t>A0413</t>
  </si>
  <si>
    <t>A0414</t>
  </si>
  <si>
    <t>A0415</t>
  </si>
  <si>
    <t>A0416</t>
  </si>
  <si>
    <t>A0417</t>
  </si>
  <si>
    <t>A0418</t>
  </si>
  <si>
    <t>A0419</t>
  </si>
  <si>
    <t>A0420</t>
  </si>
  <si>
    <t>A0421</t>
  </si>
  <si>
    <t>A0422</t>
  </si>
  <si>
    <t>A0423</t>
  </si>
  <si>
    <t>A0424</t>
  </si>
  <si>
    <t>A0425</t>
  </si>
  <si>
    <t>A0426</t>
  </si>
  <si>
    <t>A0427</t>
  </si>
  <si>
    <t>A0428</t>
  </si>
  <si>
    <t>A0429</t>
  </si>
  <si>
    <t>A0430</t>
  </si>
  <si>
    <t>A0431</t>
  </si>
  <si>
    <t>A0432</t>
  </si>
  <si>
    <t>A0433</t>
  </si>
  <si>
    <t>A0434</t>
  </si>
  <si>
    <t>A0435</t>
  </si>
  <si>
    <t>A0436</t>
  </si>
  <si>
    <t>A0437</t>
  </si>
  <si>
    <t>A0438</t>
  </si>
  <si>
    <t>A0439</t>
  </si>
  <si>
    <t>UNIF BUZO|ECO|TXS-XL│ADULTO</t>
  </si>
  <si>
    <t>UNIF BUZO|ECO|T2XL│ADULTO</t>
  </si>
  <si>
    <t>UNIF BUZO|ECO|T3XL│ADULTO</t>
  </si>
  <si>
    <t>UNIF BUZO|ECO|T4XL│ADULTO</t>
  </si>
  <si>
    <t>UNIF BUZO|ECO|T5XL│ADULTO</t>
  </si>
  <si>
    <t>UNIF BUZO|ECO|T6XL│ADULTO</t>
  </si>
  <si>
    <t>UNIF BUZO|ECO|T7XL│ADULTO</t>
  </si>
  <si>
    <t>UNIF BUZO|ESTANDAR|TXS-XL│ADULTO</t>
  </si>
  <si>
    <t>UNIF BUZO|ESTANDAR|T2XL│ADULTO</t>
  </si>
  <si>
    <t>UNIF BUZO|ESTANDAR|T3XL│ADULTO</t>
  </si>
  <si>
    <t>UNIF BUZO|ESTANDAR|T4XL│ADULTO</t>
  </si>
  <si>
    <t>UNIF BUZO|ESTANDAR|T5XL│ADULTO</t>
  </si>
  <si>
    <t>UNIF BUZO|ESTANDAR|T6XL│ADULTO</t>
  </si>
  <si>
    <t>UNIF BUZO|ESTANDAR|T7XL│ADULTO</t>
  </si>
  <si>
    <t>ADULTO</t>
  </si>
  <si>
    <t>UNIF BUZO|PREMIUM|TXS-XL│ADULTO</t>
  </si>
  <si>
    <t>UNIF BUZO|PREMIUM|T2XL│ADULTO</t>
  </si>
  <si>
    <t>UNIF BUZO|PREMIUM|T3XL│ADULTO</t>
  </si>
  <si>
    <t>UNIF BUZO|PREMIUM|T4XL│ADULTO</t>
  </si>
  <si>
    <t>UNIF BUZO|PREMIUM|T5XL│ADULTO</t>
  </si>
  <si>
    <t>UNIF BUZO|PREMIUM|T6XL│ADULTO</t>
  </si>
  <si>
    <t>UNIF BUZO|PREMIUM|T7XL│ADULTO</t>
  </si>
  <si>
    <t>BUZO|ESTANDAR|T26-30│NIÑOS</t>
  </si>
  <si>
    <t>BUZO|ESTANDAR|T32-36│NIÑOS</t>
  </si>
  <si>
    <t>BUZO|ESTANDAR|TXS-XL│ADULTO</t>
  </si>
  <si>
    <t>BUZO|ESTANDAR|T2XL│ADULTO</t>
  </si>
  <si>
    <t>BUZO|ESTANDAR|T3XL│ADULTO</t>
  </si>
  <si>
    <t>BUZO|ESTANDAR|T4XL│ADULTO</t>
  </si>
  <si>
    <t>BUZO|ESTANDAR|T5XL│ADULTO</t>
  </si>
  <si>
    <t>BUZO|ESTANDAR|T6XL│ADULTO</t>
  </si>
  <si>
    <t>BUZO|ESTANDAR|T7XL│ADULTO</t>
  </si>
  <si>
    <t>BUZO|ESTANDAR|T8XL│ADULTO</t>
  </si>
  <si>
    <t>BUZO|ESTANDAR|T9XL│ADULTO</t>
  </si>
  <si>
    <t>BUZO|ESTANDAR|T38-42│JOV</t>
  </si>
  <si>
    <t>UNIF BUZO PREMIUN</t>
  </si>
  <si>
    <t>UNIFORME PREMIUN</t>
  </si>
  <si>
    <t>UNIF. BUZO ECO</t>
  </si>
  <si>
    <t>UNIF. BUZO ESTANDAR</t>
  </si>
  <si>
    <t>UNIFORME ESTANDAR</t>
  </si>
  <si>
    <t>BUZO DEPORT 100 % SUBLIMADA ECO</t>
  </si>
  <si>
    <t>BUZO DEPORT 100 % SUBLIMADA ESTANDAR</t>
  </si>
  <si>
    <t>BUZO DEPORT 100 % SUBLIMADA PREMIUN</t>
  </si>
  <si>
    <t>BUZO DEPORT TORTUGA 100 % SUBLIMADA</t>
  </si>
  <si>
    <t>CHALECOS CORPORATIVO</t>
  </si>
  <si>
    <t>APU97</t>
  </si>
  <si>
    <t>APU98</t>
  </si>
  <si>
    <t>CHALECO ZAFARI|TS-XL|CINTA REFLECTIVA</t>
  </si>
  <si>
    <t>CHALECO ZAFARI|T2XL|CINTA REFLECTIVA</t>
  </si>
  <si>
    <t>CHALECO ZAFARI|T3XL|CINTA REFLECTIVA</t>
  </si>
  <si>
    <t>CHALECO ZAFARI|T4XL|CINTA REFLECTIVA</t>
  </si>
  <si>
    <t>CHALECO ZAFARI|T5XL|CINTA REFLECTIVA</t>
  </si>
  <si>
    <t>CHALECO ZAFARI|T6XL|CINTA REFLECTIVA</t>
  </si>
  <si>
    <t>CHALECO ZAFARI|T7XL|CINTA REFLECTIVA</t>
  </si>
  <si>
    <t>CHALECO ZAFARI|T8XL|CINTA REFLECTIVA</t>
  </si>
  <si>
    <t>CHALECO ZAFARI|T9XL|CINTA REFLECTIVA</t>
  </si>
  <si>
    <t>CHALECOS ZAFARI CUELLO EN V CON CINTA REFLEC.</t>
  </si>
  <si>
    <t>CHALECO VIVIADO|TS-XL│SUBLI</t>
  </si>
  <si>
    <t>CHALECO VIVIADO|T2XL│SUBLI</t>
  </si>
  <si>
    <t>CHALECO VIVIADO|T3XL|SUBLI</t>
  </si>
  <si>
    <t>CHALECO VIVIADO|T4XL|SUBLI</t>
  </si>
  <si>
    <t>CHALECO VIVIADO|T5XL|SUBLI</t>
  </si>
  <si>
    <t>CHALECO VIVIADO|T6XL|SUBLI</t>
  </si>
  <si>
    <t>CHALECO VIVIADO|T7XL|SUBLI</t>
  </si>
  <si>
    <t>CHALECO VIVIADO|T8XL|SUBLI</t>
  </si>
  <si>
    <t>CHALECO VIVIADO|T9XL|SUBLI</t>
  </si>
  <si>
    <t>CHALECO CON BOLSILLOS VIVIADO|SUBLI</t>
  </si>
  <si>
    <t>APU49</t>
  </si>
  <si>
    <t>APU99</t>
  </si>
  <si>
    <t>APU100</t>
  </si>
  <si>
    <t>APU101</t>
  </si>
  <si>
    <t>CAMI MAO|TXS-XL |SUBLI</t>
  </si>
  <si>
    <t>CAMI MAO|T2XL |SUBLI</t>
  </si>
  <si>
    <t>CAMI MAO|T3XL |SUBLI</t>
  </si>
  <si>
    <t>CAMI MAO|T4XL |SUBLI</t>
  </si>
  <si>
    <t>CAMI MAO|T5XL |SUBLI</t>
  </si>
  <si>
    <t>CAMI MAO|T6XL |SUBLI</t>
  </si>
  <si>
    <t>CAMI MAO|T7XL |SUBLI</t>
  </si>
  <si>
    <t>CAMI MAO|T8XL |SUBLI</t>
  </si>
  <si>
    <t>CAMI MAO|T9XL |SUBLI</t>
  </si>
  <si>
    <t>CHOMPA SUBLIMADA|TXS-XL│ADULTO</t>
  </si>
  <si>
    <t>CHOMPA SUBLIMADA|T2XL│ADULTO</t>
  </si>
  <si>
    <t>CHOMPA SUBLIMADA|T3XL│ADULTO</t>
  </si>
  <si>
    <t>CHOMPA SUBLIMADA|T4XL│ADULTO</t>
  </si>
  <si>
    <t>CHOMPA SUBLIMADA|T5XL│ADULTO</t>
  </si>
  <si>
    <t>CHOMPA SUBLIMADA|T6XL│ADULTO</t>
  </si>
  <si>
    <t>CHOMPA SUBLIMADA|T7XL│ADULTO</t>
  </si>
  <si>
    <t>CHOMPA SUBLIMADA|T8XL│ADULTO</t>
  </si>
  <si>
    <t>CHOMPA SUBLIMADA|T9XL│ADULTO</t>
  </si>
  <si>
    <t>CHOMPA SUBLIMADA|T26-30|NIÑOS</t>
  </si>
  <si>
    <t>CHOMPA SUBLIMADA|T32-36|NIÑOS</t>
  </si>
  <si>
    <t>CHOMPA SUBLIMADA|T38-42|JOVEN</t>
  </si>
  <si>
    <t>APU50</t>
  </si>
  <si>
    <t xml:space="preserve">CHALECO CORPORATIVO|TS-XL│ADULTO </t>
  </si>
  <si>
    <t>CALENTADOR</t>
  </si>
  <si>
    <t>CALENTADOR SUBLI|TXS-XL│ADULTO</t>
  </si>
  <si>
    <t>CALENTADOR SUBLI|T2XL│ADULTO</t>
  </si>
  <si>
    <t>CALENTADOR SUBLI|T3XL│ADULTO</t>
  </si>
  <si>
    <t>CALENTADOR SUBLI|T4XL│ADULTO</t>
  </si>
  <si>
    <t>CALENTADOR SUBLI|T5XL│ADULTO</t>
  </si>
  <si>
    <t>CALENTADOR SUBLI|T6XL│ADULTO</t>
  </si>
  <si>
    <t>CALENTADOR SUBLI|T7XL│ADULTO</t>
  </si>
  <si>
    <t>CALENTADOR SUBLI|T8XL│ADULTO</t>
  </si>
  <si>
    <t>CALENTADOR SUBLI|T9XL│ADULTO</t>
  </si>
  <si>
    <t>CALENTADOR SUBLI|T38-42|JOVEN</t>
  </si>
  <si>
    <t>CALENTADOR SUBLI|T26-30|NIÑO</t>
  </si>
  <si>
    <t>CALENTADOR SUBLI|T32-36|NIÑO</t>
  </si>
  <si>
    <t>APU72</t>
  </si>
  <si>
    <t>APU48</t>
  </si>
  <si>
    <t>CAMISETAS CUELLO MAO</t>
  </si>
  <si>
    <t>APU103</t>
  </si>
  <si>
    <t>UNIF|ESTANDAR|FALDA DOBLE VUELO|T26-30│NIÑOS</t>
  </si>
  <si>
    <t>UNIF|ESTANDAR|FALDA DOBLE VUELO|T32-36│NIÑOS</t>
  </si>
  <si>
    <t>UNIF|ESTANDAR|FALDA DOBLE VUELO|T38-42|JOVEN</t>
  </si>
  <si>
    <t>APU108</t>
  </si>
  <si>
    <t>A0440</t>
  </si>
  <si>
    <t>A0441</t>
  </si>
  <si>
    <t>A0442</t>
  </si>
  <si>
    <t>A0443</t>
  </si>
  <si>
    <t>A0444</t>
  </si>
  <si>
    <t>A0445</t>
  </si>
  <si>
    <t>A0446</t>
  </si>
  <si>
    <t>A0447</t>
  </si>
  <si>
    <t>A0448</t>
  </si>
  <si>
    <t>A0449</t>
  </si>
  <si>
    <t>A0450</t>
  </si>
  <si>
    <t>A0451</t>
  </si>
  <si>
    <t>A0452</t>
  </si>
  <si>
    <t>A0453</t>
  </si>
  <si>
    <t>A0454</t>
  </si>
  <si>
    <t>A0455</t>
  </si>
  <si>
    <t>A0456</t>
  </si>
  <si>
    <t>A0457</t>
  </si>
  <si>
    <t>A0458</t>
  </si>
  <si>
    <t>A0459</t>
  </si>
  <si>
    <t>A0460</t>
  </si>
  <si>
    <t>A0461</t>
  </si>
  <si>
    <t>A0462</t>
  </si>
  <si>
    <t>A0463</t>
  </si>
  <si>
    <t>A0464</t>
  </si>
  <si>
    <t>A0465</t>
  </si>
  <si>
    <t>A0466</t>
  </si>
  <si>
    <t>A0467</t>
  </si>
  <si>
    <t>A0468</t>
  </si>
  <si>
    <t>A0469</t>
  </si>
  <si>
    <t>A0470</t>
  </si>
  <si>
    <t>A0471</t>
  </si>
  <si>
    <t>A0472</t>
  </si>
  <si>
    <t>A0473</t>
  </si>
  <si>
    <t>A0474</t>
  </si>
  <si>
    <t>A0475</t>
  </si>
  <si>
    <t>A0476</t>
  </si>
  <si>
    <t>A0477</t>
  </si>
  <si>
    <t>A0478</t>
  </si>
  <si>
    <t>A0479</t>
  </si>
  <si>
    <t>A0480</t>
  </si>
  <si>
    <t>A0481</t>
  </si>
  <si>
    <t>A0482</t>
  </si>
  <si>
    <t>A0483</t>
  </si>
  <si>
    <t>A0484</t>
  </si>
  <si>
    <t>A0485</t>
  </si>
  <si>
    <t>A0486</t>
  </si>
  <si>
    <t>A0487</t>
  </si>
  <si>
    <t>A0488</t>
  </si>
  <si>
    <t>A0489</t>
  </si>
  <si>
    <t>A0490</t>
  </si>
  <si>
    <t>A0491</t>
  </si>
  <si>
    <t>A0492</t>
  </si>
  <si>
    <t>BOLSO PUBLICITARIO|PERSON.|PREMIUN|35cmx40cm</t>
  </si>
  <si>
    <t>BOLSO PUBLICITARIO|PERSON.|ESTANDAR|35cmx40cm</t>
  </si>
  <si>
    <t>CAMI|SPUN|T26-30│NIÑOS</t>
  </si>
  <si>
    <t>CAMI|SPUN|T32-36│NIÑOS</t>
  </si>
  <si>
    <t>CAMI|SPUN|T38-42│JOV</t>
  </si>
  <si>
    <t>CAMI|SPUN|TXS-XL│ADULTO</t>
  </si>
  <si>
    <t>CAMI|SPUN|T2XL│ADULTO</t>
  </si>
  <si>
    <t>CAMI|SPUN|T3XL│ADULTO</t>
  </si>
  <si>
    <t>CAMI|SPUN|T4XL│ADULTO</t>
  </si>
  <si>
    <t>CAMI|SPUN|T5XL│ADULTO</t>
  </si>
  <si>
    <t>CAMI|SPUN|T6XL│ADULTO</t>
  </si>
  <si>
    <t>CAMI|SPUN|T7XL│ADULTO</t>
  </si>
  <si>
    <t>CAMI|SPUN|T8XL│ADULTO</t>
  </si>
  <si>
    <t>CAMI|SPUN|T9XL│ADULTO</t>
  </si>
  <si>
    <t>CAMISETA 100 % SUBLIMADA PREMIUN</t>
  </si>
  <si>
    <t>CAMISETA 100 % SUBLIMADA SPUN</t>
  </si>
  <si>
    <t>APU</t>
  </si>
  <si>
    <t>CHOMPA SUBLI FLECE|SIN FORRO|TXS-XL│ADULTO</t>
  </si>
  <si>
    <t>CHOMPA SUBLI BIOTO|SIN FORRO|TXS-XL│ADULTO</t>
  </si>
  <si>
    <t>CHOMPA SUBLI FLECE|CON FORRO|TXS-XL│ADULTO</t>
  </si>
  <si>
    <t>CAMISETAS DEPORTIVAS</t>
  </si>
  <si>
    <t>CAMISETAS PERSONALIZADAS</t>
  </si>
  <si>
    <t>X12</t>
  </si>
  <si>
    <t>X25</t>
  </si>
  <si>
    <t>X100</t>
  </si>
  <si>
    <t>UNIFORME ECO</t>
  </si>
  <si>
    <t>UNIF FALDA SHORT|ECO|T26-30│NIÑA</t>
  </si>
  <si>
    <t>UNIF FALDA SHORT|ECO|T32-36│NIÑA</t>
  </si>
  <si>
    <t>UNIF FALDA SHORT|ECO|T38-42│SRTA.</t>
  </si>
  <si>
    <t>UNIF FALDA SHORT|ESTANDAR|T26-30│NIÑA</t>
  </si>
  <si>
    <t>UNIF FALDA SHORT|ESTANDAR|T32-36│NIÑA</t>
  </si>
  <si>
    <t>UNIF FALDA SHORT|ESTANDAR|T36-42│SRTA.</t>
  </si>
  <si>
    <t>&gt;6</t>
  </si>
  <si>
    <t>CAMI PERSONALIZADA SPUN 1o2 TICKET A4</t>
  </si>
  <si>
    <t>CAMI PERSONALIZADA DEPOR 1o2 TICKET A4</t>
  </si>
  <si>
    <t>&gt;50</t>
  </si>
  <si>
    <t>CAMISETAS TICKET A4 CON 1TICKET (TICKET adicional son 50ctv)</t>
  </si>
  <si>
    <t>CAMI POLO|DEPORT|T2XL |SUBLI</t>
  </si>
  <si>
    <t>CAMI POLO|DEPORT|T6XL |SUBLI</t>
  </si>
  <si>
    <t>CAMI POLO|DEPORT|T5XL |SUBLI</t>
  </si>
  <si>
    <t>CAMI POLO|DEPORT|T4XL |SUBLI</t>
  </si>
  <si>
    <t>CAMI POLO|DEPORT|T3XL |SUBLI</t>
  </si>
  <si>
    <t>CAMI POLO|DEPORT|T7XL |SUBLI</t>
  </si>
  <si>
    <t>CAMI POLO|DEPORT|T8XL |SUBLI</t>
  </si>
  <si>
    <t>CAMI POLO|DEPORT|T9XL |SUBLI</t>
  </si>
  <si>
    <t>COSTOS YUNPAR ENERO 2026</t>
  </si>
  <si>
    <t>A0493</t>
  </si>
  <si>
    <t>A0494</t>
  </si>
  <si>
    <t>A0495</t>
  </si>
  <si>
    <t>A0496</t>
  </si>
  <si>
    <t>A0497</t>
  </si>
  <si>
    <t>A0498</t>
  </si>
  <si>
    <t>A0499</t>
  </si>
  <si>
    <t>A0500</t>
  </si>
  <si>
    <t>A0501</t>
  </si>
  <si>
    <t>A0502</t>
  </si>
  <si>
    <t>A0503</t>
  </si>
  <si>
    <t>A0504</t>
  </si>
  <si>
    <t>A0505</t>
  </si>
  <si>
    <t>A0506</t>
  </si>
  <si>
    <t>A0507</t>
  </si>
  <si>
    <t>A0508</t>
  </si>
  <si>
    <t>A0509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</si>
</sst>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\A0000"/>
  </numFmts>
  <fonts count="18" x14ac:knownFonts="1">
    <font>
      <sz val="11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E4FE"/>
        <bgColor indexed="64"/>
      </patternFill>
    </fill>
    <fill>
      <patternFill patternType="solid">
        <fgColor rgb="FFFB9F25"/>
        <bgColor indexed="64"/>
      </patternFill>
    </fill>
    <fill>
      <patternFill patternType="solid">
        <fgColor rgb="FFAAFE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297">
    <xf numFmtId="0" fontId="0" fillId="0" borderId="0" xfId="0"/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49" fontId="0" fillId="2" borderId="1" xfId="0" applyNumberFormat="1" applyFill="1" applyBorder="1" applyAlignment="1">
      <alignment horizontal="left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164" fontId="1" fillId="0" borderId="1" xfId="0" applyNumberFormat="1" applyFont="1" applyBorder="1" applyAlignment="1">
      <alignment horizontal="center" vertical="center" wrapText="1"/>
    </xf>
    <xf numFmtId="0" fontId="0" fillId="4" borderId="0" xfId="0" applyFill="1"/>
    <xf numFmtId="49" fontId="0" fillId="5" borderId="1" xfId="0" applyNumberFormat="1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  <xf numFmtId="49" fontId="0" fillId="7" borderId="1" xfId="0" applyNumberFormat="1" applyFill="1" applyBorder="1" applyAlignment="1">
      <alignment horizontal="left"/>
    </xf>
    <xf numFmtId="0" fontId="0" fillId="7" borderId="1" xfId="0" applyFill="1" applyBorder="1"/>
    <xf numFmtId="49" fontId="0" fillId="8" borderId="1" xfId="0" applyNumberFormat="1" applyFill="1" applyBorder="1" applyAlignment="1">
      <alignment horizontal="left"/>
    </xf>
    <xf numFmtId="49" fontId="0" fillId="9" borderId="1" xfId="0" applyNumberFormat="1" applyFill="1" applyBorder="1" applyAlignment="1">
      <alignment horizontal="left"/>
    </xf>
    <xf numFmtId="0" fontId="0" fillId="9" borderId="1" xfId="0" applyFill="1" applyBorder="1"/>
    <xf numFmtId="49" fontId="0" fillId="10" borderId="1" xfId="0" applyNumberFormat="1" applyFill="1" applyBorder="1" applyAlignment="1">
      <alignment horizontal="left"/>
    </xf>
    <xf numFmtId="0" fontId="0" fillId="10" borderId="1" xfId="0" applyFill="1" applyBorder="1"/>
    <xf numFmtId="49" fontId="0" fillId="11" borderId="1" xfId="0" applyNumberFormat="1" applyFill="1" applyBorder="1" applyAlignment="1">
      <alignment horizontal="left"/>
    </xf>
    <xf numFmtId="49" fontId="0" fillId="12" borderId="1" xfId="0" applyNumberFormat="1" applyFill="1" applyBorder="1" applyAlignment="1">
      <alignment horizontal="left"/>
    </xf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8" fillId="15" borderId="1" xfId="0" applyFont="1" applyFill="1" applyBorder="1"/>
    <xf numFmtId="0" fontId="0" fillId="16" borderId="1" xfId="0" applyFill="1" applyBorder="1"/>
    <xf numFmtId="49" fontId="0" fillId="17" borderId="1" xfId="0" applyNumberFormat="1" applyFill="1" applyBorder="1" applyAlignment="1">
      <alignment horizontal="left"/>
    </xf>
    <xf numFmtId="49" fontId="0" fillId="18" borderId="1" xfId="0" applyNumberFormat="1" applyFill="1" applyBorder="1" applyAlignment="1">
      <alignment horizontal="left"/>
    </xf>
    <xf numFmtId="49" fontId="0" fillId="19" borderId="1" xfId="0" applyNumberFormat="1" applyFill="1" applyBorder="1" applyAlignment="1">
      <alignment horizontal="left"/>
    </xf>
    <xf numFmtId="49" fontId="0" fillId="20" borderId="1" xfId="0" applyNumberFormat="1" applyFill="1" applyBorder="1" applyAlignment="1">
      <alignment horizontal="left"/>
    </xf>
    <xf numFmtId="0" fontId="0" fillId="20" borderId="1" xfId="0" applyFill="1" applyBorder="1"/>
    <xf numFmtId="0" fontId="0" fillId="21" borderId="1" xfId="0" applyFill="1" applyBorder="1"/>
    <xf numFmtId="0" fontId="0" fillId="0" borderId="0" xfId="0" applyAlignment="1">
      <alignment horizontal="left"/>
    </xf>
    <xf numFmtId="44" fontId="0" fillId="0" borderId="0" xfId="0" applyNumberFormat="1" applyAlignment="1">
      <alignment horizontal="left"/>
    </xf>
    <xf numFmtId="44" fontId="0" fillId="0" borderId="0" xfId="0" applyNumberFormat="1"/>
    <xf numFmtId="0" fontId="0" fillId="3" borderId="0" xfId="0" applyFill="1"/>
    <xf numFmtId="49" fontId="0" fillId="17" borderId="1" xfId="0" applyNumberFormat="1" applyFill="1" applyBorder="1" applyAlignment="1">
      <alignment horizontal="left" shrinkToFit="1"/>
    </xf>
    <xf numFmtId="0" fontId="0" fillId="22" borderId="1" xfId="0" applyFill="1" applyBorder="1"/>
    <xf numFmtId="49" fontId="0" fillId="22" borderId="1" xfId="0" applyNumberFormat="1" applyFill="1" applyBorder="1" applyAlignment="1">
      <alignment horizontal="left"/>
    </xf>
    <xf numFmtId="49" fontId="0" fillId="23" borderId="1" xfId="0" applyNumberFormat="1" applyFill="1" applyBorder="1" applyAlignment="1">
      <alignment horizontal="left"/>
    </xf>
    <xf numFmtId="0" fontId="0" fillId="23" borderId="1" xfId="0" applyFill="1" applyBorder="1"/>
    <xf numFmtId="44" fontId="1" fillId="0" borderId="1" xfId="0" applyNumberFormat="1" applyFont="1" applyBorder="1" applyAlignment="1">
      <alignment horizontal="center" vertical="center"/>
    </xf>
    <xf numFmtId="44" fontId="6" fillId="0" borderId="0" xfId="0" applyNumberFormat="1" applyFont="1"/>
    <xf numFmtId="0" fontId="0" fillId="0" borderId="0" xfId="0" applyAlignment="1">
      <alignment horizontal="center"/>
    </xf>
    <xf numFmtId="49" fontId="0" fillId="24" borderId="1" xfId="0" applyNumberFormat="1" applyFill="1" applyBorder="1" applyAlignment="1">
      <alignment horizontal="left"/>
    </xf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49" fontId="0" fillId="29" borderId="1" xfId="0" applyNumberFormat="1" applyFill="1" applyBorder="1" applyAlignment="1">
      <alignment horizontal="left"/>
    </xf>
    <xf numFmtId="49" fontId="0" fillId="16" borderId="1" xfId="0" applyNumberFormat="1" applyFill="1" applyBorder="1" applyAlignment="1">
      <alignment horizontal="left"/>
    </xf>
    <xf numFmtId="164" fontId="5" fillId="0" borderId="0" xfId="0" applyNumberFormat="1" applyFont="1" applyAlignment="1">
      <alignment horizontal="center" vertical="center" wrapText="1"/>
    </xf>
    <xf numFmtId="0" fontId="0" fillId="31" borderId="1" xfId="0" applyFill="1" applyBorder="1"/>
    <xf numFmtId="164" fontId="10" fillId="0" borderId="1" xfId="0" applyNumberFormat="1" applyFont="1" applyBorder="1" applyAlignment="1">
      <alignment horizontal="center" vertical="center"/>
    </xf>
    <xf numFmtId="164" fontId="10" fillId="13" borderId="1" xfId="0" applyNumberFormat="1" applyFont="1" applyFill="1" applyBorder="1" applyAlignment="1">
      <alignment horizontal="center" vertical="center"/>
    </xf>
    <xf numFmtId="164" fontId="10" fillId="19" borderId="1" xfId="0" applyNumberFormat="1" applyFont="1" applyFill="1" applyBorder="1" applyAlignment="1">
      <alignment horizontal="center" vertical="center"/>
    </xf>
    <xf numFmtId="164" fontId="10" fillId="4" borderId="1" xfId="0" applyNumberFormat="1" applyFont="1" applyFill="1" applyBorder="1" applyAlignment="1">
      <alignment horizontal="center" vertical="center"/>
    </xf>
    <xf numFmtId="164" fontId="10" fillId="9" borderId="1" xfId="0" applyNumberFormat="1" applyFont="1" applyFill="1" applyBorder="1" applyAlignment="1">
      <alignment horizontal="center" vertical="center"/>
    </xf>
    <xf numFmtId="164" fontId="10" fillId="14" borderId="1" xfId="0" applyNumberFormat="1" applyFont="1" applyFill="1" applyBorder="1" applyAlignment="1">
      <alignment horizontal="center" vertical="center"/>
    </xf>
    <xf numFmtId="164" fontId="10" fillId="10" borderId="1" xfId="0" applyNumberFormat="1" applyFont="1" applyFill="1" applyBorder="1" applyAlignment="1">
      <alignment horizontal="center" vertical="center"/>
    </xf>
    <xf numFmtId="164" fontId="10" fillId="16" borderId="1" xfId="0" applyNumberFormat="1" applyFont="1" applyFill="1" applyBorder="1" applyAlignment="1">
      <alignment horizontal="center" vertical="center"/>
    </xf>
    <xf numFmtId="164" fontId="10" fillId="15" borderId="1" xfId="0" applyNumberFormat="1" applyFont="1" applyFill="1" applyBorder="1" applyAlignment="1">
      <alignment horizontal="center" vertical="center"/>
    </xf>
    <xf numFmtId="164" fontId="10" fillId="30" borderId="1" xfId="0" applyNumberFormat="1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164" fontId="10" fillId="20" borderId="1" xfId="0" applyNumberFormat="1" applyFont="1" applyFill="1" applyBorder="1" applyAlignment="1">
      <alignment horizontal="center" vertical="center"/>
    </xf>
    <xf numFmtId="164" fontId="10" fillId="28" borderId="1" xfId="0" applyNumberFormat="1" applyFont="1" applyFill="1" applyBorder="1" applyAlignment="1">
      <alignment horizontal="center" vertical="center"/>
    </xf>
    <xf numFmtId="164" fontId="10" fillId="22" borderId="1" xfId="0" applyNumberFormat="1" applyFont="1" applyFill="1" applyBorder="1" applyAlignment="1">
      <alignment horizontal="center" vertical="center"/>
    </xf>
    <xf numFmtId="164" fontId="10" fillId="23" borderId="1" xfId="0" applyNumberFormat="1" applyFont="1" applyFill="1" applyBorder="1" applyAlignment="1">
      <alignment horizontal="center" vertical="center"/>
    </xf>
    <xf numFmtId="164" fontId="10" fillId="24" borderId="1" xfId="0" applyNumberFormat="1" applyFont="1" applyFill="1" applyBorder="1" applyAlignment="1">
      <alignment horizontal="center" vertical="center"/>
    </xf>
    <xf numFmtId="164" fontId="10" fillId="5" borderId="1" xfId="0" applyNumberFormat="1" applyFont="1" applyFill="1" applyBorder="1" applyAlignment="1">
      <alignment horizontal="center" vertical="center"/>
    </xf>
    <xf numFmtId="164" fontId="10" fillId="2" borderId="1" xfId="0" applyNumberFormat="1" applyFont="1" applyFill="1" applyBorder="1" applyAlignment="1">
      <alignment horizontal="center" vertical="center"/>
    </xf>
    <xf numFmtId="164" fontId="10" fillId="6" borderId="1" xfId="0" applyNumberFormat="1" applyFont="1" applyFill="1" applyBorder="1" applyAlignment="1">
      <alignment horizontal="center" vertical="center"/>
    </xf>
    <xf numFmtId="164" fontId="10" fillId="25" borderId="1" xfId="0" applyNumberFormat="1" applyFont="1" applyFill="1" applyBorder="1" applyAlignment="1">
      <alignment horizontal="center" vertical="center"/>
    </xf>
    <xf numFmtId="164" fontId="10" fillId="7" borderId="1" xfId="0" applyNumberFormat="1" applyFont="1" applyFill="1" applyBorder="1" applyAlignment="1">
      <alignment horizontal="center" vertical="center"/>
    </xf>
    <xf numFmtId="164" fontId="10" fillId="8" borderId="1" xfId="0" applyNumberFormat="1" applyFont="1" applyFill="1" applyBorder="1" applyAlignment="1">
      <alignment horizontal="center" vertical="center"/>
    </xf>
    <xf numFmtId="164" fontId="10" fillId="17" borderId="1" xfId="0" applyNumberFormat="1" applyFont="1" applyFill="1" applyBorder="1" applyAlignment="1">
      <alignment horizontal="center" vertical="center"/>
    </xf>
    <xf numFmtId="164" fontId="10" fillId="18" borderId="1" xfId="0" applyNumberFormat="1" applyFont="1" applyFill="1" applyBorder="1" applyAlignment="1">
      <alignment horizontal="center" vertical="center"/>
    </xf>
    <xf numFmtId="164" fontId="10" fillId="11" borderId="1" xfId="0" applyNumberFormat="1" applyFont="1" applyFill="1" applyBorder="1" applyAlignment="1">
      <alignment horizontal="center" vertical="center"/>
    </xf>
    <xf numFmtId="164" fontId="10" fillId="12" borderId="1" xfId="0" applyNumberFormat="1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31" borderId="1" xfId="0" applyNumberFormat="1" applyFont="1" applyFill="1" applyBorder="1" applyAlignment="1">
      <alignment horizontal="center" vertical="center"/>
    </xf>
    <xf numFmtId="164" fontId="10" fillId="21" borderId="1" xfId="0" applyNumberFormat="1" applyFont="1" applyFill="1" applyBorder="1" applyAlignment="1">
      <alignment horizontal="center" vertical="center"/>
    </xf>
    <xf numFmtId="164" fontId="10" fillId="26" borderId="1" xfId="0" applyNumberFormat="1" applyFont="1" applyFill="1" applyBorder="1" applyAlignment="1">
      <alignment horizontal="center" vertical="center"/>
    </xf>
    <xf numFmtId="164" fontId="10" fillId="27" borderId="1" xfId="0" applyNumberFormat="1" applyFont="1" applyFill="1" applyBorder="1" applyAlignment="1">
      <alignment horizontal="center" vertical="center"/>
    </xf>
    <xf numFmtId="164" fontId="10" fillId="29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34" borderId="0" xfId="0" applyFill="1"/>
    <xf numFmtId="49" fontId="0" fillId="17" borderId="4" xfId="0" applyNumberFormat="1" applyFill="1" applyBorder="1" applyAlignment="1">
      <alignment horizontal="left" shrinkToFit="1"/>
    </xf>
    <xf numFmtId="164" fontId="10" fillId="35" borderId="1" xfId="0" applyNumberFormat="1" applyFont="1" applyFill="1" applyBorder="1" applyAlignment="1">
      <alignment horizontal="center" vertical="center"/>
    </xf>
    <xf numFmtId="49" fontId="0" fillId="35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1" fillId="13" borderId="1" xfId="0" applyFont="1" applyFill="1" applyBorder="1"/>
    <xf numFmtId="0" fontId="11" fillId="14" borderId="1" xfId="0" applyFont="1" applyFill="1" applyBorder="1"/>
    <xf numFmtId="49" fontId="11" fillId="5" borderId="4" xfId="0" applyNumberFormat="1" applyFont="1" applyFill="1" applyBorder="1" applyAlignment="1">
      <alignment horizontal="left" shrinkToFit="1"/>
    </xf>
    <xf numFmtId="49" fontId="11" fillId="5" borderId="1" xfId="0" applyNumberFormat="1" applyFont="1" applyFill="1" applyBorder="1" applyAlignment="1">
      <alignment horizontal="left" shrinkToFit="1"/>
    </xf>
    <xf numFmtId="49" fontId="11" fillId="19" borderId="1" xfId="0" applyNumberFormat="1" applyFont="1" applyFill="1" applyBorder="1" applyAlignment="1">
      <alignment horizontal="left"/>
    </xf>
    <xf numFmtId="164" fontId="10" fillId="36" borderId="1" xfId="0" applyNumberFormat="1" applyFont="1" applyFill="1" applyBorder="1" applyAlignment="1">
      <alignment horizontal="center" vertical="center"/>
    </xf>
    <xf numFmtId="0" fontId="0" fillId="36" borderId="1" xfId="0" applyFill="1" applyBorder="1"/>
    <xf numFmtId="164" fontId="10" fillId="37" borderId="1" xfId="0" applyNumberFormat="1" applyFont="1" applyFill="1" applyBorder="1" applyAlignment="1">
      <alignment horizontal="center" vertical="center"/>
    </xf>
    <xf numFmtId="0" fontId="0" fillId="37" borderId="1" xfId="0" applyFill="1" applyBorder="1"/>
    <xf numFmtId="0" fontId="0" fillId="38" borderId="1" xfId="0" applyFill="1" applyBorder="1"/>
    <xf numFmtId="0" fontId="0" fillId="37" borderId="0" xfId="0" applyFill="1"/>
    <xf numFmtId="0" fontId="0" fillId="37" borderId="0" xfId="0" applyFill="1" applyAlignment="1">
      <alignment horizontal="center"/>
    </xf>
    <xf numFmtId="164" fontId="10" fillId="38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12" fillId="0" borderId="0" xfId="0" applyFont="1" applyAlignment="1">
      <alignment vertical="center" shrinkToFit="1"/>
    </xf>
    <xf numFmtId="0" fontId="12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164" fontId="0" fillId="34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left" vertical="center"/>
    </xf>
    <xf numFmtId="0" fontId="0" fillId="3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44" fontId="11" fillId="0" borderId="1" xfId="0" applyNumberFormat="1" applyFont="1" applyBorder="1" applyAlignment="1">
      <alignment horizontal="center" vertical="center"/>
    </xf>
    <xf numFmtId="164" fontId="0" fillId="22" borderId="1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43" fontId="12" fillId="0" borderId="0" xfId="0" applyNumberFormat="1" applyFont="1" applyAlignment="1">
      <alignment vertical="center" shrinkToFit="1"/>
    </xf>
    <xf numFmtId="43" fontId="11" fillId="0" borderId="0" xfId="0" applyNumberFormat="1" applyFont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43" fontId="0" fillId="4" borderId="1" xfId="0" applyNumberForma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4" fontId="10" fillId="32" borderId="1" xfId="0" applyNumberFormat="1" applyFont="1" applyFill="1" applyBorder="1" applyAlignment="1">
      <alignment horizontal="center" vertical="center"/>
    </xf>
    <xf numFmtId="49" fontId="0" fillId="32" borderId="1" xfId="0" applyNumberFormat="1" applyFill="1" applyBorder="1" applyAlignment="1">
      <alignment horizontal="left"/>
    </xf>
    <xf numFmtId="164" fontId="10" fillId="33" borderId="1" xfId="0" applyNumberFormat="1" applyFont="1" applyFill="1" applyBorder="1" applyAlignment="1">
      <alignment horizontal="center" vertical="center"/>
    </xf>
    <xf numFmtId="49" fontId="0" fillId="33" borderId="1" xfId="0" applyNumberFormat="1" applyFill="1" applyBorder="1" applyAlignment="1">
      <alignment horizontal="left"/>
    </xf>
    <xf numFmtId="164" fontId="10" fillId="34" borderId="1" xfId="0" applyNumberFormat="1" applyFont="1" applyFill="1" applyBorder="1" applyAlignment="1">
      <alignment horizontal="center" vertical="center"/>
    </xf>
    <xf numFmtId="49" fontId="0" fillId="34" borderId="1" xfId="0" applyNumberFormat="1" applyFill="1" applyBorder="1" applyAlignment="1">
      <alignment horizontal="left"/>
    </xf>
    <xf numFmtId="0" fontId="0" fillId="39" borderId="0" xfId="0" applyFill="1" applyAlignment="1">
      <alignment horizontal="center" vertical="center"/>
    </xf>
    <xf numFmtId="164" fontId="0" fillId="40" borderId="0" xfId="0" applyNumberFormat="1" applyFill="1" applyAlignment="1">
      <alignment horizontal="center" vertical="center"/>
    </xf>
    <xf numFmtId="0" fontId="0" fillId="40" borderId="0" xfId="0" applyFill="1" applyAlignment="1">
      <alignment horizontal="center" vertical="center"/>
    </xf>
    <xf numFmtId="164" fontId="0" fillId="41" borderId="0" xfId="0" applyNumberFormat="1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164" fontId="0" fillId="0" borderId="0" xfId="0" applyNumberFormat="1"/>
    <xf numFmtId="164" fontId="0" fillId="42" borderId="0" xfId="0" applyNumberFormat="1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43" fontId="0" fillId="0" borderId="0" xfId="0" applyNumberFormat="1"/>
    <xf numFmtId="164" fontId="0" fillId="22" borderId="0" xfId="0" applyNumberFormat="1" applyFill="1" applyAlignment="1">
      <alignment horizontal="center" vertical="center"/>
    </xf>
    <xf numFmtId="164" fontId="0" fillId="34" borderId="0" xfId="0" applyNumberFormat="1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22" borderId="0" xfId="0" applyFill="1" applyAlignment="1">
      <alignment horizontal="left" vertical="center"/>
    </xf>
    <xf numFmtId="49" fontId="0" fillId="3" borderId="1" xfId="0" applyNumberFormat="1" applyFill="1" applyBorder="1" applyAlignment="1">
      <alignment horizontal="left"/>
    </xf>
    <xf numFmtId="49" fontId="1" fillId="0" borderId="1" xfId="0" applyNumberFormat="1" applyFont="1" applyBorder="1" applyAlignment="1">
      <alignment horizontal="left" vertical="center"/>
    </xf>
    <xf numFmtId="0" fontId="0" fillId="3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49" fontId="0" fillId="4" borderId="1" xfId="0" applyNumberFormat="1" applyFill="1" applyBorder="1" applyAlignment="1">
      <alignment horizontal="left"/>
    </xf>
    <xf numFmtId="43" fontId="7" fillId="0" borderId="0" xfId="0" applyNumberFormat="1" applyFont="1" applyAlignment="1">
      <alignment horizontal="center" vertical="center"/>
    </xf>
    <xf numFmtId="0" fontId="0" fillId="42" borderId="0" xfId="0" applyFill="1" applyAlignment="1">
      <alignment horizontal="left" vertical="center"/>
    </xf>
    <xf numFmtId="164" fontId="0" fillId="42" borderId="0" xfId="0" applyNumberForma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22" borderId="1" xfId="0" applyFill="1" applyBorder="1" applyAlignment="1">
      <alignment horizontal="left" vertical="center"/>
    </xf>
    <xf numFmtId="164" fontId="10" fillId="40" borderId="1" xfId="0" applyNumberFormat="1" applyFont="1" applyFill="1" applyBorder="1" applyAlignment="1">
      <alignment horizontal="center" vertical="center"/>
    </xf>
    <xf numFmtId="49" fontId="0" fillId="40" borderId="1" xfId="0" applyNumberFormat="1" applyFill="1" applyBorder="1" applyAlignment="1">
      <alignment horizontal="left"/>
    </xf>
    <xf numFmtId="0" fontId="0" fillId="40" borderId="0" xfId="0" applyFill="1"/>
    <xf numFmtId="0" fontId="9" fillId="0" borderId="0" xfId="0" applyFont="1"/>
    <xf numFmtId="0" fontId="6" fillId="0" borderId="0" xfId="0" applyFont="1"/>
    <xf numFmtId="0" fontId="0" fillId="10" borderId="0" xfId="0" applyFill="1" applyAlignment="1">
      <alignment horizont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64" fontId="10" fillId="42" borderId="1" xfId="0" applyNumberFormat="1" applyFont="1" applyFill="1" applyBorder="1" applyAlignment="1">
      <alignment horizontal="center" vertical="center"/>
    </xf>
    <xf numFmtId="49" fontId="0" fillId="42" borderId="1" xfId="0" applyNumberFormat="1" applyFill="1" applyBorder="1" applyAlignment="1">
      <alignment horizontal="left"/>
    </xf>
    <xf numFmtId="164" fontId="10" fillId="43" borderId="1" xfId="0" applyNumberFormat="1" applyFont="1" applyFill="1" applyBorder="1" applyAlignment="1">
      <alignment horizontal="center" vertical="center"/>
    </xf>
    <xf numFmtId="49" fontId="0" fillId="43" borderId="1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49" fontId="0" fillId="15" borderId="1" xfId="0" applyNumberFormat="1" applyFill="1" applyBorder="1" applyAlignment="1">
      <alignment horizontal="left"/>
    </xf>
    <xf numFmtId="0" fontId="0" fillId="23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44" fontId="0" fillId="0" borderId="0" xfId="0" applyNumberFormat="1" applyFill="1"/>
    <xf numFmtId="164" fontId="10" fillId="0" borderId="1" xfId="0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64" fontId="0" fillId="38" borderId="1" xfId="0" applyNumberFormat="1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2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9" borderId="1" xfId="0" applyNumberForma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3" xfId="0" applyFill="1" applyBorder="1" applyAlignment="1">
      <alignment horizontal="center" vertical="center"/>
    </xf>
    <xf numFmtId="0" fontId="0" fillId="29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0" fontId="0" fillId="32" borderId="1" xfId="0" applyFill="1" applyBorder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49" fontId="0" fillId="34" borderId="1" xfId="0" applyNumberFormat="1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0" fillId="42" borderId="1" xfId="0" applyFill="1" applyBorder="1" applyAlignment="1">
      <alignment horizontal="center" vertical="center"/>
    </xf>
    <xf numFmtId="164" fontId="10" fillId="0" borderId="3" xfId="0" applyNumberFormat="1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0" xfId="0" applyFill="1"/>
    <xf numFmtId="0" fontId="0" fillId="10" borderId="0" xfId="0" applyFill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15" fillId="37" borderId="0" xfId="0" applyFont="1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49" fontId="0" fillId="9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49" fontId="0" fillId="22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/>
    </xf>
    <xf numFmtId="0" fontId="12" fillId="0" borderId="0" xfId="0" applyFont="1" applyFill="1" applyAlignment="1">
      <alignment vertical="center" shrinkToFit="1"/>
    </xf>
    <xf numFmtId="44" fontId="11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 shrinkToFit="1"/>
    </xf>
    <xf numFmtId="0" fontId="11" fillId="0" borderId="1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vertical="center" shrinkToFit="1"/>
    </xf>
    <xf numFmtId="0" fontId="0" fillId="0" borderId="0" xfId="0" applyFill="1" applyAlignment="1">
      <alignment horizontal="center" vertical="center"/>
    </xf>
    <xf numFmtId="10" fontId="0" fillId="0" borderId="0" xfId="1" applyNumberFormat="1" applyFont="1"/>
    <xf numFmtId="16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 shrinkToFit="1"/>
    </xf>
    <xf numFmtId="0" fontId="13" fillId="0" borderId="1" xfId="0" applyFont="1" applyBorder="1" applyAlignment="1">
      <alignment horizontal="center" vertical="center" wrapText="1" shrinkToFit="1"/>
    </xf>
    <xf numFmtId="0" fontId="13" fillId="0" borderId="4" xfId="0" applyFont="1" applyBorder="1" applyAlignment="1">
      <alignment horizontal="center" vertical="center" wrapText="1" shrinkToFit="1"/>
    </xf>
    <xf numFmtId="0" fontId="14" fillId="0" borderId="2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 shrinkToFit="1"/>
    </xf>
    <xf numFmtId="0" fontId="12" fillId="0" borderId="0" xfId="0" applyFont="1" applyAlignment="1">
      <alignment horizontal="center" vertical="center" wrapText="1" shrinkToFit="1"/>
    </xf>
    <xf numFmtId="0" fontId="12" fillId="29" borderId="4" xfId="0" applyFont="1" applyFill="1" applyBorder="1" applyAlignment="1">
      <alignment horizontal="center" vertical="center" wrapText="1" shrinkToFit="1"/>
    </xf>
    <xf numFmtId="0" fontId="12" fillId="0" borderId="4" xfId="0" applyFont="1" applyBorder="1" applyAlignment="1">
      <alignment horizontal="center" vertical="center" wrapText="1" shrinkToFit="1"/>
    </xf>
    <xf numFmtId="0" fontId="12" fillId="42" borderId="1" xfId="0" applyFont="1" applyFill="1" applyBorder="1" applyAlignment="1">
      <alignment horizontal="center" vertical="center" wrapText="1" shrinkToFit="1"/>
    </xf>
    <xf numFmtId="0" fontId="12" fillId="20" borderId="1" xfId="0" applyFont="1" applyFill="1" applyBorder="1" applyAlignment="1">
      <alignment horizontal="center" vertical="center" wrapText="1" shrinkToFit="1"/>
    </xf>
    <xf numFmtId="0" fontId="12" fillId="34" borderId="5" xfId="0" applyFont="1" applyFill="1" applyBorder="1" applyAlignment="1">
      <alignment horizontal="center" vertical="center" wrapText="1" shrinkToFit="1"/>
    </xf>
    <xf numFmtId="0" fontId="12" fillId="34" borderId="6" xfId="0" applyFont="1" applyFill="1" applyBorder="1" applyAlignment="1">
      <alignment horizontal="center" vertical="center" wrapText="1" shrinkToFit="1"/>
    </xf>
    <xf numFmtId="0" fontId="12" fillId="34" borderId="7" xfId="0" applyFont="1" applyFill="1" applyBorder="1" applyAlignment="1">
      <alignment horizontal="center" vertical="center" wrapText="1" shrinkToFit="1"/>
    </xf>
    <xf numFmtId="0" fontId="12" fillId="43" borderId="5" xfId="0" applyFont="1" applyFill="1" applyBorder="1" applyAlignment="1">
      <alignment horizontal="center" vertical="center" wrapText="1" shrinkToFit="1"/>
    </xf>
    <xf numFmtId="0" fontId="12" fillId="43" borderId="6" xfId="0" applyFont="1" applyFill="1" applyBorder="1" applyAlignment="1">
      <alignment horizontal="center" vertical="center" wrapText="1" shrinkToFit="1"/>
    </xf>
    <xf numFmtId="0" fontId="12" fillId="43" borderId="7" xfId="0" applyFont="1" applyFill="1" applyBorder="1" applyAlignment="1">
      <alignment horizontal="center" vertical="center" wrapText="1" shrinkToFit="1"/>
    </xf>
    <xf numFmtId="0" fontId="12" fillId="17" borderId="1" xfId="0" applyFont="1" applyFill="1" applyBorder="1" applyAlignment="1">
      <alignment horizontal="center" vertical="center" wrapText="1" shrinkToFit="1"/>
    </xf>
    <xf numFmtId="0" fontId="12" fillId="22" borderId="1" xfId="0" applyFont="1" applyFill="1" applyBorder="1" applyAlignment="1">
      <alignment horizontal="center" vertical="center" wrapText="1" shrinkToFit="1"/>
    </xf>
    <xf numFmtId="0" fontId="12" fillId="0" borderId="8" xfId="0" applyFont="1" applyBorder="1" applyAlignment="1">
      <alignment horizontal="center" vertical="center" wrapText="1" shrinkToFit="1"/>
    </xf>
    <xf numFmtId="0" fontId="12" fillId="0" borderId="5" xfId="0" applyFont="1" applyBorder="1" applyAlignment="1">
      <alignment horizontal="center" vertical="center" wrapText="1" shrinkToFit="1"/>
    </xf>
  </cellXfs>
  <cellStyles count="2">
    <cellStyle name="Normal" xfId="0" builtinId="0"/>
    <cellStyle name="Porcentaje" xfId="1" builtinId="5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FF3399"/>
      <color rgb="FF9999FF"/>
      <color rgb="FFCC99FF"/>
      <color rgb="FFFF9999"/>
      <color rgb="FFFFCCCC"/>
      <color rgb="FFAAFE22"/>
      <color rgb="FF66FFCC"/>
      <color rgb="FFFB9F25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1</xdr:row>
      <xdr:rowOff>19049</xdr:rowOff>
    </xdr:from>
    <xdr:to>
      <xdr:col>6</xdr:col>
      <xdr:colOff>691704</xdr:colOff>
      <xdr:row>2</xdr:row>
      <xdr:rowOff>171449</xdr:rowOff>
    </xdr:to>
    <xdr:pic macro="[0]!MostrarBuscador">
      <xdr:nvPicPr>
        <xdr:cNvPr id="5" name="Imagen 4">
          <a:extLst>
            <a:ext uri="{FF2B5EF4-FFF2-40B4-BE49-F238E27FC236}">
              <a16:creationId xmlns:a16="http://schemas.microsoft.com/office/drawing/2014/main" id="{759BB511-FFF7-BDCC-7784-5EEFD32C2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1</xdr:row>
      <xdr:rowOff>19049</xdr:rowOff>
    </xdr:from>
    <xdr:to>
      <xdr:col>6</xdr:col>
      <xdr:colOff>691704</xdr:colOff>
      <xdr:row>2</xdr:row>
      <xdr:rowOff>171450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CE16DB3E-1918-42B3-A87E-3FD7A0167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08BEA609-086A-4CCC-AFC5-2A724B97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8BE810D5-B7FA-43E7-9AE2-51A81B09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  <xdr:twoCellAnchor>
    <xdr:from>
      <xdr:col>8</xdr:col>
      <xdr:colOff>247650</xdr:colOff>
      <xdr:row>2</xdr:row>
      <xdr:rowOff>85725</xdr:rowOff>
    </xdr:from>
    <xdr:to>
      <xdr:col>10</xdr:col>
      <xdr:colOff>495300</xdr:colOff>
      <xdr:row>7</xdr:row>
      <xdr:rowOff>114300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4CBC4318-96B1-4E88-8A79-E735B868B41A}"/>
            </a:ext>
          </a:extLst>
        </xdr:cNvPr>
        <xdr:cNvSpPr txBox="1"/>
      </xdr:nvSpPr>
      <xdr:spPr>
        <a:xfrm>
          <a:off x="7829550" y="647700"/>
          <a:ext cx="1771650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EL costo de la prenda unica personalizada varia de 3 dolares por talla.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9D17A0EB-B6ED-4140-B666-2470D34BC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  <xdr:twoCellAnchor>
    <xdr:from>
      <xdr:col>8</xdr:col>
      <xdr:colOff>352425</xdr:colOff>
      <xdr:row>2</xdr:row>
      <xdr:rowOff>152400</xdr:rowOff>
    </xdr:from>
    <xdr:to>
      <xdr:col>9</xdr:col>
      <xdr:colOff>638175</xdr:colOff>
      <xdr:row>5</xdr:row>
      <xdr:rowOff>104775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763121E8-5924-43DD-B0D2-642873CE33C8}"/>
            </a:ext>
          </a:extLst>
        </xdr:cNvPr>
        <xdr:cNvSpPr txBox="1"/>
      </xdr:nvSpPr>
      <xdr:spPr>
        <a:xfrm>
          <a:off x="7934325" y="714375"/>
          <a:ext cx="10477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Variación</a:t>
          </a:r>
          <a:r>
            <a:rPr lang="es-EC" sz="1100" baseline="0"/>
            <a:t> de la prenda única</a:t>
          </a:r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4E8A7FF6-A6F3-485E-9039-CD79097F3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  <xdr:twoCellAnchor>
    <xdr:from>
      <xdr:col>8</xdr:col>
      <xdr:colOff>304800</xdr:colOff>
      <xdr:row>2</xdr:row>
      <xdr:rowOff>85725</xdr:rowOff>
    </xdr:from>
    <xdr:to>
      <xdr:col>9</xdr:col>
      <xdr:colOff>590550</xdr:colOff>
      <xdr:row>5</xdr:row>
      <xdr:rowOff>38100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3BB80BC4-17D7-45DB-A2C1-04580C9F0C2B}"/>
            </a:ext>
          </a:extLst>
        </xdr:cNvPr>
        <xdr:cNvSpPr txBox="1"/>
      </xdr:nvSpPr>
      <xdr:spPr>
        <a:xfrm>
          <a:off x="7658100" y="647700"/>
          <a:ext cx="10477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Variación</a:t>
          </a:r>
          <a:r>
            <a:rPr lang="es-EC" sz="1100" baseline="0"/>
            <a:t> de la prenda única</a:t>
          </a:r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1448AE38-A5AF-4ABA-870A-9654D3654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F72E799E-92D8-4794-968C-38D4F3FD1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97A6771D-783D-4E75-8A25-1EB8C488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64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8074D17E-0336-4558-9CEA-E0D42592B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152399</xdr:rowOff>
    </xdr:from>
    <xdr:to>
      <xdr:col>7</xdr:col>
      <xdr:colOff>129729</xdr:colOff>
      <xdr:row>2</xdr:row>
      <xdr:rowOff>152399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808E738F-EFF0-4C1B-B82E-1D6BE1DDA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0" y="152399"/>
          <a:ext cx="634554" cy="5238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152399</xdr:rowOff>
    </xdr:from>
    <xdr:to>
      <xdr:col>7</xdr:col>
      <xdr:colOff>129729</xdr:colOff>
      <xdr:row>2</xdr:row>
      <xdr:rowOff>152399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DA7669D3-C7E4-4B3F-A97F-BF9DCB9C8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152399"/>
          <a:ext cx="634554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276493</xdr:colOff>
      <xdr:row>23</xdr:row>
      <xdr:rowOff>23812</xdr:rowOff>
    </xdr:from>
    <xdr:to>
      <xdr:col>7</xdr:col>
      <xdr:colOff>91361</xdr:colOff>
      <xdr:row>25</xdr:row>
      <xdr:rowOff>119063</xdr:rowOff>
    </xdr:to>
    <xdr:pic macro="[0]!MostrarBuscador">
      <xdr:nvPicPr>
        <xdr:cNvPr id="3" name="Imagen 2">
          <a:extLst>
            <a:ext uri="{FF2B5EF4-FFF2-40B4-BE49-F238E27FC236}">
              <a16:creationId xmlns:a16="http://schemas.microsoft.com/office/drawing/2014/main" id="{26DEB8CD-3EEE-43F5-AB49-6879F4EB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293" y="4691062"/>
          <a:ext cx="576868" cy="47625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2</xdr:row>
      <xdr:rowOff>17584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309F2ECD-D127-413A-A74C-E5F48FCA5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1EB273A5-3B67-4BAA-94E9-FA752016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4A59E431-1EE6-48F3-9007-8712C6086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0</xdr:rowOff>
    </xdr:from>
    <xdr:to>
      <xdr:col>6</xdr:col>
      <xdr:colOff>691704</xdr:colOff>
      <xdr:row>2</xdr:row>
      <xdr:rowOff>0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69DDB0D8-96BB-475B-AA59-BE9020612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19049"/>
          <a:ext cx="634554" cy="5238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</xdr:colOff>
      <xdr:row>0</xdr:row>
      <xdr:rowOff>19049</xdr:rowOff>
    </xdr:from>
    <xdr:to>
      <xdr:col>6</xdr:col>
      <xdr:colOff>691704</xdr:colOff>
      <xdr:row>1</xdr:row>
      <xdr:rowOff>171449</xdr:rowOff>
    </xdr:to>
    <xdr:pic macro="[0]!MostrarBuscador">
      <xdr:nvPicPr>
        <xdr:cNvPr id="2" name="Imagen 1">
          <a:extLst>
            <a:ext uri="{FF2B5EF4-FFF2-40B4-BE49-F238E27FC236}">
              <a16:creationId xmlns:a16="http://schemas.microsoft.com/office/drawing/2014/main" id="{A9B2870E-E365-475D-8CBE-BFFE32A3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19049"/>
          <a:ext cx="634554" cy="5238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02%20YUNPAR%20SUBLIMACION/000%20ADMINISTRACI&#211;N%20YUNPAR/2025/APUs%202025/ANALISIS%20DE%20PRECIOS%20UNITARIOS%20enero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JY"/>
      <sheetName val="BD-MAT"/>
      <sheetName val="BD-MOb"/>
      <sheetName val="BD-EQ"/>
      <sheetName val="APU1"/>
      <sheetName val="APU2"/>
      <sheetName val="APU3"/>
      <sheetName val="APU4"/>
      <sheetName val="APU5"/>
      <sheetName val="APU6"/>
      <sheetName val="APU7"/>
      <sheetName val="APU8"/>
      <sheetName val="APU9"/>
      <sheetName val="APU10"/>
      <sheetName val="APU11"/>
      <sheetName val="APU12"/>
      <sheetName val="APU13"/>
      <sheetName val="APU14"/>
      <sheetName val="APU15"/>
      <sheetName val="APU16"/>
      <sheetName val="APU17"/>
      <sheetName val="APU18"/>
      <sheetName val="APU19"/>
      <sheetName val="APU20"/>
      <sheetName val="APU21"/>
      <sheetName val="APU22"/>
      <sheetName val="APU23"/>
      <sheetName val="APU24"/>
      <sheetName val="APU25"/>
      <sheetName val="APU26"/>
      <sheetName val="APU27"/>
      <sheetName val="APU28"/>
      <sheetName val="APU29"/>
      <sheetName val="APU30"/>
      <sheetName val="APU31"/>
      <sheetName val="APU32"/>
      <sheetName val="APU33"/>
      <sheetName val="APU34"/>
      <sheetName val="APU35"/>
      <sheetName val="APU36"/>
      <sheetName val="APU37"/>
      <sheetName val="APU38"/>
      <sheetName val="APU39"/>
      <sheetName val="APU40"/>
      <sheetName val="APU41"/>
      <sheetName val="APU42"/>
      <sheetName val="APU43"/>
      <sheetName val="APU44"/>
      <sheetName val="APU45"/>
      <sheetName val="APU46"/>
      <sheetName val="APU47"/>
      <sheetName val="APU48"/>
      <sheetName val="APU49"/>
      <sheetName val="APU50"/>
      <sheetName val="APU51"/>
      <sheetName val="APU52"/>
      <sheetName val="APU53"/>
      <sheetName val="APU54"/>
      <sheetName val="APU55"/>
      <sheetName val="APU56"/>
      <sheetName val="APU57"/>
      <sheetName val="APU58"/>
      <sheetName val="APU59"/>
      <sheetName val="APU60"/>
      <sheetName val="APU61"/>
      <sheetName val="APU62"/>
      <sheetName val="APU63"/>
      <sheetName val="APU64"/>
      <sheetName val="APU65"/>
      <sheetName val="APU66"/>
      <sheetName val="APU67"/>
      <sheetName val="APU68"/>
      <sheetName val="APU69"/>
      <sheetName val="APU70"/>
      <sheetName val="APU71"/>
      <sheetName val="APU72"/>
      <sheetName val="APU73"/>
      <sheetName val="APU74"/>
      <sheetName val="APU75"/>
      <sheetName val="APU76"/>
      <sheetName val="APU77"/>
      <sheetName val="APU78"/>
      <sheetName val="APU79"/>
      <sheetName val="APU80"/>
      <sheetName val="APU81"/>
      <sheetName val="APU82"/>
      <sheetName val="APU83"/>
      <sheetName val="APU84"/>
      <sheetName val="APU85"/>
      <sheetName val="APU86"/>
      <sheetName val="APU87"/>
      <sheetName val="APU88"/>
      <sheetName val="APU89"/>
      <sheetName val="APU90"/>
      <sheetName val="APU91"/>
      <sheetName val="APU92"/>
      <sheetName val="APU93"/>
      <sheetName val="APU94"/>
      <sheetName val="APU95"/>
      <sheetName val="APU96"/>
      <sheetName val="APU97"/>
      <sheetName val="APU98"/>
      <sheetName val="APU99"/>
      <sheetName val="APU100"/>
      <sheetName val="APU101"/>
      <sheetName val="APU102"/>
      <sheetName val="APU103"/>
      <sheetName val="APU104"/>
      <sheetName val="APU105"/>
      <sheetName val="APU106"/>
      <sheetName val="APU107"/>
      <sheetName val="APU108"/>
      <sheetName val="APU109"/>
      <sheetName val="APU110"/>
      <sheetName val="APU111"/>
    </sheetNames>
    <sheetDataSet>
      <sheetData sheetId="0">
        <row r="5">
          <cell r="A5" t="str">
            <v>APU1</v>
          </cell>
          <cell r="B5" t="str">
            <v>IMPRESIÓN SIN DISEÑO ANCHO 1.62m x 70gsm</v>
          </cell>
          <cell r="C5" t="str">
            <v>m</v>
          </cell>
          <cell r="D5">
            <v>0.97304718690742986</v>
          </cell>
        </row>
        <row r="6">
          <cell r="A6" t="str">
            <v>APU2</v>
          </cell>
          <cell r="B6" t="str">
            <v>IMPRESIÓN SIN DISEÑO ANCHO 1.62m x 90gsm</v>
          </cell>
          <cell r="C6" t="str">
            <v>m</v>
          </cell>
          <cell r="D6">
            <v>1.1330471869074299</v>
          </cell>
        </row>
        <row r="7">
          <cell r="A7" t="str">
            <v>APU3</v>
          </cell>
          <cell r="B7" t="str">
            <v>IMPRESIÓN SIN DISEÑO ANCHO 1.80m x 90gsm</v>
          </cell>
          <cell r="C7" t="str">
            <v>m</v>
          </cell>
          <cell r="D7">
            <v>1.387984064708671</v>
          </cell>
        </row>
        <row r="8">
          <cell r="A8" t="str">
            <v>APU4</v>
          </cell>
          <cell r="B8" t="str">
            <v>IMPRESIÓN SIN DISEÑO ANCHO 1.12m x 90gsm</v>
          </cell>
          <cell r="C8" t="str">
            <v>m</v>
          </cell>
          <cell r="D8">
            <v>0.83972037760416673</v>
          </cell>
        </row>
        <row r="9">
          <cell r="A9" t="str">
            <v>APU5</v>
          </cell>
          <cell r="B9" t="str">
            <v>BOLSO PUBLICITARIO YUNPAR| 35cmx40cm (100Uni)</v>
          </cell>
          <cell r="C9" t="str">
            <v>U</v>
          </cell>
          <cell r="D9">
            <v>1.9050669556373787</v>
          </cell>
        </row>
        <row r="10">
          <cell r="A10" t="str">
            <v>APU6</v>
          </cell>
          <cell r="B10" t="str">
            <v>MANDILES de COCINA LARGO 73.5cm todo Sublimado</v>
          </cell>
          <cell r="C10" t="str">
            <v>U</v>
          </cell>
          <cell r="D10">
            <v>5.2329964859342386</v>
          </cell>
        </row>
        <row r="11">
          <cell r="A11" t="str">
            <v>APU7</v>
          </cell>
          <cell r="B11" t="str">
            <v>Mandiles de cocina LARGO 73.5cm sublimado 33x23.5</v>
          </cell>
          <cell r="C11" t="str">
            <v>U</v>
          </cell>
          <cell r="D11">
            <v>4.7298522624773449</v>
          </cell>
        </row>
        <row r="12">
          <cell r="A12" t="str">
            <v>APU8</v>
          </cell>
          <cell r="B12" t="str">
            <v>CALANDRADO POR ROLLO (m)</v>
          </cell>
          <cell r="C12" t="str">
            <v>m</v>
          </cell>
          <cell r="D12">
            <v>0.43618594854335457</v>
          </cell>
        </row>
        <row r="13">
          <cell r="A13" t="str">
            <v>APU9</v>
          </cell>
          <cell r="B13" t="str">
            <v>A0064 CAMI ESTANDAR TXS-XL│ADULTO &amp; niños (33uni)</v>
          </cell>
          <cell r="C13" t="str">
            <v>U</v>
          </cell>
          <cell r="D13">
            <v>5.1825880653950787</v>
          </cell>
        </row>
        <row r="14">
          <cell r="A14" t="str">
            <v>APU10</v>
          </cell>
          <cell r="B14" t="str">
            <v>A0020 BVD ESTANDAR T32-42│NIÑOS│JOV (10)</v>
          </cell>
          <cell r="C14" t="str">
            <v>U</v>
          </cell>
          <cell r="D14">
            <v>5.2667094064813629</v>
          </cell>
        </row>
        <row r="15">
          <cell r="A15" t="str">
            <v>APU11</v>
          </cell>
          <cell r="B15" t="str">
            <v>A0020 CAMI ESTANDAR T32-42│NIÑOS│JOV (30uni)</v>
          </cell>
          <cell r="C15" t="str">
            <v>U</v>
          </cell>
          <cell r="D15">
            <v>5.0869638405925164</v>
          </cell>
        </row>
        <row r="16">
          <cell r="A16" t="str">
            <v>APU12</v>
          </cell>
          <cell r="B16" t="str">
            <v>A0020 CAMI ESTANDAR T32-42│NIÑOS│JOV (62uni)</v>
          </cell>
          <cell r="C16" t="str">
            <v>U</v>
          </cell>
          <cell r="D16">
            <v>4.758821713962667</v>
          </cell>
        </row>
        <row r="17">
          <cell r="A17" t="str">
            <v>APU13</v>
          </cell>
          <cell r="B17" t="str">
            <v>A0055 CAMI ECO TXS-XL│ADULTO (10 uni)</v>
          </cell>
          <cell r="C17" t="str">
            <v>U</v>
          </cell>
          <cell r="D17">
            <v>5.8241492475662033</v>
          </cell>
        </row>
        <row r="18">
          <cell r="A18" t="str">
            <v>APU14</v>
          </cell>
          <cell r="B18" t="str">
            <v>A0055 CAMI ECO TXS-XL│ADULTO (77 uni)</v>
          </cell>
          <cell r="C18" t="str">
            <v>U</v>
          </cell>
          <cell r="D18">
            <v>5.5762065992320329</v>
          </cell>
        </row>
        <row r="19">
          <cell r="A19" t="str">
            <v>APU15</v>
          </cell>
          <cell r="B19" t="str">
            <v>A0055 CAMI ECO TXS-XL│ADULTO (12 uni)</v>
          </cell>
          <cell r="C19" t="str">
            <v>U</v>
          </cell>
          <cell r="D19">
            <v>5.9701809139926452</v>
          </cell>
        </row>
        <row r="20">
          <cell r="A20" t="str">
            <v>APU16</v>
          </cell>
          <cell r="B20" t="str">
            <v>A0176 CAMI PUBLICITARIA TICKET TS-XL│ADULTO (25 uni)</v>
          </cell>
          <cell r="C20" t="str">
            <v>U</v>
          </cell>
          <cell r="D20">
            <v>3.9059055807013539</v>
          </cell>
        </row>
        <row r="21">
          <cell r="A21" t="str">
            <v>APU17</v>
          </cell>
          <cell r="B21" t="str">
            <v>A0055 CAMI ECO TXS-XL│ADULTO (11 uni)</v>
          </cell>
          <cell r="C21" t="str">
            <v>U</v>
          </cell>
          <cell r="D21">
            <v>6.440183870022782</v>
          </cell>
        </row>
        <row r="22">
          <cell r="A22" t="str">
            <v>APU18</v>
          </cell>
          <cell r="B22" t="str">
            <v>A0237 CAMI ALGODÓN TXS-XL│ADULTO (13uni)</v>
          </cell>
          <cell r="C22" t="str">
            <v>U</v>
          </cell>
          <cell r="D22">
            <v>7.8862194412516411</v>
          </cell>
        </row>
        <row r="23">
          <cell r="A23" t="str">
            <v>APU19</v>
          </cell>
          <cell r="B23" t="str">
            <v>A0197 UNIF ESTANDAR BUZO TXS-XL│ADULTO (20.5u)</v>
          </cell>
          <cell r="C23" t="str">
            <v>U</v>
          </cell>
          <cell r="D23">
            <v>14.272456723574113</v>
          </cell>
        </row>
        <row r="24">
          <cell r="A24" t="str">
            <v>APU20</v>
          </cell>
          <cell r="B24" t="str">
            <v>A0197 UNIF ESTANDAR BUZO TXS-XL│ADULTO (8Uni)</v>
          </cell>
          <cell r="C24" t="str">
            <v>U</v>
          </cell>
          <cell r="D24">
            <v>14.131277007479357</v>
          </cell>
        </row>
        <row r="25">
          <cell r="A25" t="str">
            <v>APU21</v>
          </cell>
          <cell r="B25" t="str">
            <v>A0037 UNIF ESTANDAR TXS-XL│ADULTO (13u)</v>
          </cell>
          <cell r="C25" t="str">
            <v>U</v>
          </cell>
          <cell r="D25">
            <v>12.95223483958271</v>
          </cell>
        </row>
        <row r="26">
          <cell r="A26" t="str">
            <v>APU22</v>
          </cell>
          <cell r="B26" t="str">
            <v>A0037 UNIF ESTANDAR TXS-XL│ADULTO (30.5 uni)</v>
          </cell>
          <cell r="C26" t="str">
            <v>U</v>
          </cell>
          <cell r="D26">
            <v>13.963056406729267</v>
          </cell>
        </row>
        <row r="27">
          <cell r="A27" t="str">
            <v>APU23</v>
          </cell>
          <cell r="B27" t="str">
            <v>A0037 UNIF ESTANDAR TXS-XL│ADULTO (15 uni)</v>
          </cell>
          <cell r="C27" t="str">
            <v>U</v>
          </cell>
          <cell r="D27">
            <v>13.659707954087194</v>
          </cell>
        </row>
        <row r="28">
          <cell r="A28" t="str">
            <v>APU24</v>
          </cell>
          <cell r="B28" t="str">
            <v>A0037 UNIF ESTANDAR TXS-XL│ADULTO (14 uni)</v>
          </cell>
          <cell r="C28" t="str">
            <v>U</v>
          </cell>
          <cell r="D28">
            <v>13.454368439041264</v>
          </cell>
        </row>
        <row r="29">
          <cell r="A29" t="str">
            <v>APU25</v>
          </cell>
          <cell r="B29" t="str">
            <v>A0046 UNIF PREMIUN TXS-XL│ADULTO (55 Uni) PASAJE ARMADO</v>
          </cell>
          <cell r="C29" t="str">
            <v>U</v>
          </cell>
          <cell r="D29">
            <v>14.39300981903882</v>
          </cell>
        </row>
        <row r="30">
          <cell r="A30" t="str">
            <v>APU26</v>
          </cell>
          <cell r="B30" t="str">
            <v>A0037 UNIF ESTANDAR TXS-XL│ADULTO (11 uni) BASKET PASAJE ARMADO</v>
          </cell>
          <cell r="C30" t="str">
            <v>U</v>
          </cell>
          <cell r="D30">
            <v>12.675067723237976</v>
          </cell>
        </row>
        <row r="31">
          <cell r="A31" t="str">
            <v>APU27</v>
          </cell>
          <cell r="B31" t="str">
            <v>A0073 CAMI PREMIUN TXS-XL│ADULTO (13Uni) BARZA</v>
          </cell>
          <cell r="C31" t="str">
            <v>U</v>
          </cell>
          <cell r="D31">
            <v>6.5806986412833428</v>
          </cell>
        </row>
        <row r="32">
          <cell r="A32" t="str">
            <v>APU28</v>
          </cell>
          <cell r="B32" t="str">
            <v>A0046 UNIF PREMIUN TXS-XL│ADULTO (24 uni) BARZA</v>
          </cell>
          <cell r="C32" t="str">
            <v>U</v>
          </cell>
          <cell r="D32">
            <v>14.664744286532082</v>
          </cell>
        </row>
        <row r="33">
          <cell r="A33" t="str">
            <v>APU29</v>
          </cell>
          <cell r="B33" t="str">
            <v>A0046 UNIF PREMIUN TXS-XL│ADULTO (6.5 uni) BARZA</v>
          </cell>
          <cell r="C33" t="str">
            <v>U</v>
          </cell>
          <cell r="D33">
            <v>15.651411708918374</v>
          </cell>
        </row>
        <row r="34">
          <cell r="A34" t="str">
            <v>APU30</v>
          </cell>
          <cell r="B34" t="str">
            <v>A0046 UNIF PREMIUN TXS-XL│ADULTO (12 uni) FORTALEZA</v>
          </cell>
          <cell r="C34" t="str">
            <v>U</v>
          </cell>
          <cell r="D34">
            <v>14.817521319956228</v>
          </cell>
        </row>
        <row r="35">
          <cell r="A35" t="str">
            <v>APU31</v>
          </cell>
          <cell r="B35" t="str">
            <v>A0037 UNIF ESTANDAR basket TXS-XL│ADULTO(30uni)</v>
          </cell>
          <cell r="C35" t="str">
            <v>U</v>
          </cell>
          <cell r="D35">
            <v>12.461674926434904</v>
          </cell>
        </row>
        <row r="36">
          <cell r="A36" t="str">
            <v>APU32</v>
          </cell>
          <cell r="B36" t="str">
            <v>BVD ESTANDAR TXS-XL│ADULTO</v>
          </cell>
          <cell r="C36" t="str">
            <v>U</v>
          </cell>
          <cell r="D36">
            <v>7.6376966817925958</v>
          </cell>
        </row>
        <row r="37">
          <cell r="A37" t="str">
            <v>APU33</v>
          </cell>
          <cell r="B37" t="str">
            <v>A0091 PANT ESTANDAR BASKET TXS-XL│ADULTO (31Uni)</v>
          </cell>
          <cell r="C37" t="str">
            <v>U</v>
          </cell>
          <cell r="D37">
            <v>5.4471181168508007</v>
          </cell>
        </row>
        <row r="38">
          <cell r="A38" t="str">
            <v>APU34</v>
          </cell>
          <cell r="B38" t="str">
            <v>A0055 ESTANDAR basket TXS-XL│ADULTO(11uni)</v>
          </cell>
          <cell r="C38" t="str">
            <v>U</v>
          </cell>
          <cell r="D38">
            <v>6.6463682018002919</v>
          </cell>
        </row>
        <row r="39">
          <cell r="A39" t="str">
            <v>APU35</v>
          </cell>
          <cell r="B39" t="str">
            <v>A0046 UNIF PREMIUN TXS-XL│ADULTO (12 uni) FORTALEZA</v>
          </cell>
          <cell r="C39" t="str">
            <v>U</v>
          </cell>
          <cell r="D39">
            <v>13.843012308135096</v>
          </cell>
        </row>
        <row r="40">
          <cell r="A40" t="str">
            <v>APU36</v>
          </cell>
          <cell r="B40" t="str">
            <v>A0164 CHALECO DE ENTRENAMIENTO (Talla 34)</v>
          </cell>
          <cell r="C40" t="str">
            <v>U</v>
          </cell>
          <cell r="D40">
            <v>5.3665936291308496</v>
          </cell>
        </row>
        <row r="41">
          <cell r="A41" t="str">
            <v>APU37</v>
          </cell>
          <cell r="B41" t="str">
            <v>A0164 CHALECO DE ENTRENAMIENTO (Talla 40-42) Tela 0.95cm tubular</v>
          </cell>
          <cell r="C41" t="str">
            <v>U</v>
          </cell>
          <cell r="D41">
            <v>6.2141421599656601</v>
          </cell>
        </row>
        <row r="42">
          <cell r="A42" t="str">
            <v>APU38</v>
          </cell>
          <cell r="B42" t="str">
            <v>A0164 CHALECO DE ENTRENAMIENTO tipo BVD (Talla L-XL)</v>
          </cell>
          <cell r="C42" t="str">
            <v>U</v>
          </cell>
          <cell r="D42">
            <v>5.8076165404079036</v>
          </cell>
        </row>
        <row r="43">
          <cell r="A43" t="str">
            <v>APU39</v>
          </cell>
          <cell r="B43" t="str">
            <v>A0164 CHALECO DE ENTRENAMIENTO tipo BVD (Todas las tallas)</v>
          </cell>
          <cell r="C43" t="str">
            <v>U</v>
          </cell>
          <cell r="D43">
            <v>5.6136818270568831</v>
          </cell>
        </row>
        <row r="44">
          <cell r="A44" t="str">
            <v>APU40</v>
          </cell>
          <cell r="B44" t="str">
            <v>A0046 UNIF PREMIUN TXS-XL│ADULTO (20 Uni) Ranglan Redondo</v>
          </cell>
          <cell r="C44" t="str">
            <v>U</v>
          </cell>
          <cell r="D44">
            <v>14.881467957251804</v>
          </cell>
        </row>
        <row r="45">
          <cell r="A45" t="str">
            <v>APU41</v>
          </cell>
          <cell r="B45" t="str">
            <v>A0037 UNIF ESTANDAR TXS-XL│ADULTO (9 Uni)</v>
          </cell>
          <cell r="C45" t="str">
            <v>U</v>
          </cell>
          <cell r="D45">
            <v>14.114263061551776</v>
          </cell>
        </row>
        <row r="46">
          <cell r="A46" t="str">
            <v>APU42</v>
          </cell>
          <cell r="B46" t="str">
            <v>A0037 UNIF ESTANDAR TXS-XL│ADULTO (33 Uni)</v>
          </cell>
          <cell r="C46" t="str">
            <v>U</v>
          </cell>
          <cell r="D46">
            <v>13.265909658444285</v>
          </cell>
        </row>
        <row r="47">
          <cell r="A47" t="str">
            <v>APU43</v>
          </cell>
          <cell r="B47" t="str">
            <v>A0037 UNIF ESTANDAR TXS-XL│ADULTO (15 Uni)</v>
          </cell>
          <cell r="C47" t="str">
            <v>U</v>
          </cell>
          <cell r="D47">
            <v>13.492666813725902</v>
          </cell>
        </row>
        <row r="48">
          <cell r="A48" t="str">
            <v>APU44</v>
          </cell>
          <cell r="B48" t="str">
            <v>A0064 CAMI ESTANDAR TXS-XL│ADULTO (29 Uni)</v>
          </cell>
          <cell r="C48" t="str">
            <v>U</v>
          </cell>
          <cell r="D48">
            <v>5.8509286444062827</v>
          </cell>
        </row>
        <row r="49">
          <cell r="A49" t="str">
            <v>APU45</v>
          </cell>
          <cell r="B49" t="str">
            <v>A0091 PANT ESTANDAR TXS-XL│ADULTO (33 Uni)</v>
          </cell>
          <cell r="C49" t="str">
            <v>U</v>
          </cell>
          <cell r="D49">
            <v>5.3128028290720213</v>
          </cell>
        </row>
        <row r="50">
          <cell r="A50" t="str">
            <v>APU46</v>
          </cell>
          <cell r="B50" t="str">
            <v>A0137 CAMI POLO TELA DEPORTIVA TXS-XL | SUBLI (27uni)</v>
          </cell>
          <cell r="C50" t="str">
            <v>U</v>
          </cell>
          <cell r="D50">
            <v>8.2877775804676634</v>
          </cell>
        </row>
        <row r="51">
          <cell r="A51" t="str">
            <v>APU47</v>
          </cell>
          <cell r="B51" t="str">
            <v>A0211 CHOMPA SUBLIMADA TXS-XL│ADULTO (27uni)</v>
          </cell>
          <cell r="C51" t="str">
            <v>U</v>
          </cell>
          <cell r="D51">
            <v>16.393486230854098</v>
          </cell>
        </row>
        <row r="52">
          <cell r="A52" t="str">
            <v>APU48</v>
          </cell>
          <cell r="B52" t="str">
            <v>A0481 CALENTADOR SUBLI|TXS-XL│ADULTO (27uni)</v>
          </cell>
          <cell r="C52" t="str">
            <v>U</v>
          </cell>
          <cell r="D52">
            <v>13.818293990825911</v>
          </cell>
        </row>
        <row r="53">
          <cell r="A53" t="str">
            <v>APU49</v>
          </cell>
          <cell r="B53" t="str">
            <v>A0211 CHOMPA SUBLIMADA RANGLAN NICO TXS-XL│ADULTO (3uni)</v>
          </cell>
          <cell r="C53" t="str">
            <v>U</v>
          </cell>
          <cell r="D53">
            <v>21.077714973237875</v>
          </cell>
        </row>
        <row r="54">
          <cell r="A54" t="str">
            <v>APU50</v>
          </cell>
          <cell r="B54" t="str">
            <v>A0477 CHOMPA SUBLIMADA|T38-42|JOVEN</v>
          </cell>
          <cell r="C54" t="str">
            <v>U</v>
          </cell>
          <cell r="D54">
            <v>16.387402376350209</v>
          </cell>
        </row>
        <row r="55">
          <cell r="A55" t="str">
            <v>APU51</v>
          </cell>
          <cell r="B55" t="str">
            <v>A0211 CHOMPA ESCOLAR Vioto CARMEN MORA TXS-XL│ADULTO (36uni)</v>
          </cell>
          <cell r="C55" t="str">
            <v>U</v>
          </cell>
          <cell r="D55">
            <v>16.984828186256802</v>
          </cell>
        </row>
        <row r="56">
          <cell r="A56" t="str">
            <v>APU52</v>
          </cell>
          <cell r="B56" t="str">
            <v>CALENTADOR Carmen Mora TXS-XL│ADULTO (24uni)</v>
          </cell>
          <cell r="C56" t="str">
            <v>U</v>
          </cell>
          <cell r="D56">
            <v>9.743039950704512</v>
          </cell>
        </row>
        <row r="57">
          <cell r="A57" t="str">
            <v>APU53</v>
          </cell>
          <cell r="B57" t="str">
            <v>A0211 CHOMPA SUBLIMADA NICO TXS-XL│ADULTO (5uni)</v>
          </cell>
          <cell r="C57" t="str">
            <v>U</v>
          </cell>
          <cell r="D57">
            <v>18.019054478965966</v>
          </cell>
        </row>
        <row r="58">
          <cell r="A58" t="str">
            <v>APU54</v>
          </cell>
          <cell r="B58" t="str">
            <v>CALENTADOR NICO SPORT TXS-XL│ADULTO (6uni)</v>
          </cell>
          <cell r="C58" t="str">
            <v>U</v>
          </cell>
          <cell r="D58">
            <v>15.696063269243071</v>
          </cell>
        </row>
        <row r="59">
          <cell r="A59" t="str">
            <v>APU55</v>
          </cell>
          <cell r="B59" t="str">
            <v>BODYS MANGA LARGA T32-T42</v>
          </cell>
          <cell r="C59" t="str">
            <v>U</v>
          </cell>
          <cell r="D59">
            <v>5.626626865600727</v>
          </cell>
        </row>
        <row r="60">
          <cell r="A60" t="str">
            <v>APU56</v>
          </cell>
          <cell r="B60" t="str">
            <v>CAMI POLO PIKE|TXS-XL|BORDADO (43uni)</v>
          </cell>
          <cell r="C60" t="str">
            <v>U</v>
          </cell>
          <cell r="D60">
            <v>11.545903837645639</v>
          </cell>
        </row>
        <row r="61">
          <cell r="A61" t="str">
            <v>APU57</v>
          </cell>
          <cell r="B61" t="str">
            <v>CAMI POLO PIKE|TXS-XL|BORDADO (90uni)</v>
          </cell>
          <cell r="C61" t="str">
            <v>U</v>
          </cell>
          <cell r="D61">
            <v>11.1961531706327</v>
          </cell>
        </row>
        <row r="62">
          <cell r="A62" t="str">
            <v>APU58</v>
          </cell>
          <cell r="B62" t="str">
            <v>A0230 CAMI POLO|PIKE|BLANCA|TXS-XL|DTF LOGO</v>
          </cell>
          <cell r="C62" t="str">
            <v>U</v>
          </cell>
          <cell r="D62">
            <v>8.5894655334113441</v>
          </cell>
        </row>
        <row r="63">
          <cell r="A63" t="str">
            <v>APU59</v>
          </cell>
          <cell r="B63" t="str">
            <v>CAMI POLO ALGODON|TXS-XL|BORDADO (24uni)</v>
          </cell>
          <cell r="C63" t="str">
            <v>U</v>
          </cell>
          <cell r="D63">
            <v>11.033843169222791</v>
          </cell>
        </row>
        <row r="64">
          <cell r="A64" t="str">
            <v>APU60</v>
          </cell>
          <cell r="B64" t="str">
            <v>A0237 CAMI ALGODÓN TXS-XL│ADULTO (8uni)</v>
          </cell>
          <cell r="C64" t="str">
            <v>U</v>
          </cell>
          <cell r="D64">
            <v>7.4567673962728644</v>
          </cell>
        </row>
        <row r="65">
          <cell r="A65" t="str">
            <v>APU61</v>
          </cell>
          <cell r="B65" t="str">
            <v>A0037 UNIF ESTANDAR TXS-XL│ADULTO (18uni)</v>
          </cell>
          <cell r="C65" t="str">
            <v>U</v>
          </cell>
          <cell r="D65">
            <v>14.041510650037889</v>
          </cell>
        </row>
        <row r="66">
          <cell r="A66" t="str">
            <v>APU62</v>
          </cell>
          <cell r="B66" t="str">
            <v>A0028 UNIF ECO TXS-XL│ADULTO (20uni)</v>
          </cell>
          <cell r="C66" t="str">
            <v>U</v>
          </cell>
          <cell r="D66">
            <v>10.190473696990129</v>
          </cell>
        </row>
        <row r="67">
          <cell r="A67" t="str">
            <v>APU63</v>
          </cell>
          <cell r="B67" t="str">
            <v>A0017 UNIF ESTANDAR T32-42│NIÑOS│JOV(35uni)</v>
          </cell>
          <cell r="C67" t="str">
            <v>U</v>
          </cell>
          <cell r="D67">
            <v>12.39021433289877</v>
          </cell>
        </row>
        <row r="68">
          <cell r="A68" t="str">
            <v>APU64</v>
          </cell>
          <cell r="B68" t="str">
            <v>A0037 UNIF STANDAR TXS-XL│ADULTO (22uni)</v>
          </cell>
          <cell r="C68" t="str">
            <v>U</v>
          </cell>
          <cell r="D68">
            <v>12.527533651864688</v>
          </cell>
        </row>
        <row r="69">
          <cell r="A69" t="str">
            <v>APU65</v>
          </cell>
          <cell r="B69" t="str">
            <v>A0064 CAMI ESTANDAR TXS-XL│ADULTO (25uni)</v>
          </cell>
          <cell r="C69" t="str">
            <v>U</v>
          </cell>
          <cell r="D69">
            <v>6.1531968817716152</v>
          </cell>
        </row>
        <row r="70">
          <cell r="A70" t="str">
            <v>APU66</v>
          </cell>
          <cell r="B70" t="str">
            <v>A0019 CAMI ECO T32-42│NIÑOS│JOV (91 uni) Subli Frente</v>
          </cell>
          <cell r="C70" t="str">
            <v>U</v>
          </cell>
          <cell r="D70">
            <v>3.7754707124983886</v>
          </cell>
        </row>
        <row r="71">
          <cell r="A71" t="str">
            <v>APU67</v>
          </cell>
          <cell r="B71" t="str">
            <v>A0215 TELA SUBLIMADA (1metro)</v>
          </cell>
          <cell r="C71" t="str">
            <v>U</v>
          </cell>
          <cell r="D71">
            <v>8.7204384724736173</v>
          </cell>
        </row>
        <row r="72">
          <cell r="A72" t="str">
            <v>APU68</v>
          </cell>
          <cell r="B72" t="str">
            <v>A0073 CAMI PREMIUN JERSEY TXS-XL│ADULTO (4uni)</v>
          </cell>
          <cell r="C72" t="str">
            <v>U</v>
          </cell>
          <cell r="D72">
            <v>8.5696819040477124</v>
          </cell>
        </row>
        <row r="73">
          <cell r="A73" t="str">
            <v>APU69</v>
          </cell>
          <cell r="B73" t="str">
            <v>A0137 CAMI POLO TODO TELA DEPORTIVA TXS-XL | SUBLI (3uni)</v>
          </cell>
          <cell r="C73" t="str">
            <v>U</v>
          </cell>
          <cell r="D73">
            <v>7.7567278565527475</v>
          </cell>
        </row>
        <row r="74">
          <cell r="A74" t="str">
            <v>APU70</v>
          </cell>
          <cell r="B74" t="str">
            <v>A0174 UNIF 26 SHORT FALDA ESTANDAR T32-42│NIÑOS│JOV (28uni)</v>
          </cell>
          <cell r="C74" t="str">
            <v>U</v>
          </cell>
          <cell r="D74">
            <v>12.017475409374878</v>
          </cell>
        </row>
        <row r="75">
          <cell r="A75" t="str">
            <v>APU71</v>
          </cell>
          <cell r="B75" t="str">
            <v>A0174 UNIF ESTANDAR 22 FALDAS SHORT 1-8 campana (28uni)</v>
          </cell>
          <cell r="C75" t="str">
            <v>U</v>
          </cell>
          <cell r="D75">
            <v>11.995245977645425</v>
          </cell>
        </row>
        <row r="76">
          <cell r="A76" t="str">
            <v>APU72</v>
          </cell>
          <cell r="B76" t="str">
            <v>A0480 CALENTADOR SUBLI|T38-42|JOVEN (22uni)</v>
          </cell>
          <cell r="C76" t="str">
            <v>U</v>
          </cell>
          <cell r="D76">
            <v>9.4398714120477258</v>
          </cell>
        </row>
        <row r="77">
          <cell r="A77" t="str">
            <v>APU73</v>
          </cell>
          <cell r="B77" t="str">
            <v>CHALECO SUBLIMADO PRADA LISA TXS-XL│ADULTO (12uni)</v>
          </cell>
          <cell r="C77" t="str">
            <v>U</v>
          </cell>
          <cell r="D77">
            <v>22.034960778410021</v>
          </cell>
        </row>
        <row r="78">
          <cell r="A78" t="str">
            <v>APU74</v>
          </cell>
          <cell r="B78" t="str">
            <v>A0146 BUZO POLO TELA DEPORTIVA TXS-XL│SUBLI (12Uni)</v>
          </cell>
          <cell r="C78" t="str">
            <v>U</v>
          </cell>
          <cell r="D78">
            <v>10.142387084139578</v>
          </cell>
        </row>
        <row r="79">
          <cell r="A79" t="str">
            <v>APU75</v>
          </cell>
          <cell r="B79" t="str">
            <v>A0017 UNIF ESTANDAR T32-42│NIÑOS│JOV (100uni) DTF</v>
          </cell>
          <cell r="C79" t="str">
            <v>U</v>
          </cell>
          <cell r="D79">
            <v>12.662497759929659</v>
          </cell>
        </row>
        <row r="80">
          <cell r="A80" t="str">
            <v>APU76</v>
          </cell>
          <cell r="B80" t="str">
            <v>A0017 UNIF ESTANDAR T32-42│NIÑOS│JOV(97uni)</v>
          </cell>
          <cell r="C80" t="str">
            <v>U</v>
          </cell>
          <cell r="D80">
            <v>11.641125109183196</v>
          </cell>
        </row>
        <row r="81">
          <cell r="A81" t="str">
            <v>APU77</v>
          </cell>
          <cell r="B81" t="str">
            <v>A0046 UNIF PREMIUN TXS-XL│ADULTO (22Uni) Murray</v>
          </cell>
          <cell r="C81" t="str">
            <v>U</v>
          </cell>
          <cell r="D81">
            <v>13.228144981484389</v>
          </cell>
        </row>
        <row r="82">
          <cell r="A82" t="str">
            <v>APU78</v>
          </cell>
          <cell r="B82" t="str">
            <v>A0046 UNIF PREMIUN TXS-XL│ADULTO (22uni) Jersey</v>
          </cell>
          <cell r="C82" t="str">
            <v>U</v>
          </cell>
          <cell r="D82">
            <v>14.521739422400277</v>
          </cell>
        </row>
        <row r="83">
          <cell r="A83" t="str">
            <v>APU79</v>
          </cell>
          <cell r="B83" t="str">
            <v>A0064 CAMI ESTANDAR TXS-XL│ADULTO (33 Uni)</v>
          </cell>
          <cell r="C83" t="str">
            <v>U</v>
          </cell>
          <cell r="D83">
            <v>6.228198614616006</v>
          </cell>
        </row>
        <row r="84">
          <cell r="A84" t="str">
            <v>APU80</v>
          </cell>
          <cell r="B84" t="str">
            <v>A0091 PANT ESTANDAR TXS-XL│ADULTO (22 Uni)</v>
          </cell>
          <cell r="C84" t="str">
            <v>U</v>
          </cell>
          <cell r="D84">
            <v>5.4215804998632686</v>
          </cell>
        </row>
        <row r="85">
          <cell r="A85" t="str">
            <v>APU81</v>
          </cell>
          <cell r="B85" t="str">
            <v>A0299 CAMI PUBLICITARIA |PANAL| TICKET T30-42│NIÑOS (100 Uni)</v>
          </cell>
          <cell r="C85" t="str">
            <v>U</v>
          </cell>
          <cell r="D85">
            <v>3.2350986743541181</v>
          </cell>
        </row>
        <row r="86">
          <cell r="A86" t="str">
            <v>APU82</v>
          </cell>
          <cell r="B86" t="str">
            <v>A0020 CAMI ESTANDAR T32-42│NIÑOS│JOV (100uni)</v>
          </cell>
          <cell r="C86" t="str">
            <v>U</v>
          </cell>
          <cell r="D86">
            <v>5.6755072182676578</v>
          </cell>
        </row>
        <row r="87">
          <cell r="A87" t="str">
            <v>APU83</v>
          </cell>
          <cell r="B87" t="str">
            <v>A0082 PANT ECO TXS-XL│ADULTO (20 Uni)</v>
          </cell>
          <cell r="C87" t="str">
            <v>U</v>
          </cell>
          <cell r="D87">
            <v>3.5682668938669919</v>
          </cell>
        </row>
        <row r="88">
          <cell r="A88" t="str">
            <v>APU84</v>
          </cell>
          <cell r="B88" t="str">
            <v>A0020 CAMI ESTANDAR T26-30│NIÑOS (12uni)</v>
          </cell>
          <cell r="C88" t="str">
            <v>U</v>
          </cell>
          <cell r="D88">
            <v>4.9896259631045909</v>
          </cell>
        </row>
        <row r="89">
          <cell r="A89" t="str">
            <v>APU85</v>
          </cell>
          <cell r="B89" t="str">
            <v>A0297 CAMI PUBLICITARIA |PANAL| TICKETS T26-30│NIÑOS (12 Uni)</v>
          </cell>
          <cell r="C89" t="str">
            <v>U</v>
          </cell>
          <cell r="D89">
            <v>2.5897959993005402</v>
          </cell>
        </row>
        <row r="90">
          <cell r="A90" t="str">
            <v>APU86</v>
          </cell>
          <cell r="B90" t="str">
            <v>A0180 CAMI POLO TELA DEPORTIVA T26-30│NIÑO|SUBLI</v>
          </cell>
          <cell r="C90" t="str">
            <v>U</v>
          </cell>
          <cell r="D90">
            <v>7.6000490966978935</v>
          </cell>
        </row>
        <row r="91">
          <cell r="A91" t="str">
            <v>APU87</v>
          </cell>
          <cell r="B91" t="str">
            <v>A0118 BUZO ESTANDAR TXS-XL│ADULTO</v>
          </cell>
          <cell r="C91" t="str">
            <v>U</v>
          </cell>
          <cell r="D91">
            <v>7.6039390627097889</v>
          </cell>
        </row>
        <row r="92">
          <cell r="A92" t="str">
            <v>APU88</v>
          </cell>
          <cell r="B92" t="str">
            <v>A0082 PANT ECO TXS-XL│ADULTO (22 Uni)</v>
          </cell>
          <cell r="C92" t="str">
            <v>U</v>
          </cell>
          <cell r="D92">
            <v>4.1854471468931589</v>
          </cell>
        </row>
        <row r="93">
          <cell r="A93" t="str">
            <v>APU89</v>
          </cell>
          <cell r="B93" t="str">
            <v>A0017 UNIF|ESTANDAR|T32-36│NIÑOS (26Uni)</v>
          </cell>
          <cell r="C93" t="str">
            <v>U</v>
          </cell>
          <cell r="D93">
            <v>10.690031131284949</v>
          </cell>
        </row>
        <row r="94">
          <cell r="A94" t="str">
            <v>APU90</v>
          </cell>
          <cell r="B94" t="str">
            <v>A0022 PANT ECO T32-36|NIÑOS</v>
          </cell>
          <cell r="C94" t="str">
            <v>U</v>
          </cell>
          <cell r="D94">
            <v>2.1643934447907451</v>
          </cell>
        </row>
        <row r="95">
          <cell r="A95" t="str">
            <v>APU91</v>
          </cell>
          <cell r="B95" t="str">
            <v>A0023 PANT ESTANDAR T32-36|NIÑOS</v>
          </cell>
          <cell r="C95" t="str">
            <v>U</v>
          </cell>
          <cell r="D95">
            <v>4.2449568762724468</v>
          </cell>
        </row>
        <row r="96">
          <cell r="A96" t="str">
            <v>APU92</v>
          </cell>
          <cell r="B96" t="str">
            <v>A0019 CAMI ECO T32-36│NIÑOS</v>
          </cell>
          <cell r="C96" t="str">
            <v>U</v>
          </cell>
          <cell r="D96">
            <v>4.7729885142473192</v>
          </cell>
        </row>
        <row r="97">
          <cell r="A97" t="str">
            <v>APU93</v>
          </cell>
          <cell r="B97" t="str">
            <v>A0423 UNIF|ESTANDAR|T38-42|JOVEN (41Uni)</v>
          </cell>
          <cell r="C97" t="str">
            <v>U</v>
          </cell>
          <cell r="D97">
            <v>12.765820062607867</v>
          </cell>
        </row>
        <row r="98">
          <cell r="A98" t="str">
            <v>APU94</v>
          </cell>
          <cell r="B98" t="str">
            <v>A0091 PANT|ESTANDAR TXS-XL│ADULTO|JOV (41Uni)</v>
          </cell>
          <cell r="C98" t="str">
            <v>U</v>
          </cell>
          <cell r="D98">
            <v>5.2748659979430998</v>
          </cell>
        </row>
        <row r="99">
          <cell r="A99" t="str">
            <v>APU95</v>
          </cell>
          <cell r="B99" t="str">
            <v>A0082 PANT|ECO|TXS-XL│ADULTO</v>
          </cell>
          <cell r="C99" t="str">
            <v>U</v>
          </cell>
          <cell r="D99">
            <v>3.401455030054906</v>
          </cell>
        </row>
        <row r="100">
          <cell r="A100" t="str">
            <v>APU96</v>
          </cell>
          <cell r="B100" t="str">
            <v>A0424 UNIF|PREMIUM|T38-42│JOV (41Uni)</v>
          </cell>
          <cell r="C100" t="str">
            <v>U</v>
          </cell>
          <cell r="D100">
            <v>13.525593488518473</v>
          </cell>
        </row>
        <row r="101">
          <cell r="A101" t="str">
            <v>APU97</v>
          </cell>
          <cell r="B101" t="str">
            <v>A0440 CHALECO ZAFARI|TS-XL|CINTA REFLECTIVA</v>
          </cell>
          <cell r="C101" t="str">
            <v>U</v>
          </cell>
          <cell r="D101">
            <v>19.953063060638435</v>
          </cell>
        </row>
        <row r="102">
          <cell r="A102" t="str">
            <v>APU98</v>
          </cell>
          <cell r="B102" t="str">
            <v>A0449 CHALECO VIVIADO|TS-XL│ADULTO</v>
          </cell>
          <cell r="C102" t="str">
            <v>U</v>
          </cell>
          <cell r="D102">
            <v>22.213122436862292</v>
          </cell>
        </row>
        <row r="103">
          <cell r="A103" t="str">
            <v>APU99</v>
          </cell>
          <cell r="B103" t="str">
            <v>A0008 CAMI ESTANDAR T26-30|NIÑOS (12Uni)</v>
          </cell>
          <cell r="C103" t="str">
            <v>U</v>
          </cell>
          <cell r="D103">
            <v>4.3588102869329353</v>
          </cell>
        </row>
        <row r="104">
          <cell r="A104" t="str">
            <v>APU100</v>
          </cell>
          <cell r="B104" t="str">
            <v>A0011 PANT|ESTANDAR T26-30|NIÑOS(12 Uni)</v>
          </cell>
          <cell r="C104" t="str">
            <v>U</v>
          </cell>
          <cell r="D104">
            <v>3.9878473677355459</v>
          </cell>
        </row>
        <row r="105">
          <cell r="A105" t="str">
            <v>APU101</v>
          </cell>
          <cell r="B105" t="str">
            <v>A0010 PANT|ECO|T26-30|NIÑOS (12 Uni)</v>
          </cell>
          <cell r="C105" t="str">
            <v>U</v>
          </cell>
          <cell r="D105">
            <v>3.6261031570444371</v>
          </cell>
        </row>
        <row r="106">
          <cell r="A106" t="str">
            <v>APU102</v>
          </cell>
          <cell r="B106" t="str">
            <v>A0466 CAMI MAO|TXS-XL |SUBLI (4Uni)</v>
          </cell>
          <cell r="C106" t="str">
            <v>U</v>
          </cell>
          <cell r="D106">
            <v>9.2095322536692645</v>
          </cell>
        </row>
        <row r="107">
          <cell r="A107" t="str">
            <v>APU103</v>
          </cell>
          <cell r="B107" t="str">
            <v>A0466 CAMI MAO|TXS-XL |SUBLI (12Uni)</v>
          </cell>
          <cell r="C107" t="str">
            <v>U</v>
          </cell>
          <cell r="D107">
            <v>9.7789121411045894</v>
          </cell>
        </row>
        <row r="108">
          <cell r="A108" t="str">
            <v>APU104</v>
          </cell>
          <cell r="B108" t="str">
            <v>CAPA DE NARUTO con cuello MAO</v>
          </cell>
          <cell r="C108" t="str">
            <v>U</v>
          </cell>
          <cell r="D108">
            <v>16.671065817552684</v>
          </cell>
        </row>
        <row r="109">
          <cell r="A109" t="str">
            <v>APU105</v>
          </cell>
          <cell r="B109" t="str">
            <v>BOLSO PUBLICITARIO YUNPAR| CON BOLSILLO (2Uni)</v>
          </cell>
          <cell r="C109" t="str">
            <v>U</v>
          </cell>
          <cell r="D109">
            <v>9.9919447319670525</v>
          </cell>
        </row>
        <row r="110">
          <cell r="A110" t="str">
            <v>APU106</v>
          </cell>
          <cell r="B110" t="str">
            <v>CINTAS PARA VARONES/NIÑOS</v>
          </cell>
          <cell r="C110" t="str">
            <v>U</v>
          </cell>
          <cell r="D110">
            <v>5.4471237240661461</v>
          </cell>
        </row>
        <row r="111">
          <cell r="A111" t="str">
            <v>APU107</v>
          </cell>
          <cell r="B111" t="str">
            <v>CINTAS PARA MADRINA|ADULTOS</v>
          </cell>
          <cell r="C111" t="str">
            <v>U</v>
          </cell>
          <cell r="D111">
            <v>5.9746914037573857</v>
          </cell>
        </row>
        <row r="112">
          <cell r="A112" t="str">
            <v>APU108</v>
          </cell>
          <cell r="B112" t="str">
            <v>UNIF|ESTANDAR|FALDA DOBLE VUELO|T38-42|JOVEN (9uni)</v>
          </cell>
          <cell r="C112" t="str">
            <v>U</v>
          </cell>
          <cell r="D112">
            <v>5.7395562464954013</v>
          </cell>
        </row>
        <row r="113">
          <cell r="A113" t="str">
            <v>APU109</v>
          </cell>
          <cell r="B113" t="str">
            <v>A0037 UNIF ESTANDAR TXS-XL│ADULTO + BOLSO(40 Uni)</v>
          </cell>
          <cell r="C113" t="str">
            <v>U</v>
          </cell>
          <cell r="D113">
            <v>15.650950181040383</v>
          </cell>
        </row>
        <row r="114">
          <cell r="A114" t="str">
            <v>APU110</v>
          </cell>
          <cell r="B114" t="str">
            <v>CAMISAS TM - TL (2Uni)</v>
          </cell>
          <cell r="C114" t="str">
            <v>U</v>
          </cell>
          <cell r="D114">
            <v>16.271824759700635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91F00-5DCA-4C3E-B9DC-1C68FB05CF42}">
  <sheetPr codeName="Hoja1">
    <pageSetUpPr fitToPage="1"/>
  </sheetPr>
  <dimension ref="A1:BC948"/>
  <sheetViews>
    <sheetView tabSelected="1" workbookViewId="0">
      <pane xSplit="2" ySplit="2" topLeftCell="C3" activePane="bottomRight" state="frozenSplit"/>
      <selection activeCell="I14" sqref="I14"/>
      <selection pane="topRight" activeCell="I14" sqref="I14"/>
      <selection pane="bottomLeft" activeCell="I14" sqref="I14"/>
      <selection pane="bottomRight" activeCell="B6" sqref="B6"/>
    </sheetView>
  </sheetViews>
  <sheetFormatPr baseColWidth="10" defaultRowHeight="15.6" x14ac:dyDescent="0.3"/>
  <cols>
    <col min="1" max="1" width="10.33203125" style="83" bestFit="1" customWidth="1"/>
    <col min="2" max="2" width="75.44140625" style="1" bestFit="1" customWidth="1"/>
    <col min="3" max="5" width="5.6640625" style="109" customWidth="1"/>
    <col min="6" max="6" width="14.109375" bestFit="1" customWidth="1"/>
    <col min="7" max="7" width="11.6640625" customWidth="1"/>
    <col min="8" max="8" width="11.5546875" customWidth="1"/>
    <col min="9" max="9" width="7.88671875" customWidth="1"/>
    <col min="10" max="10" width="8.88671875" customWidth="1"/>
    <col min="11" max="11" width="9.109375" bestFit="1" customWidth="1"/>
    <col min="12" max="12" width="7.88671875" customWidth="1"/>
    <col min="13" max="13" width="10.44140625" style="33" customWidth="1"/>
    <col min="14" max="14" width="8.44140625" style="33" customWidth="1"/>
    <col min="15" max="15" width="8.109375" style="34" customWidth="1"/>
  </cols>
  <sheetData>
    <row r="1" spans="1:19" ht="33.6" x14ac:dyDescent="0.3">
      <c r="A1" s="275" t="s">
        <v>1153</v>
      </c>
      <c r="B1" s="275"/>
      <c r="C1" s="276"/>
      <c r="D1" s="276"/>
      <c r="E1" s="276"/>
      <c r="F1" s="55"/>
      <c r="G1" s="55"/>
      <c r="H1" s="55"/>
      <c r="I1" s="55"/>
      <c r="J1" s="55"/>
      <c r="K1" s="55"/>
      <c r="L1" s="55"/>
    </row>
    <row r="2" spans="1:19" ht="42" customHeight="1" x14ac:dyDescent="0.3">
      <c r="A2" s="57" t="s">
        <v>0</v>
      </c>
      <c r="B2" s="2" t="s">
        <v>1</v>
      </c>
      <c r="C2" s="94" t="s">
        <v>116</v>
      </c>
      <c r="D2" s="94" t="s">
        <v>285</v>
      </c>
      <c r="E2" s="94" t="s">
        <v>117</v>
      </c>
      <c r="F2" s="9" t="s">
        <v>102</v>
      </c>
      <c r="G2" s="9" t="s">
        <v>114</v>
      </c>
      <c r="H2" s="9" t="s">
        <v>283</v>
      </c>
      <c r="I2" s="9" t="s">
        <v>103</v>
      </c>
      <c r="J2" s="9" t="s">
        <v>90</v>
      </c>
      <c r="K2" s="9" t="s">
        <v>104</v>
      </c>
      <c r="L2" s="9" t="s">
        <v>105</v>
      </c>
      <c r="M2" s="169" t="s">
        <v>19</v>
      </c>
      <c r="N2" s="169" t="s">
        <v>20</v>
      </c>
      <c r="O2" s="42" t="s">
        <v>53</v>
      </c>
    </row>
    <row r="3" spans="1:19" x14ac:dyDescent="0.3">
      <c r="A3" s="57">
        <v>1</v>
      </c>
      <c r="B3" s="6" t="s">
        <v>3</v>
      </c>
      <c r="C3" s="217">
        <v>1</v>
      </c>
      <c r="D3" s="217">
        <v>1</v>
      </c>
      <c r="E3" s="217">
        <v>0.9</v>
      </c>
      <c r="F3" t="s">
        <v>110</v>
      </c>
      <c r="G3" t="s">
        <v>109</v>
      </c>
      <c r="M3" s="33" t="s">
        <v>19</v>
      </c>
      <c r="N3" s="33" t="s">
        <v>22</v>
      </c>
      <c r="O3" s="44">
        <f>ROUND(VLOOKUP(N3,[1]INDICE!$A$5:$D$424,4,FALSE),2)</f>
        <v>0.44</v>
      </c>
      <c r="R3" t="str">
        <f>+TEXT(A3,"A000#")</f>
        <v>A0001</v>
      </c>
      <c r="S3" t="s">
        <v>502</v>
      </c>
    </row>
    <row r="4" spans="1:19" x14ac:dyDescent="0.3">
      <c r="A4" s="57">
        <f>+A3+1</f>
        <v>2</v>
      </c>
      <c r="B4" s="5" t="s">
        <v>1109</v>
      </c>
      <c r="C4" s="217">
        <f>+D4+2</f>
        <v>7</v>
      </c>
      <c r="D4" s="217">
        <f>+E4+1.5</f>
        <v>5</v>
      </c>
      <c r="E4" s="217">
        <v>3.5</v>
      </c>
      <c r="F4" t="s">
        <v>74</v>
      </c>
      <c r="G4" t="s">
        <v>398</v>
      </c>
      <c r="I4" t="s">
        <v>107</v>
      </c>
      <c r="J4" t="s">
        <v>108</v>
      </c>
      <c r="K4" t="s">
        <v>108</v>
      </c>
      <c r="L4" t="s">
        <v>108</v>
      </c>
      <c r="M4" s="33" t="s">
        <v>19</v>
      </c>
      <c r="N4" s="33" t="s">
        <v>21</v>
      </c>
      <c r="O4" s="44">
        <f>ROUND(VLOOKUP(N4,[1]INDICE!$A$5:$D$424,4,FALSE),2)</f>
        <v>1.91</v>
      </c>
      <c r="R4" t="str">
        <f t="shared" ref="R4:R67" si="0">+TEXT(A4,"A000#")</f>
        <v>A0002</v>
      </c>
      <c r="S4" t="s">
        <v>503</v>
      </c>
    </row>
    <row r="5" spans="1:19" x14ac:dyDescent="0.3">
      <c r="A5" s="57">
        <f t="shared" ref="A5:A68" si="1">+A4+1</f>
        <v>3</v>
      </c>
      <c r="B5" s="5" t="s">
        <v>2</v>
      </c>
      <c r="C5" s="217">
        <f t="shared" ref="C5:C14" si="2">+D5+2</f>
        <v>3.8</v>
      </c>
      <c r="D5" s="217">
        <f>+E5+1</f>
        <v>1.8</v>
      </c>
      <c r="E5" s="217">
        <v>0.8</v>
      </c>
      <c r="F5" t="s">
        <v>110</v>
      </c>
      <c r="G5" t="s">
        <v>111</v>
      </c>
      <c r="I5" t="s">
        <v>107</v>
      </c>
      <c r="J5" t="s">
        <v>108</v>
      </c>
      <c r="K5" t="s">
        <v>108</v>
      </c>
      <c r="L5" t="s">
        <v>108</v>
      </c>
      <c r="O5"/>
      <c r="R5" t="str">
        <f t="shared" si="0"/>
        <v>A0003</v>
      </c>
      <c r="S5" t="s">
        <v>504</v>
      </c>
    </row>
    <row r="6" spans="1:19" x14ac:dyDescent="0.3">
      <c r="A6" s="61">
        <f t="shared" si="1"/>
        <v>4</v>
      </c>
      <c r="B6" s="16" t="s">
        <v>381</v>
      </c>
      <c r="C6" s="264">
        <f>+D6+3</f>
        <v>14.5</v>
      </c>
      <c r="D6" s="218">
        <f>+E6+1</f>
        <v>11.5</v>
      </c>
      <c r="E6" s="218">
        <f t="shared" ref="E6:E11" si="3">+E18-0.5</f>
        <v>10.5</v>
      </c>
      <c r="F6" t="s">
        <v>75</v>
      </c>
      <c r="G6" t="s">
        <v>92</v>
      </c>
      <c r="H6" t="s">
        <v>113</v>
      </c>
      <c r="I6" t="s">
        <v>107</v>
      </c>
      <c r="J6" t="s">
        <v>108</v>
      </c>
      <c r="K6" t="s">
        <v>108</v>
      </c>
      <c r="L6" t="s">
        <v>108</v>
      </c>
      <c r="M6"/>
      <c r="N6"/>
      <c r="O6"/>
      <c r="R6" t="str">
        <f t="shared" si="0"/>
        <v>A0004</v>
      </c>
      <c r="S6" t="s">
        <v>505</v>
      </c>
    </row>
    <row r="7" spans="1:19" x14ac:dyDescent="0.3">
      <c r="A7" s="59">
        <f t="shared" si="1"/>
        <v>5</v>
      </c>
      <c r="B7" s="29" t="s">
        <v>368</v>
      </c>
      <c r="C7" s="219">
        <f>+D7+6.5</f>
        <v>21</v>
      </c>
      <c r="D7" s="219">
        <f t="shared" ref="D7:D17" si="4">+E7+1</f>
        <v>14.5</v>
      </c>
      <c r="E7" s="219">
        <f t="shared" si="3"/>
        <v>13.5</v>
      </c>
      <c r="F7" t="s">
        <v>75</v>
      </c>
      <c r="G7" t="s">
        <v>398</v>
      </c>
      <c r="H7" t="s">
        <v>113</v>
      </c>
      <c r="I7" t="s">
        <v>107</v>
      </c>
      <c r="J7" t="s">
        <v>108</v>
      </c>
      <c r="K7" t="s">
        <v>108</v>
      </c>
      <c r="L7" t="s">
        <v>108</v>
      </c>
      <c r="M7" s="33" t="s">
        <v>19</v>
      </c>
      <c r="N7" s="33" t="s">
        <v>46</v>
      </c>
      <c r="O7" s="44">
        <f>ROUND(VLOOKUP(N7,[1]INDICE!$A$5:$D$424,4,FALSE),2)</f>
        <v>12.39</v>
      </c>
      <c r="R7" t="str">
        <f t="shared" si="0"/>
        <v>A0005</v>
      </c>
      <c r="S7" t="s">
        <v>506</v>
      </c>
    </row>
    <row r="8" spans="1:19" x14ac:dyDescent="0.3">
      <c r="A8" s="71">
        <f t="shared" si="1"/>
        <v>6</v>
      </c>
      <c r="B8" s="40" t="s">
        <v>403</v>
      </c>
      <c r="C8" s="233">
        <f>+D8+6</f>
        <v>22.5</v>
      </c>
      <c r="D8" s="233">
        <f t="shared" si="4"/>
        <v>16.5</v>
      </c>
      <c r="E8" s="233">
        <f t="shared" si="3"/>
        <v>15.5</v>
      </c>
      <c r="F8" t="s">
        <v>75</v>
      </c>
      <c r="G8" t="s">
        <v>112</v>
      </c>
      <c r="H8" t="s">
        <v>113</v>
      </c>
      <c r="I8" t="s">
        <v>107</v>
      </c>
      <c r="J8" t="s">
        <v>108</v>
      </c>
      <c r="K8" t="s">
        <v>108</v>
      </c>
      <c r="L8" t="s">
        <v>108</v>
      </c>
      <c r="O8"/>
      <c r="R8" t="str">
        <f t="shared" si="0"/>
        <v>A0006</v>
      </c>
      <c r="S8" t="s">
        <v>507</v>
      </c>
    </row>
    <row r="9" spans="1:19" x14ac:dyDescent="0.3">
      <c r="A9" s="61">
        <f t="shared" si="1"/>
        <v>7</v>
      </c>
      <c r="B9" s="17" t="s">
        <v>439</v>
      </c>
      <c r="C9" s="191">
        <f>+D9+2.5</f>
        <v>9</v>
      </c>
      <c r="D9" s="191">
        <f t="shared" si="4"/>
        <v>6.5</v>
      </c>
      <c r="E9" s="191">
        <f t="shared" si="3"/>
        <v>5.5</v>
      </c>
      <c r="F9" t="s">
        <v>76</v>
      </c>
      <c r="G9" t="s">
        <v>92</v>
      </c>
      <c r="H9" t="s">
        <v>113</v>
      </c>
      <c r="I9" t="s">
        <v>107</v>
      </c>
      <c r="J9" t="s">
        <v>108</v>
      </c>
      <c r="K9" t="s">
        <v>108</v>
      </c>
      <c r="L9" t="s">
        <v>108</v>
      </c>
      <c r="O9"/>
      <c r="R9" t="str">
        <f t="shared" si="0"/>
        <v>A0007</v>
      </c>
      <c r="S9" t="s">
        <v>508</v>
      </c>
    </row>
    <row r="10" spans="1:19" x14ac:dyDescent="0.3">
      <c r="A10" s="60">
        <f t="shared" si="1"/>
        <v>8</v>
      </c>
      <c r="B10" s="8" t="s">
        <v>320</v>
      </c>
      <c r="C10" s="130">
        <f>+D10+2.5</f>
        <v>10</v>
      </c>
      <c r="D10" s="130">
        <f t="shared" si="4"/>
        <v>7.5</v>
      </c>
      <c r="E10" s="130">
        <f t="shared" si="3"/>
        <v>6.5</v>
      </c>
      <c r="F10" t="s">
        <v>76</v>
      </c>
      <c r="G10" t="s">
        <v>398</v>
      </c>
      <c r="H10" t="s">
        <v>113</v>
      </c>
      <c r="I10" t="s">
        <v>107</v>
      </c>
      <c r="J10" t="s">
        <v>108</v>
      </c>
      <c r="K10" t="s">
        <v>108</v>
      </c>
      <c r="L10" t="s">
        <v>108</v>
      </c>
      <c r="M10" s="33" t="s">
        <v>19</v>
      </c>
      <c r="N10" s="33" t="s">
        <v>1008</v>
      </c>
      <c r="O10" s="44">
        <f>ROUND(VLOOKUP(N10,[1]INDICE!$A$5:$D$424,4,FALSE),2)</f>
        <v>4.3600000000000003</v>
      </c>
      <c r="R10" t="str">
        <f t="shared" si="0"/>
        <v>A0008</v>
      </c>
      <c r="S10" t="s">
        <v>509</v>
      </c>
    </row>
    <row r="11" spans="1:19" x14ac:dyDescent="0.3">
      <c r="A11" s="60">
        <f t="shared" si="1"/>
        <v>9</v>
      </c>
      <c r="B11" s="8" t="s">
        <v>475</v>
      </c>
      <c r="C11" s="130">
        <f>+D11+2.5</f>
        <v>11</v>
      </c>
      <c r="D11" s="130">
        <f t="shared" si="4"/>
        <v>8.5</v>
      </c>
      <c r="E11" s="130">
        <f t="shared" si="3"/>
        <v>7.5</v>
      </c>
      <c r="F11" t="s">
        <v>76</v>
      </c>
      <c r="G11" t="s">
        <v>112</v>
      </c>
      <c r="H11" t="s">
        <v>113</v>
      </c>
      <c r="I11" t="s">
        <v>107</v>
      </c>
      <c r="J11" t="s">
        <v>108</v>
      </c>
      <c r="K11" t="s">
        <v>108</v>
      </c>
      <c r="L11" t="s">
        <v>108</v>
      </c>
      <c r="O11" s="35"/>
      <c r="R11" t="str">
        <f t="shared" si="0"/>
        <v>A0009</v>
      </c>
      <c r="S11" t="s">
        <v>510</v>
      </c>
    </row>
    <row r="12" spans="1:19" x14ac:dyDescent="0.3">
      <c r="A12" s="100">
        <f t="shared" si="1"/>
        <v>10</v>
      </c>
      <c r="B12" s="101" t="s">
        <v>428</v>
      </c>
      <c r="C12" s="220">
        <f>+D12</f>
        <v>3.5</v>
      </c>
      <c r="D12" s="220">
        <f>+E12+0.5</f>
        <v>3.5</v>
      </c>
      <c r="E12" s="220">
        <f>+E84-0.5</f>
        <v>3</v>
      </c>
      <c r="F12" t="s">
        <v>77</v>
      </c>
      <c r="G12" t="s">
        <v>92</v>
      </c>
      <c r="H12" t="s">
        <v>113</v>
      </c>
      <c r="I12" t="s">
        <v>108</v>
      </c>
      <c r="J12" t="s">
        <v>108</v>
      </c>
      <c r="K12" t="s">
        <v>108</v>
      </c>
      <c r="L12" t="s">
        <v>108</v>
      </c>
      <c r="M12" s="171" t="s">
        <v>19</v>
      </c>
      <c r="N12" s="171" t="s">
        <v>1010</v>
      </c>
      <c r="O12" s="106">
        <f>ROUND(VLOOKUP(N12,[1]INDICE!$A$5:$D$424,4,FALSE),2)</f>
        <v>3.63</v>
      </c>
      <c r="R12" t="str">
        <f t="shared" si="0"/>
        <v>A0010</v>
      </c>
      <c r="S12" t="s">
        <v>511</v>
      </c>
    </row>
    <row r="13" spans="1:19" x14ac:dyDescent="0.3">
      <c r="A13" s="102">
        <f t="shared" si="1"/>
        <v>11</v>
      </c>
      <c r="B13" s="103" t="s">
        <v>417</v>
      </c>
      <c r="C13" s="162">
        <f t="shared" si="2"/>
        <v>8.5</v>
      </c>
      <c r="D13" s="162">
        <f t="shared" si="4"/>
        <v>6.5</v>
      </c>
      <c r="E13" s="162">
        <f>+E25-0.5</f>
        <v>5.5</v>
      </c>
      <c r="F13" t="s">
        <v>77</v>
      </c>
      <c r="G13" t="s">
        <v>398</v>
      </c>
      <c r="H13" t="s">
        <v>113</v>
      </c>
      <c r="I13" t="s">
        <v>107</v>
      </c>
      <c r="J13" t="s">
        <v>108</v>
      </c>
      <c r="K13" t="s">
        <v>108</v>
      </c>
      <c r="L13" t="s">
        <v>108</v>
      </c>
      <c r="M13" s="171" t="s">
        <v>19</v>
      </c>
      <c r="N13" s="171" t="s">
        <v>1009</v>
      </c>
      <c r="O13" s="106">
        <f>ROUND(VLOOKUP(N13,[1]INDICE!$A$5:$D$424,4,FALSE),2)</f>
        <v>3.99</v>
      </c>
      <c r="R13" t="str">
        <f t="shared" si="0"/>
        <v>A0011</v>
      </c>
      <c r="S13" t="s">
        <v>512</v>
      </c>
    </row>
    <row r="14" spans="1:19" x14ac:dyDescent="0.3">
      <c r="A14" s="58">
        <f t="shared" si="1"/>
        <v>12</v>
      </c>
      <c r="B14" s="22" t="s">
        <v>464</v>
      </c>
      <c r="C14" s="221">
        <f t="shared" si="2"/>
        <v>9.5</v>
      </c>
      <c r="D14" s="221">
        <f t="shared" si="4"/>
        <v>7.5</v>
      </c>
      <c r="E14" s="221">
        <f t="shared" ref="E14:E16" si="5">+E26-0.5</f>
        <v>6.5</v>
      </c>
      <c r="F14" t="s">
        <v>77</v>
      </c>
      <c r="G14" t="s">
        <v>112</v>
      </c>
      <c r="H14" t="s">
        <v>113</v>
      </c>
      <c r="I14" t="s">
        <v>107</v>
      </c>
      <c r="J14" t="s">
        <v>108</v>
      </c>
      <c r="K14" t="s">
        <v>108</v>
      </c>
      <c r="L14" t="s">
        <v>108</v>
      </c>
      <c r="O14"/>
      <c r="R14" t="str">
        <f t="shared" si="0"/>
        <v>A0012</v>
      </c>
      <c r="S14" t="s">
        <v>513</v>
      </c>
    </row>
    <row r="15" spans="1:19" x14ac:dyDescent="0.3">
      <c r="A15" s="62">
        <f t="shared" si="1"/>
        <v>13</v>
      </c>
      <c r="B15" s="23" t="s">
        <v>440</v>
      </c>
      <c r="C15" s="222">
        <f>+D15+2</f>
        <v>10.5</v>
      </c>
      <c r="D15" s="222">
        <f>+E15+1</f>
        <v>8.5</v>
      </c>
      <c r="E15" s="222">
        <f>+E27-0.5</f>
        <v>7.5</v>
      </c>
      <c r="F15" t="s">
        <v>78</v>
      </c>
      <c r="G15" t="s">
        <v>92</v>
      </c>
      <c r="H15" t="s">
        <v>113</v>
      </c>
      <c r="I15" t="s">
        <v>107</v>
      </c>
      <c r="J15" t="s">
        <v>108</v>
      </c>
      <c r="K15" t="s">
        <v>108</v>
      </c>
      <c r="L15" t="s">
        <v>108</v>
      </c>
      <c r="O15"/>
      <c r="R15" t="str">
        <f t="shared" si="0"/>
        <v>A0013</v>
      </c>
      <c r="S15" t="s">
        <v>514</v>
      </c>
    </row>
    <row r="16" spans="1:19" x14ac:dyDescent="0.3">
      <c r="A16" s="58">
        <f t="shared" si="1"/>
        <v>14</v>
      </c>
      <c r="B16" s="95" t="s">
        <v>963</v>
      </c>
      <c r="C16" s="223">
        <f t="shared" ref="C16:C23" si="6">+D16+2</f>
        <v>11.5</v>
      </c>
      <c r="D16" s="223">
        <f t="shared" si="4"/>
        <v>9.5</v>
      </c>
      <c r="E16" s="223">
        <f t="shared" si="5"/>
        <v>8.5</v>
      </c>
      <c r="F16" t="s">
        <v>78</v>
      </c>
      <c r="G16" t="s">
        <v>398</v>
      </c>
      <c r="H16" t="s">
        <v>113</v>
      </c>
      <c r="I16" t="s">
        <v>107</v>
      </c>
      <c r="J16" t="s">
        <v>108</v>
      </c>
      <c r="K16" t="s">
        <v>108</v>
      </c>
      <c r="L16" t="s">
        <v>108</v>
      </c>
      <c r="O16"/>
      <c r="P16" s="186"/>
      <c r="R16" t="str">
        <f t="shared" si="0"/>
        <v>A0014</v>
      </c>
      <c r="S16" t="s">
        <v>515</v>
      </c>
    </row>
    <row r="17" spans="1:19" x14ac:dyDescent="0.3">
      <c r="A17" s="58">
        <f t="shared" si="1"/>
        <v>15</v>
      </c>
      <c r="B17" s="22" t="s">
        <v>476</v>
      </c>
      <c r="C17" s="221">
        <f t="shared" si="6"/>
        <v>12.5</v>
      </c>
      <c r="D17" s="221">
        <f t="shared" si="4"/>
        <v>10.5</v>
      </c>
      <c r="E17" s="221">
        <f>+E29-0.5</f>
        <v>9.5</v>
      </c>
      <c r="F17" t="s">
        <v>78</v>
      </c>
      <c r="G17" t="s">
        <v>112</v>
      </c>
      <c r="H17" t="s">
        <v>113</v>
      </c>
      <c r="I17" t="s">
        <v>107</v>
      </c>
      <c r="J17" t="s">
        <v>108</v>
      </c>
      <c r="K17" t="s">
        <v>108</v>
      </c>
      <c r="L17" t="s">
        <v>108</v>
      </c>
      <c r="O17"/>
      <c r="R17" t="str">
        <f t="shared" si="0"/>
        <v>A0015</v>
      </c>
      <c r="S17" t="s">
        <v>516</v>
      </c>
    </row>
    <row r="18" spans="1:19" x14ac:dyDescent="0.3">
      <c r="A18" s="61">
        <f t="shared" si="1"/>
        <v>16</v>
      </c>
      <c r="B18" s="16" t="s">
        <v>382</v>
      </c>
      <c r="C18" s="191">
        <f>+D18+3</f>
        <v>15</v>
      </c>
      <c r="D18" s="191">
        <f t="shared" ref="D18:D23" si="7">+E18+1</f>
        <v>12</v>
      </c>
      <c r="E18" s="191">
        <f>+E424-1</f>
        <v>11</v>
      </c>
      <c r="F18" t="s">
        <v>75</v>
      </c>
      <c r="G18" t="s">
        <v>92</v>
      </c>
      <c r="H18" t="s">
        <v>113</v>
      </c>
      <c r="I18" t="s">
        <v>107</v>
      </c>
      <c r="J18" t="s">
        <v>108</v>
      </c>
      <c r="K18" t="s">
        <v>108</v>
      </c>
      <c r="L18" t="s">
        <v>108</v>
      </c>
      <c r="M18"/>
      <c r="N18"/>
      <c r="O18"/>
      <c r="R18" t="str">
        <f t="shared" si="0"/>
        <v>A0016</v>
      </c>
      <c r="S18" t="s">
        <v>517</v>
      </c>
    </row>
    <row r="19" spans="1:19" x14ac:dyDescent="0.3">
      <c r="A19" s="59">
        <f t="shared" si="1"/>
        <v>17</v>
      </c>
      <c r="B19" s="29" t="s">
        <v>369</v>
      </c>
      <c r="C19" s="219">
        <f>+D19+6.5</f>
        <v>21.5</v>
      </c>
      <c r="D19" s="219">
        <f t="shared" si="7"/>
        <v>15</v>
      </c>
      <c r="E19" s="219">
        <f>+E425-1</f>
        <v>14</v>
      </c>
      <c r="F19" t="s">
        <v>75</v>
      </c>
      <c r="G19" t="s">
        <v>398</v>
      </c>
      <c r="H19" t="s">
        <v>113</v>
      </c>
      <c r="I19" t="s">
        <v>107</v>
      </c>
      <c r="J19" t="s">
        <v>108</v>
      </c>
      <c r="K19" t="s">
        <v>108</v>
      </c>
      <c r="L19" t="s">
        <v>108</v>
      </c>
      <c r="M19" s="33" t="s">
        <v>19</v>
      </c>
      <c r="N19" s="170" t="s">
        <v>399</v>
      </c>
      <c r="O19" s="44">
        <f>ROUND(VLOOKUP(N19,[1]INDICE!$A$5:$D$424,4,FALSE),2)</f>
        <v>10.69</v>
      </c>
      <c r="R19" t="str">
        <f t="shared" si="0"/>
        <v>A0017</v>
      </c>
      <c r="S19" t="s">
        <v>518</v>
      </c>
    </row>
    <row r="20" spans="1:19" x14ac:dyDescent="0.3">
      <c r="A20" s="71">
        <f t="shared" si="1"/>
        <v>18</v>
      </c>
      <c r="B20" s="40" t="s">
        <v>404</v>
      </c>
      <c r="C20" s="233">
        <f>+D20+6.5</f>
        <v>23.5</v>
      </c>
      <c r="D20" s="233">
        <f t="shared" si="7"/>
        <v>17</v>
      </c>
      <c r="E20" s="233">
        <f>+E426-1</f>
        <v>16</v>
      </c>
      <c r="F20" t="s">
        <v>75</v>
      </c>
      <c r="G20" t="s">
        <v>112</v>
      </c>
      <c r="H20" t="s">
        <v>113</v>
      </c>
      <c r="I20" t="s">
        <v>107</v>
      </c>
      <c r="J20" t="s">
        <v>108</v>
      </c>
      <c r="K20" t="s">
        <v>108</v>
      </c>
      <c r="L20" t="s">
        <v>108</v>
      </c>
      <c r="O20"/>
      <c r="R20" t="str">
        <f t="shared" si="0"/>
        <v>A0018</v>
      </c>
      <c r="S20" t="s">
        <v>519</v>
      </c>
    </row>
    <row r="21" spans="1:19" x14ac:dyDescent="0.3">
      <c r="A21" s="61">
        <f t="shared" si="1"/>
        <v>19</v>
      </c>
      <c r="B21" s="17" t="s">
        <v>441</v>
      </c>
      <c r="C21" s="191">
        <f t="shared" si="6"/>
        <v>9</v>
      </c>
      <c r="D21" s="191">
        <f t="shared" si="7"/>
        <v>7</v>
      </c>
      <c r="E21" s="191">
        <f>+E22-1</f>
        <v>6</v>
      </c>
      <c r="F21" t="s">
        <v>76</v>
      </c>
      <c r="G21" t="s">
        <v>92</v>
      </c>
      <c r="H21" t="s">
        <v>113</v>
      </c>
      <c r="I21" t="s">
        <v>107</v>
      </c>
      <c r="J21" t="s">
        <v>108</v>
      </c>
      <c r="K21" t="s">
        <v>108</v>
      </c>
      <c r="L21" t="s">
        <v>108</v>
      </c>
      <c r="M21" s="33" t="s">
        <v>19</v>
      </c>
      <c r="N21" s="33" t="s">
        <v>402</v>
      </c>
      <c r="O21" s="44">
        <f>ROUND(VLOOKUP(N21,[1]INDICE!$A$5:$D$424,4,FALSE),2)</f>
        <v>4.7699999999999996</v>
      </c>
      <c r="R21" t="str">
        <f t="shared" si="0"/>
        <v>A0019</v>
      </c>
      <c r="S21" t="s">
        <v>520</v>
      </c>
    </row>
    <row r="22" spans="1:19" x14ac:dyDescent="0.3">
      <c r="A22" s="61">
        <f t="shared" si="1"/>
        <v>20</v>
      </c>
      <c r="B22" s="17" t="s">
        <v>321</v>
      </c>
      <c r="C22" s="191">
        <f t="shared" si="6"/>
        <v>10</v>
      </c>
      <c r="D22" s="191">
        <f t="shared" si="7"/>
        <v>8</v>
      </c>
      <c r="E22" s="191">
        <v>7</v>
      </c>
      <c r="F22" t="s">
        <v>76</v>
      </c>
      <c r="G22" t="s">
        <v>398</v>
      </c>
      <c r="H22" t="s">
        <v>113</v>
      </c>
      <c r="I22" t="s">
        <v>107</v>
      </c>
      <c r="J22" t="s">
        <v>108</v>
      </c>
      <c r="K22" t="s">
        <v>108</v>
      </c>
      <c r="L22" t="s">
        <v>108</v>
      </c>
      <c r="M22" s="33" t="s">
        <v>19</v>
      </c>
      <c r="N22" s="33" t="s">
        <v>52</v>
      </c>
      <c r="O22" s="44">
        <f>ROUND(VLOOKUP(N22,[1]INDICE!$A$5:$D$424,4,FALSE),2)</f>
        <v>4.76</v>
      </c>
      <c r="R22" t="str">
        <f t="shared" si="0"/>
        <v>A0020</v>
      </c>
      <c r="S22" t="s">
        <v>521</v>
      </c>
    </row>
    <row r="23" spans="1:19" x14ac:dyDescent="0.3">
      <c r="A23" s="61">
        <f t="shared" si="1"/>
        <v>21</v>
      </c>
      <c r="B23" s="17" t="s">
        <v>477</v>
      </c>
      <c r="C23" s="191">
        <f t="shared" si="6"/>
        <v>11</v>
      </c>
      <c r="D23" s="191">
        <f t="shared" si="7"/>
        <v>9</v>
      </c>
      <c r="E23" s="191">
        <f>+E22+1</f>
        <v>8</v>
      </c>
      <c r="F23" t="s">
        <v>76</v>
      </c>
      <c r="G23" t="s">
        <v>112</v>
      </c>
      <c r="H23" t="s">
        <v>113</v>
      </c>
      <c r="I23" t="s">
        <v>107</v>
      </c>
      <c r="J23" t="s">
        <v>108</v>
      </c>
      <c r="K23" t="s">
        <v>108</v>
      </c>
      <c r="L23" t="s">
        <v>108</v>
      </c>
      <c r="O23" s="35"/>
      <c r="R23" t="str">
        <f t="shared" si="0"/>
        <v>A0021</v>
      </c>
      <c r="S23" t="s">
        <v>522</v>
      </c>
    </row>
    <row r="24" spans="1:19" x14ac:dyDescent="0.3">
      <c r="A24" s="100">
        <f t="shared" si="1"/>
        <v>22</v>
      </c>
      <c r="B24" s="101" t="s">
        <v>429</v>
      </c>
      <c r="C24" s="220">
        <f>+C84</f>
        <v>3.5</v>
      </c>
      <c r="D24" s="220">
        <f>+D84</f>
        <v>3.5</v>
      </c>
      <c r="E24" s="220">
        <f>+E84</f>
        <v>3.5</v>
      </c>
      <c r="F24" t="s">
        <v>77</v>
      </c>
      <c r="G24" t="s">
        <v>92</v>
      </c>
      <c r="H24" t="s">
        <v>113</v>
      </c>
      <c r="I24" t="s">
        <v>108</v>
      </c>
      <c r="J24" t="s">
        <v>108</v>
      </c>
      <c r="K24" t="s">
        <v>108</v>
      </c>
      <c r="L24" t="s">
        <v>108</v>
      </c>
      <c r="M24" s="33" t="s">
        <v>19</v>
      </c>
      <c r="N24" s="33" t="s">
        <v>400</v>
      </c>
      <c r="O24" s="44">
        <f>ROUND(VLOOKUP(N24,[1]INDICE!$A$5:$D$424,4,FALSE),2)</f>
        <v>2.16</v>
      </c>
      <c r="R24" t="str">
        <f t="shared" si="0"/>
        <v>A0022</v>
      </c>
      <c r="S24" t="s">
        <v>523</v>
      </c>
    </row>
    <row r="25" spans="1:19" x14ac:dyDescent="0.3">
      <c r="A25" s="102">
        <f t="shared" si="1"/>
        <v>23</v>
      </c>
      <c r="B25" s="103" t="s">
        <v>418</v>
      </c>
      <c r="C25" s="162">
        <f t="shared" ref="C25:C29" si="8">+D25+2</f>
        <v>9</v>
      </c>
      <c r="D25" s="162">
        <f t="shared" ref="D25:D30" si="9">+E25+1</f>
        <v>7</v>
      </c>
      <c r="E25" s="162">
        <f>+E93-1</f>
        <v>6</v>
      </c>
      <c r="F25" t="s">
        <v>77</v>
      </c>
      <c r="G25" t="s">
        <v>398</v>
      </c>
      <c r="H25" t="s">
        <v>113</v>
      </c>
      <c r="I25" t="s">
        <v>107</v>
      </c>
      <c r="J25" t="s">
        <v>108</v>
      </c>
      <c r="K25" t="s">
        <v>108</v>
      </c>
      <c r="L25" t="s">
        <v>108</v>
      </c>
      <c r="M25" s="171" t="s">
        <v>19</v>
      </c>
      <c r="N25" s="171" t="s">
        <v>401</v>
      </c>
      <c r="O25" s="106">
        <f>ROUND(VLOOKUP(N25,[1]INDICE!$A$5:$D$424,4,FALSE),2)</f>
        <v>4.24</v>
      </c>
      <c r="R25" t="str">
        <f t="shared" si="0"/>
        <v>A0023</v>
      </c>
      <c r="S25" t="s">
        <v>524</v>
      </c>
    </row>
    <row r="26" spans="1:19" x14ac:dyDescent="0.3">
      <c r="A26" s="58">
        <f t="shared" si="1"/>
        <v>24</v>
      </c>
      <c r="B26" s="22" t="s">
        <v>465</v>
      </c>
      <c r="C26" s="221">
        <f t="shared" si="8"/>
        <v>10</v>
      </c>
      <c r="D26" s="221">
        <f t="shared" si="9"/>
        <v>8</v>
      </c>
      <c r="E26" s="221">
        <f>+E102-1</f>
        <v>7</v>
      </c>
      <c r="F26" t="s">
        <v>77</v>
      </c>
      <c r="G26" t="s">
        <v>112</v>
      </c>
      <c r="H26" t="s">
        <v>113</v>
      </c>
      <c r="I26" t="s">
        <v>107</v>
      </c>
      <c r="J26" t="s">
        <v>108</v>
      </c>
      <c r="K26" t="s">
        <v>108</v>
      </c>
      <c r="L26" t="s">
        <v>108</v>
      </c>
      <c r="O26"/>
      <c r="R26" t="str">
        <f t="shared" si="0"/>
        <v>A0024</v>
      </c>
      <c r="S26" t="s">
        <v>525</v>
      </c>
    </row>
    <row r="27" spans="1:19" x14ac:dyDescent="0.3">
      <c r="A27" s="62">
        <f t="shared" si="1"/>
        <v>25</v>
      </c>
      <c r="B27" s="23" t="s">
        <v>442</v>
      </c>
      <c r="C27" s="222">
        <f t="shared" si="8"/>
        <v>11</v>
      </c>
      <c r="D27" s="222">
        <f t="shared" si="9"/>
        <v>9</v>
      </c>
      <c r="E27" s="222">
        <f>+E313-1</f>
        <v>8</v>
      </c>
      <c r="F27" t="s">
        <v>78</v>
      </c>
      <c r="G27" t="s">
        <v>92</v>
      </c>
      <c r="H27" t="s">
        <v>113</v>
      </c>
      <c r="I27" t="s">
        <v>107</v>
      </c>
      <c r="J27" t="s">
        <v>108</v>
      </c>
      <c r="K27" t="s">
        <v>108</v>
      </c>
      <c r="L27" t="s">
        <v>108</v>
      </c>
      <c r="M27" s="33" t="s">
        <v>19</v>
      </c>
      <c r="O27"/>
      <c r="R27" t="str">
        <f t="shared" si="0"/>
        <v>A0025</v>
      </c>
      <c r="S27" t="s">
        <v>526</v>
      </c>
    </row>
    <row r="28" spans="1:19" x14ac:dyDescent="0.3">
      <c r="A28" s="62">
        <f t="shared" si="1"/>
        <v>26</v>
      </c>
      <c r="B28" s="96" t="s">
        <v>964</v>
      </c>
      <c r="C28" s="224">
        <f t="shared" si="8"/>
        <v>12</v>
      </c>
      <c r="D28" s="224">
        <f t="shared" si="9"/>
        <v>10</v>
      </c>
      <c r="E28" s="224">
        <f>+E314-1</f>
        <v>9</v>
      </c>
      <c r="F28" t="s">
        <v>78</v>
      </c>
      <c r="G28" t="s">
        <v>398</v>
      </c>
      <c r="H28" t="s">
        <v>113</v>
      </c>
      <c r="I28" t="s">
        <v>107</v>
      </c>
      <c r="J28" t="s">
        <v>108</v>
      </c>
      <c r="K28" t="s">
        <v>108</v>
      </c>
      <c r="L28" t="s">
        <v>108</v>
      </c>
      <c r="M28" s="33" t="s">
        <v>19</v>
      </c>
      <c r="O28"/>
      <c r="R28" t="str">
        <f t="shared" si="0"/>
        <v>A0026</v>
      </c>
      <c r="S28" t="s">
        <v>527</v>
      </c>
    </row>
    <row r="29" spans="1:19" x14ac:dyDescent="0.3">
      <c r="A29" s="62">
        <f t="shared" si="1"/>
        <v>27</v>
      </c>
      <c r="B29" s="23" t="s">
        <v>478</v>
      </c>
      <c r="C29" s="222">
        <f t="shared" si="8"/>
        <v>13</v>
      </c>
      <c r="D29" s="222">
        <f t="shared" si="9"/>
        <v>11</v>
      </c>
      <c r="E29" s="222">
        <f>+E315-1</f>
        <v>10</v>
      </c>
      <c r="F29" t="s">
        <v>78</v>
      </c>
      <c r="G29" t="s">
        <v>112</v>
      </c>
      <c r="H29" t="s">
        <v>113</v>
      </c>
      <c r="I29" t="s">
        <v>107</v>
      </c>
      <c r="J29" t="s">
        <v>108</v>
      </c>
      <c r="K29" t="s">
        <v>108</v>
      </c>
      <c r="L29" t="s">
        <v>108</v>
      </c>
      <c r="M29" s="33" t="s">
        <v>19</v>
      </c>
      <c r="O29"/>
      <c r="R29" t="str">
        <f t="shared" si="0"/>
        <v>A0027</v>
      </c>
      <c r="S29" t="s">
        <v>528</v>
      </c>
    </row>
    <row r="30" spans="1:19" x14ac:dyDescent="0.3">
      <c r="A30" s="60">
        <f t="shared" si="1"/>
        <v>28</v>
      </c>
      <c r="B30" s="175" t="s">
        <v>383</v>
      </c>
      <c r="C30" s="130">
        <f>+D30+3</f>
        <v>17</v>
      </c>
      <c r="D30" s="130">
        <f t="shared" si="9"/>
        <v>14</v>
      </c>
      <c r="E30" s="130">
        <v>13</v>
      </c>
      <c r="F30" t="s">
        <v>75</v>
      </c>
      <c r="G30" t="s">
        <v>92</v>
      </c>
      <c r="H30" t="s">
        <v>955</v>
      </c>
      <c r="I30" t="s">
        <v>107</v>
      </c>
      <c r="J30" t="s">
        <v>108</v>
      </c>
      <c r="K30" t="s">
        <v>108</v>
      </c>
      <c r="L30" t="s">
        <v>108</v>
      </c>
      <c r="M30" s="172" t="s">
        <v>19</v>
      </c>
      <c r="N30" s="172" t="s">
        <v>44</v>
      </c>
      <c r="O30" s="44">
        <f>ROUND(VLOOKUP(N30,[1]INDICE!$A$5:$D$424,4,FALSE),2)</f>
        <v>10.19</v>
      </c>
      <c r="R30" t="str">
        <f t="shared" si="0"/>
        <v>A0028</v>
      </c>
      <c r="S30" t="s">
        <v>529</v>
      </c>
    </row>
    <row r="31" spans="1:19" x14ac:dyDescent="0.3">
      <c r="A31" s="60">
        <f t="shared" si="1"/>
        <v>29</v>
      </c>
      <c r="B31" s="175" t="s">
        <v>384</v>
      </c>
      <c r="C31" s="130">
        <f t="shared" ref="C31:C38" si="10">+D31+3</f>
        <v>18</v>
      </c>
      <c r="D31" s="130">
        <f>+D30+1</f>
        <v>15</v>
      </c>
      <c r="E31" s="130">
        <f>+E30+1</f>
        <v>14</v>
      </c>
      <c r="F31" t="s">
        <v>75</v>
      </c>
      <c r="G31" t="s">
        <v>92</v>
      </c>
      <c r="H31" t="s">
        <v>955</v>
      </c>
      <c r="I31" t="s">
        <v>107</v>
      </c>
      <c r="J31" t="s">
        <v>108</v>
      </c>
      <c r="K31" t="s">
        <v>108</v>
      </c>
      <c r="L31" t="s">
        <v>108</v>
      </c>
      <c r="O31"/>
      <c r="R31" t="str">
        <f t="shared" si="0"/>
        <v>A0029</v>
      </c>
      <c r="S31" t="s">
        <v>530</v>
      </c>
    </row>
    <row r="32" spans="1:19" x14ac:dyDescent="0.3">
      <c r="A32" s="60">
        <f t="shared" si="1"/>
        <v>30</v>
      </c>
      <c r="B32" s="175" t="s">
        <v>385</v>
      </c>
      <c r="C32" s="130">
        <f t="shared" si="10"/>
        <v>19</v>
      </c>
      <c r="D32" s="130">
        <f t="shared" ref="D32:D38" si="11">+D31+1</f>
        <v>16</v>
      </c>
      <c r="E32" s="130">
        <f t="shared" ref="E32:E38" si="12">+E31+1</f>
        <v>15</v>
      </c>
      <c r="F32" t="s">
        <v>75</v>
      </c>
      <c r="G32" t="s">
        <v>92</v>
      </c>
      <c r="H32" t="s">
        <v>955</v>
      </c>
      <c r="I32" t="s">
        <v>107</v>
      </c>
      <c r="J32" t="s">
        <v>108</v>
      </c>
      <c r="K32" t="s">
        <v>108</v>
      </c>
      <c r="L32" t="s">
        <v>108</v>
      </c>
      <c r="O32"/>
      <c r="R32" t="str">
        <f t="shared" si="0"/>
        <v>A0030</v>
      </c>
      <c r="S32" t="s">
        <v>531</v>
      </c>
    </row>
    <row r="33" spans="1:19" x14ac:dyDescent="0.3">
      <c r="A33" s="60">
        <f t="shared" si="1"/>
        <v>31</v>
      </c>
      <c r="B33" s="175" t="s">
        <v>386</v>
      </c>
      <c r="C33" s="130">
        <f t="shared" si="10"/>
        <v>20</v>
      </c>
      <c r="D33" s="130">
        <f t="shared" si="11"/>
        <v>17</v>
      </c>
      <c r="E33" s="130">
        <f t="shared" si="12"/>
        <v>16</v>
      </c>
      <c r="F33" t="s">
        <v>75</v>
      </c>
      <c r="G33" t="s">
        <v>92</v>
      </c>
      <c r="H33" t="s">
        <v>955</v>
      </c>
      <c r="I33" t="s">
        <v>107</v>
      </c>
      <c r="J33" t="s">
        <v>108</v>
      </c>
      <c r="K33" t="s">
        <v>108</v>
      </c>
      <c r="L33" t="s">
        <v>108</v>
      </c>
      <c r="O33"/>
      <c r="R33" t="str">
        <f t="shared" si="0"/>
        <v>A0031</v>
      </c>
      <c r="S33" t="s">
        <v>532</v>
      </c>
    </row>
    <row r="34" spans="1:19" x14ac:dyDescent="0.3">
      <c r="A34" s="60">
        <f t="shared" si="1"/>
        <v>32</v>
      </c>
      <c r="B34" s="175" t="s">
        <v>387</v>
      </c>
      <c r="C34" s="130">
        <f t="shared" si="10"/>
        <v>21</v>
      </c>
      <c r="D34" s="130">
        <f t="shared" si="11"/>
        <v>18</v>
      </c>
      <c r="E34" s="130">
        <f t="shared" si="12"/>
        <v>17</v>
      </c>
      <c r="F34" t="s">
        <v>75</v>
      </c>
      <c r="G34" t="s">
        <v>92</v>
      </c>
      <c r="H34" t="s">
        <v>955</v>
      </c>
      <c r="I34" t="s">
        <v>107</v>
      </c>
      <c r="J34" t="s">
        <v>108</v>
      </c>
      <c r="K34" t="s">
        <v>108</v>
      </c>
      <c r="L34" t="s">
        <v>108</v>
      </c>
      <c r="O34"/>
      <c r="R34" t="str">
        <f t="shared" si="0"/>
        <v>A0032</v>
      </c>
      <c r="S34" t="s">
        <v>533</v>
      </c>
    </row>
    <row r="35" spans="1:19" x14ac:dyDescent="0.3">
      <c r="A35" s="60">
        <f t="shared" si="1"/>
        <v>33</v>
      </c>
      <c r="B35" s="175" t="s">
        <v>388</v>
      </c>
      <c r="C35" s="130">
        <f t="shared" si="10"/>
        <v>22</v>
      </c>
      <c r="D35" s="130">
        <f t="shared" si="11"/>
        <v>19</v>
      </c>
      <c r="E35" s="130">
        <f t="shared" si="12"/>
        <v>18</v>
      </c>
      <c r="F35" t="s">
        <v>75</v>
      </c>
      <c r="G35" t="s">
        <v>92</v>
      </c>
      <c r="H35" t="s">
        <v>955</v>
      </c>
      <c r="I35" t="s">
        <v>107</v>
      </c>
      <c r="J35" t="s">
        <v>108</v>
      </c>
      <c r="K35" t="s">
        <v>108</v>
      </c>
      <c r="L35" t="s">
        <v>108</v>
      </c>
      <c r="O35"/>
      <c r="R35" t="str">
        <f t="shared" si="0"/>
        <v>A0033</v>
      </c>
      <c r="S35" t="s">
        <v>534</v>
      </c>
    </row>
    <row r="36" spans="1:19" x14ac:dyDescent="0.3">
      <c r="A36" s="60">
        <f t="shared" si="1"/>
        <v>34</v>
      </c>
      <c r="B36" s="175" t="s">
        <v>389</v>
      </c>
      <c r="C36" s="130">
        <f t="shared" si="10"/>
        <v>23</v>
      </c>
      <c r="D36" s="130">
        <f t="shared" si="11"/>
        <v>20</v>
      </c>
      <c r="E36" s="130">
        <f t="shared" si="12"/>
        <v>19</v>
      </c>
      <c r="F36" t="s">
        <v>75</v>
      </c>
      <c r="G36" t="s">
        <v>92</v>
      </c>
      <c r="H36" t="s">
        <v>955</v>
      </c>
      <c r="I36" t="s">
        <v>107</v>
      </c>
      <c r="J36" t="s">
        <v>108</v>
      </c>
      <c r="K36" t="s">
        <v>108</v>
      </c>
      <c r="L36" t="s">
        <v>108</v>
      </c>
      <c r="O36"/>
      <c r="R36" t="str">
        <f t="shared" si="0"/>
        <v>A0034</v>
      </c>
      <c r="S36" t="s">
        <v>535</v>
      </c>
    </row>
    <row r="37" spans="1:19" x14ac:dyDescent="0.3">
      <c r="A37" s="60">
        <f t="shared" si="1"/>
        <v>35</v>
      </c>
      <c r="B37" s="175" t="s">
        <v>390</v>
      </c>
      <c r="C37" s="130">
        <f t="shared" si="10"/>
        <v>24</v>
      </c>
      <c r="D37" s="130">
        <f t="shared" si="11"/>
        <v>21</v>
      </c>
      <c r="E37" s="130">
        <f t="shared" si="12"/>
        <v>20</v>
      </c>
      <c r="F37" t="s">
        <v>75</v>
      </c>
      <c r="G37" t="s">
        <v>92</v>
      </c>
      <c r="H37" t="s">
        <v>955</v>
      </c>
      <c r="I37" t="s">
        <v>107</v>
      </c>
      <c r="J37" t="s">
        <v>108</v>
      </c>
      <c r="K37" t="s">
        <v>108</v>
      </c>
      <c r="L37" t="s">
        <v>108</v>
      </c>
      <c r="O37"/>
      <c r="R37" t="str">
        <f t="shared" si="0"/>
        <v>A0035</v>
      </c>
      <c r="S37" t="s">
        <v>536</v>
      </c>
    </row>
    <row r="38" spans="1:19" x14ac:dyDescent="0.3">
      <c r="A38" s="60">
        <f t="shared" si="1"/>
        <v>36</v>
      </c>
      <c r="B38" s="175" t="s">
        <v>391</v>
      </c>
      <c r="C38" s="130">
        <f t="shared" si="10"/>
        <v>25</v>
      </c>
      <c r="D38" s="130">
        <f t="shared" si="11"/>
        <v>22</v>
      </c>
      <c r="E38" s="130">
        <f t="shared" si="12"/>
        <v>21</v>
      </c>
      <c r="F38" t="s">
        <v>75</v>
      </c>
      <c r="G38" t="s">
        <v>92</v>
      </c>
      <c r="H38" t="s">
        <v>955</v>
      </c>
      <c r="I38" t="s">
        <v>107</v>
      </c>
      <c r="J38" t="s">
        <v>108</v>
      </c>
      <c r="K38" t="s">
        <v>108</v>
      </c>
      <c r="L38" t="s">
        <v>108</v>
      </c>
      <c r="O38"/>
      <c r="R38" t="str">
        <f t="shared" si="0"/>
        <v>A0036</v>
      </c>
      <c r="S38" t="s">
        <v>537</v>
      </c>
    </row>
    <row r="39" spans="1:19" x14ac:dyDescent="0.3">
      <c r="A39" s="59">
        <f t="shared" si="1"/>
        <v>37</v>
      </c>
      <c r="B39" s="29" t="s">
        <v>370</v>
      </c>
      <c r="C39" s="219">
        <f>+D39+7.5</f>
        <v>24.5</v>
      </c>
      <c r="D39" s="219">
        <f>+E39+1</f>
        <v>17</v>
      </c>
      <c r="E39" s="219">
        <v>16</v>
      </c>
      <c r="F39" t="s">
        <v>75</v>
      </c>
      <c r="G39" t="s">
        <v>398</v>
      </c>
      <c r="H39" t="s">
        <v>955</v>
      </c>
      <c r="I39" t="s">
        <v>107</v>
      </c>
      <c r="J39" t="s">
        <v>108</v>
      </c>
      <c r="K39" t="s">
        <v>108</v>
      </c>
      <c r="L39" t="s">
        <v>108</v>
      </c>
      <c r="M39" s="172" t="s">
        <v>19</v>
      </c>
      <c r="N39" s="172" t="s">
        <v>43</v>
      </c>
      <c r="O39" s="44">
        <f>ROUND(VLOOKUP(N39,[1]INDICE!$A$5:$D$424,4,FALSE),2)</f>
        <v>14.11</v>
      </c>
      <c r="R39" t="str">
        <f t="shared" si="0"/>
        <v>A0037</v>
      </c>
      <c r="S39" t="s">
        <v>538</v>
      </c>
    </row>
    <row r="40" spans="1:19" x14ac:dyDescent="0.3">
      <c r="A40" s="59">
        <f t="shared" si="1"/>
        <v>38</v>
      </c>
      <c r="B40" s="29" t="s">
        <v>371</v>
      </c>
      <c r="C40" s="219">
        <f t="shared" ref="C40:C47" si="13">+D40+7.5</f>
        <v>25.5</v>
      </c>
      <c r="D40" s="219">
        <f>+D39+1</f>
        <v>18</v>
      </c>
      <c r="E40" s="219">
        <f>+E39+1</f>
        <v>17</v>
      </c>
      <c r="F40" t="s">
        <v>75</v>
      </c>
      <c r="G40" t="s">
        <v>398</v>
      </c>
      <c r="H40" t="s">
        <v>955</v>
      </c>
      <c r="I40" t="s">
        <v>107</v>
      </c>
      <c r="J40" t="s">
        <v>108</v>
      </c>
      <c r="K40" t="s">
        <v>108</v>
      </c>
      <c r="L40" t="s">
        <v>108</v>
      </c>
      <c r="O40"/>
      <c r="R40" t="str">
        <f t="shared" si="0"/>
        <v>A0038</v>
      </c>
      <c r="S40" t="s">
        <v>539</v>
      </c>
    </row>
    <row r="41" spans="1:19" x14ac:dyDescent="0.3">
      <c r="A41" s="59">
        <f t="shared" si="1"/>
        <v>39</v>
      </c>
      <c r="B41" s="29" t="s">
        <v>372</v>
      </c>
      <c r="C41" s="219">
        <f t="shared" si="13"/>
        <v>26.5</v>
      </c>
      <c r="D41" s="219">
        <f t="shared" ref="D41:D47" si="14">+D40+1</f>
        <v>19</v>
      </c>
      <c r="E41" s="219">
        <f t="shared" ref="E41:E47" si="15">+E40+1</f>
        <v>18</v>
      </c>
      <c r="F41" t="s">
        <v>75</v>
      </c>
      <c r="G41" t="s">
        <v>398</v>
      </c>
      <c r="H41" t="s">
        <v>955</v>
      </c>
      <c r="I41" t="s">
        <v>107</v>
      </c>
      <c r="J41" t="s">
        <v>108</v>
      </c>
      <c r="K41" t="s">
        <v>108</v>
      </c>
      <c r="L41" t="s">
        <v>108</v>
      </c>
      <c r="O41"/>
      <c r="R41" t="str">
        <f t="shared" si="0"/>
        <v>A0039</v>
      </c>
      <c r="S41" t="s">
        <v>540</v>
      </c>
    </row>
    <row r="42" spans="1:19" x14ac:dyDescent="0.3">
      <c r="A42" s="59">
        <f t="shared" si="1"/>
        <v>40</v>
      </c>
      <c r="B42" s="29" t="s">
        <v>373</v>
      </c>
      <c r="C42" s="219">
        <f t="shared" si="13"/>
        <v>27.5</v>
      </c>
      <c r="D42" s="219">
        <f t="shared" si="14"/>
        <v>20</v>
      </c>
      <c r="E42" s="219">
        <f t="shared" si="15"/>
        <v>19</v>
      </c>
      <c r="F42" t="s">
        <v>75</v>
      </c>
      <c r="G42" t="s">
        <v>398</v>
      </c>
      <c r="H42" t="s">
        <v>955</v>
      </c>
      <c r="I42" t="s">
        <v>107</v>
      </c>
      <c r="J42" t="s">
        <v>108</v>
      </c>
      <c r="K42" t="s">
        <v>108</v>
      </c>
      <c r="L42" t="s">
        <v>108</v>
      </c>
      <c r="O42"/>
      <c r="R42" t="str">
        <f t="shared" si="0"/>
        <v>A0040</v>
      </c>
      <c r="S42" t="s">
        <v>541</v>
      </c>
    </row>
    <row r="43" spans="1:19" x14ac:dyDescent="0.3">
      <c r="A43" s="59">
        <f t="shared" si="1"/>
        <v>41</v>
      </c>
      <c r="B43" s="29" t="s">
        <v>374</v>
      </c>
      <c r="C43" s="219">
        <f t="shared" si="13"/>
        <v>28.5</v>
      </c>
      <c r="D43" s="219">
        <f t="shared" si="14"/>
        <v>21</v>
      </c>
      <c r="E43" s="219">
        <f t="shared" si="15"/>
        <v>20</v>
      </c>
      <c r="F43" t="s">
        <v>75</v>
      </c>
      <c r="G43" t="s">
        <v>398</v>
      </c>
      <c r="H43" t="s">
        <v>955</v>
      </c>
      <c r="I43" t="s">
        <v>107</v>
      </c>
      <c r="J43" t="s">
        <v>108</v>
      </c>
      <c r="K43" t="s">
        <v>108</v>
      </c>
      <c r="L43" t="s">
        <v>108</v>
      </c>
      <c r="O43"/>
      <c r="R43" t="str">
        <f t="shared" si="0"/>
        <v>A0041</v>
      </c>
      <c r="S43" t="s">
        <v>542</v>
      </c>
    </row>
    <row r="44" spans="1:19" x14ac:dyDescent="0.3">
      <c r="A44" s="59">
        <f t="shared" si="1"/>
        <v>42</v>
      </c>
      <c r="B44" s="29" t="s">
        <v>375</v>
      </c>
      <c r="C44" s="219">
        <f t="shared" si="13"/>
        <v>29.5</v>
      </c>
      <c r="D44" s="219">
        <f t="shared" si="14"/>
        <v>22</v>
      </c>
      <c r="E44" s="219">
        <f t="shared" si="15"/>
        <v>21</v>
      </c>
      <c r="F44" t="s">
        <v>75</v>
      </c>
      <c r="G44" t="s">
        <v>398</v>
      </c>
      <c r="H44" t="s">
        <v>955</v>
      </c>
      <c r="I44" t="s">
        <v>107</v>
      </c>
      <c r="J44" t="s">
        <v>108</v>
      </c>
      <c r="K44" t="s">
        <v>108</v>
      </c>
      <c r="L44" t="s">
        <v>108</v>
      </c>
      <c r="O44"/>
      <c r="R44" t="str">
        <f t="shared" si="0"/>
        <v>A0042</v>
      </c>
      <c r="S44" t="s">
        <v>543</v>
      </c>
    </row>
    <row r="45" spans="1:19" x14ac:dyDescent="0.3">
      <c r="A45" s="59">
        <f t="shared" si="1"/>
        <v>43</v>
      </c>
      <c r="B45" s="29" t="s">
        <v>376</v>
      </c>
      <c r="C45" s="219">
        <f t="shared" si="13"/>
        <v>30.5</v>
      </c>
      <c r="D45" s="219">
        <f t="shared" si="14"/>
        <v>23</v>
      </c>
      <c r="E45" s="219">
        <f t="shared" si="15"/>
        <v>22</v>
      </c>
      <c r="F45" t="s">
        <v>75</v>
      </c>
      <c r="G45" t="s">
        <v>398</v>
      </c>
      <c r="H45" t="s">
        <v>955</v>
      </c>
      <c r="I45" t="s">
        <v>107</v>
      </c>
      <c r="J45" t="s">
        <v>108</v>
      </c>
      <c r="K45" t="s">
        <v>108</v>
      </c>
      <c r="L45" t="s">
        <v>108</v>
      </c>
      <c r="O45"/>
      <c r="R45" t="str">
        <f t="shared" si="0"/>
        <v>A0043</v>
      </c>
      <c r="S45" t="s">
        <v>544</v>
      </c>
    </row>
    <row r="46" spans="1:19" x14ac:dyDescent="0.3">
      <c r="A46" s="59">
        <f t="shared" si="1"/>
        <v>44</v>
      </c>
      <c r="B46" s="29" t="s">
        <v>377</v>
      </c>
      <c r="C46" s="219">
        <f t="shared" si="13"/>
        <v>31.5</v>
      </c>
      <c r="D46" s="219">
        <f t="shared" si="14"/>
        <v>24</v>
      </c>
      <c r="E46" s="219">
        <f t="shared" si="15"/>
        <v>23</v>
      </c>
      <c r="F46" t="s">
        <v>75</v>
      </c>
      <c r="G46" t="s">
        <v>398</v>
      </c>
      <c r="H46" t="s">
        <v>955</v>
      </c>
      <c r="I46" t="s">
        <v>107</v>
      </c>
      <c r="J46" t="s">
        <v>108</v>
      </c>
      <c r="K46" t="s">
        <v>108</v>
      </c>
      <c r="L46" t="s">
        <v>108</v>
      </c>
      <c r="O46"/>
      <c r="R46" t="str">
        <f t="shared" si="0"/>
        <v>A0044</v>
      </c>
      <c r="S46" t="s">
        <v>545</v>
      </c>
    </row>
    <row r="47" spans="1:19" x14ac:dyDescent="0.3">
      <c r="A47" s="59">
        <f t="shared" si="1"/>
        <v>45</v>
      </c>
      <c r="B47" s="29" t="s">
        <v>378</v>
      </c>
      <c r="C47" s="219">
        <f t="shared" si="13"/>
        <v>32.5</v>
      </c>
      <c r="D47" s="219">
        <f t="shared" si="14"/>
        <v>25</v>
      </c>
      <c r="E47" s="219">
        <f t="shared" si="15"/>
        <v>24</v>
      </c>
      <c r="F47" t="s">
        <v>75</v>
      </c>
      <c r="G47" t="s">
        <v>398</v>
      </c>
      <c r="H47" t="s">
        <v>955</v>
      </c>
      <c r="I47" t="s">
        <v>107</v>
      </c>
      <c r="J47" t="s">
        <v>108</v>
      </c>
      <c r="K47" t="s">
        <v>108</v>
      </c>
      <c r="L47" t="s">
        <v>108</v>
      </c>
      <c r="O47"/>
      <c r="R47" t="str">
        <f t="shared" si="0"/>
        <v>A0045</v>
      </c>
      <c r="S47" t="s">
        <v>546</v>
      </c>
    </row>
    <row r="48" spans="1:19" x14ac:dyDescent="0.3">
      <c r="A48" s="71">
        <f t="shared" si="1"/>
        <v>46</v>
      </c>
      <c r="B48" s="40" t="s">
        <v>405</v>
      </c>
      <c r="C48" s="233">
        <f>+D48+7.5</f>
        <v>26.5</v>
      </c>
      <c r="D48" s="233">
        <f>+E48+1</f>
        <v>19</v>
      </c>
      <c r="E48" s="233">
        <v>18</v>
      </c>
      <c r="F48" t="s">
        <v>75</v>
      </c>
      <c r="G48" t="s">
        <v>112</v>
      </c>
      <c r="H48" t="s">
        <v>955</v>
      </c>
      <c r="I48" t="s">
        <v>107</v>
      </c>
      <c r="J48" t="s">
        <v>108</v>
      </c>
      <c r="K48" t="s">
        <v>108</v>
      </c>
      <c r="L48" t="s">
        <v>108</v>
      </c>
      <c r="M48" s="172" t="s">
        <v>19</v>
      </c>
      <c r="N48" s="172" t="s">
        <v>45</v>
      </c>
      <c r="O48" s="44">
        <f>ROUND(VLOOKUP(N48,[1]INDICE!$A$5:$D$424,4,FALSE),2)</f>
        <v>15.65</v>
      </c>
      <c r="R48" t="str">
        <f t="shared" si="0"/>
        <v>A0046</v>
      </c>
      <c r="S48" t="s">
        <v>547</v>
      </c>
    </row>
    <row r="49" spans="1:19" x14ac:dyDescent="0.3">
      <c r="A49" s="71">
        <f t="shared" si="1"/>
        <v>47</v>
      </c>
      <c r="B49" s="40" t="s">
        <v>406</v>
      </c>
      <c r="C49" s="233">
        <f t="shared" ref="C49:C56" si="16">+D49+3</f>
        <v>23</v>
      </c>
      <c r="D49" s="233">
        <f>+D48+1</f>
        <v>20</v>
      </c>
      <c r="E49" s="233">
        <f>+E48+1</f>
        <v>19</v>
      </c>
      <c r="F49" t="s">
        <v>75</v>
      </c>
      <c r="G49" t="s">
        <v>112</v>
      </c>
      <c r="H49" t="s">
        <v>955</v>
      </c>
      <c r="I49" t="s">
        <v>107</v>
      </c>
      <c r="J49" t="s">
        <v>108</v>
      </c>
      <c r="K49" t="s">
        <v>108</v>
      </c>
      <c r="L49" t="s">
        <v>108</v>
      </c>
      <c r="O49"/>
      <c r="R49" t="str">
        <f t="shared" si="0"/>
        <v>A0047</v>
      </c>
      <c r="S49" t="s">
        <v>548</v>
      </c>
    </row>
    <row r="50" spans="1:19" x14ac:dyDescent="0.3">
      <c r="A50" s="71">
        <f t="shared" si="1"/>
        <v>48</v>
      </c>
      <c r="B50" s="40" t="s">
        <v>407</v>
      </c>
      <c r="C50" s="233">
        <f t="shared" si="16"/>
        <v>24</v>
      </c>
      <c r="D50" s="233">
        <f t="shared" ref="D50:D56" si="17">+D49+1</f>
        <v>21</v>
      </c>
      <c r="E50" s="233">
        <f t="shared" ref="E50:E56" si="18">+E49+1</f>
        <v>20</v>
      </c>
      <c r="F50" t="s">
        <v>75</v>
      </c>
      <c r="G50" t="s">
        <v>112</v>
      </c>
      <c r="H50" t="s">
        <v>955</v>
      </c>
      <c r="I50" t="s">
        <v>107</v>
      </c>
      <c r="J50" t="s">
        <v>108</v>
      </c>
      <c r="K50" t="s">
        <v>108</v>
      </c>
      <c r="L50" t="s">
        <v>108</v>
      </c>
      <c r="O50"/>
      <c r="R50" t="str">
        <f t="shared" si="0"/>
        <v>A0048</v>
      </c>
      <c r="S50" t="s">
        <v>549</v>
      </c>
    </row>
    <row r="51" spans="1:19" x14ac:dyDescent="0.3">
      <c r="A51" s="71">
        <f t="shared" si="1"/>
        <v>49</v>
      </c>
      <c r="B51" s="40" t="s">
        <v>408</v>
      </c>
      <c r="C51" s="233">
        <f t="shared" si="16"/>
        <v>25</v>
      </c>
      <c r="D51" s="233">
        <f t="shared" si="17"/>
        <v>22</v>
      </c>
      <c r="E51" s="233">
        <f t="shared" si="18"/>
        <v>21</v>
      </c>
      <c r="F51" t="s">
        <v>75</v>
      </c>
      <c r="G51" t="s">
        <v>112</v>
      </c>
      <c r="H51" t="s">
        <v>955</v>
      </c>
      <c r="I51" t="s">
        <v>107</v>
      </c>
      <c r="J51" t="s">
        <v>108</v>
      </c>
      <c r="K51" t="s">
        <v>108</v>
      </c>
      <c r="L51" t="s">
        <v>108</v>
      </c>
      <c r="O51"/>
      <c r="R51" t="str">
        <f t="shared" si="0"/>
        <v>A0049</v>
      </c>
      <c r="S51" t="s">
        <v>550</v>
      </c>
    </row>
    <row r="52" spans="1:19" x14ac:dyDescent="0.3">
      <c r="A52" s="71">
        <f t="shared" si="1"/>
        <v>50</v>
      </c>
      <c r="B52" s="40" t="s">
        <v>409</v>
      </c>
      <c r="C52" s="233">
        <f t="shared" si="16"/>
        <v>26</v>
      </c>
      <c r="D52" s="233">
        <f t="shared" si="17"/>
        <v>23</v>
      </c>
      <c r="E52" s="233">
        <f t="shared" si="18"/>
        <v>22</v>
      </c>
      <c r="F52" t="s">
        <v>75</v>
      </c>
      <c r="G52" t="s">
        <v>112</v>
      </c>
      <c r="H52" t="s">
        <v>955</v>
      </c>
      <c r="I52" t="s">
        <v>107</v>
      </c>
      <c r="J52" t="s">
        <v>108</v>
      </c>
      <c r="K52" t="s">
        <v>108</v>
      </c>
      <c r="L52" t="s">
        <v>108</v>
      </c>
      <c r="O52"/>
      <c r="R52" t="str">
        <f t="shared" si="0"/>
        <v>A0050</v>
      </c>
      <c r="S52" t="s">
        <v>551</v>
      </c>
    </row>
    <row r="53" spans="1:19" x14ac:dyDescent="0.3">
      <c r="A53" s="71">
        <f t="shared" si="1"/>
        <v>51</v>
      </c>
      <c r="B53" s="40" t="s">
        <v>410</v>
      </c>
      <c r="C53" s="233">
        <f t="shared" si="16"/>
        <v>27</v>
      </c>
      <c r="D53" s="233">
        <f t="shared" si="17"/>
        <v>24</v>
      </c>
      <c r="E53" s="233">
        <f t="shared" si="18"/>
        <v>23</v>
      </c>
      <c r="F53" t="s">
        <v>75</v>
      </c>
      <c r="G53" t="s">
        <v>112</v>
      </c>
      <c r="H53" t="s">
        <v>955</v>
      </c>
      <c r="I53" t="s">
        <v>107</v>
      </c>
      <c r="J53" t="s">
        <v>108</v>
      </c>
      <c r="K53" t="s">
        <v>108</v>
      </c>
      <c r="L53" t="s">
        <v>108</v>
      </c>
      <c r="O53"/>
      <c r="R53" t="str">
        <f t="shared" si="0"/>
        <v>A0051</v>
      </c>
      <c r="S53" t="s">
        <v>552</v>
      </c>
    </row>
    <row r="54" spans="1:19" x14ac:dyDescent="0.3">
      <c r="A54" s="71">
        <f t="shared" si="1"/>
        <v>52</v>
      </c>
      <c r="B54" s="40" t="s">
        <v>411</v>
      </c>
      <c r="C54" s="233">
        <f t="shared" si="16"/>
        <v>28</v>
      </c>
      <c r="D54" s="233">
        <f t="shared" si="17"/>
        <v>25</v>
      </c>
      <c r="E54" s="233">
        <f t="shared" si="18"/>
        <v>24</v>
      </c>
      <c r="F54" t="s">
        <v>75</v>
      </c>
      <c r="G54" t="s">
        <v>112</v>
      </c>
      <c r="H54" t="s">
        <v>955</v>
      </c>
      <c r="I54" t="s">
        <v>107</v>
      </c>
      <c r="J54" t="s">
        <v>108</v>
      </c>
      <c r="K54" t="s">
        <v>108</v>
      </c>
      <c r="L54" t="s">
        <v>108</v>
      </c>
      <c r="O54"/>
      <c r="R54" t="str">
        <f t="shared" si="0"/>
        <v>A0052</v>
      </c>
      <c r="S54" t="s">
        <v>553</v>
      </c>
    </row>
    <row r="55" spans="1:19" x14ac:dyDescent="0.3">
      <c r="A55" s="71">
        <f t="shared" si="1"/>
        <v>53</v>
      </c>
      <c r="B55" s="40" t="s">
        <v>412</v>
      </c>
      <c r="C55" s="233">
        <f t="shared" si="16"/>
        <v>29</v>
      </c>
      <c r="D55" s="233">
        <f t="shared" si="17"/>
        <v>26</v>
      </c>
      <c r="E55" s="233">
        <f t="shared" si="18"/>
        <v>25</v>
      </c>
      <c r="F55" t="s">
        <v>75</v>
      </c>
      <c r="G55" t="s">
        <v>112</v>
      </c>
      <c r="H55" t="s">
        <v>955</v>
      </c>
      <c r="I55" t="s">
        <v>107</v>
      </c>
      <c r="J55" t="s">
        <v>108</v>
      </c>
      <c r="K55" t="s">
        <v>108</v>
      </c>
      <c r="L55" t="s">
        <v>108</v>
      </c>
      <c r="O55"/>
      <c r="R55" t="str">
        <f t="shared" si="0"/>
        <v>A0053</v>
      </c>
      <c r="S55" t="s">
        <v>554</v>
      </c>
    </row>
    <row r="56" spans="1:19" x14ac:dyDescent="0.3">
      <c r="A56" s="71">
        <f t="shared" si="1"/>
        <v>54</v>
      </c>
      <c r="B56" s="40" t="s">
        <v>413</v>
      </c>
      <c r="C56" s="233">
        <f t="shared" si="16"/>
        <v>30</v>
      </c>
      <c r="D56" s="233">
        <f t="shared" si="17"/>
        <v>27</v>
      </c>
      <c r="E56" s="233">
        <f t="shared" si="18"/>
        <v>26</v>
      </c>
      <c r="F56" t="s">
        <v>75</v>
      </c>
      <c r="G56" t="s">
        <v>112</v>
      </c>
      <c r="H56" t="s">
        <v>955</v>
      </c>
      <c r="I56" t="s">
        <v>107</v>
      </c>
      <c r="J56" t="s">
        <v>108</v>
      </c>
      <c r="K56" t="s">
        <v>108</v>
      </c>
      <c r="L56" t="s">
        <v>108</v>
      </c>
      <c r="O56"/>
      <c r="R56" t="str">
        <f t="shared" si="0"/>
        <v>A0054</v>
      </c>
      <c r="S56" t="s">
        <v>555</v>
      </c>
    </row>
    <row r="57" spans="1:19" x14ac:dyDescent="0.3">
      <c r="A57" s="64">
        <f t="shared" si="1"/>
        <v>55</v>
      </c>
      <c r="B57" s="26" t="s">
        <v>443</v>
      </c>
      <c r="C57" s="226">
        <f>+D57+2</f>
        <v>11</v>
      </c>
      <c r="D57" s="226">
        <f>+E57+1</f>
        <v>9</v>
      </c>
      <c r="E57" s="226">
        <v>8</v>
      </c>
      <c r="F57" t="s">
        <v>76</v>
      </c>
      <c r="G57" t="s">
        <v>92</v>
      </c>
      <c r="H57" t="s">
        <v>955</v>
      </c>
      <c r="I57" t="s">
        <v>107</v>
      </c>
      <c r="J57" t="s">
        <v>108</v>
      </c>
      <c r="K57" t="s">
        <v>108</v>
      </c>
      <c r="L57" t="s">
        <v>108</v>
      </c>
      <c r="M57" s="33" t="s">
        <v>19</v>
      </c>
      <c r="N57" s="33" t="s">
        <v>49</v>
      </c>
      <c r="O57" s="44">
        <f>ROUND(VLOOKUP(N57,[1]INDICE!$A$5:$D$424,4,FALSE),2)</f>
        <v>6.15</v>
      </c>
      <c r="R57" t="str">
        <f t="shared" si="0"/>
        <v>A0055</v>
      </c>
      <c r="S57" t="s">
        <v>556</v>
      </c>
    </row>
    <row r="58" spans="1:19" x14ac:dyDescent="0.3">
      <c r="A58" s="64">
        <f t="shared" si="1"/>
        <v>56</v>
      </c>
      <c r="B58" s="26" t="s">
        <v>444</v>
      </c>
      <c r="C58" s="226">
        <f t="shared" ref="C58:C59" si="19">+D58+2</f>
        <v>12</v>
      </c>
      <c r="D58" s="226">
        <f>+D57+1</f>
        <v>10</v>
      </c>
      <c r="E58" s="226">
        <f>+E57+1</f>
        <v>9</v>
      </c>
      <c r="F58" t="s">
        <v>76</v>
      </c>
      <c r="G58" t="s">
        <v>92</v>
      </c>
      <c r="H58" t="s">
        <v>955</v>
      </c>
      <c r="I58" t="s">
        <v>107</v>
      </c>
      <c r="J58" t="s">
        <v>108</v>
      </c>
      <c r="K58" t="s">
        <v>108</v>
      </c>
      <c r="L58" t="s">
        <v>108</v>
      </c>
      <c r="O58" s="35"/>
      <c r="R58" t="str">
        <f t="shared" si="0"/>
        <v>A0056</v>
      </c>
      <c r="S58" t="s">
        <v>557</v>
      </c>
    </row>
    <row r="59" spans="1:19" x14ac:dyDescent="0.3">
      <c r="A59" s="64">
        <f t="shared" si="1"/>
        <v>57</v>
      </c>
      <c r="B59" s="26" t="s">
        <v>445</v>
      </c>
      <c r="C59" s="226">
        <f t="shared" si="19"/>
        <v>13</v>
      </c>
      <c r="D59" s="226">
        <f>+D58+1</f>
        <v>11</v>
      </c>
      <c r="E59" s="226">
        <f>+E58+1</f>
        <v>10</v>
      </c>
      <c r="F59" t="s">
        <v>76</v>
      </c>
      <c r="G59" t="s">
        <v>92</v>
      </c>
      <c r="H59" t="s">
        <v>955</v>
      </c>
      <c r="I59" t="s">
        <v>107</v>
      </c>
      <c r="J59" t="s">
        <v>108</v>
      </c>
      <c r="K59" t="s">
        <v>108</v>
      </c>
      <c r="L59" t="s">
        <v>108</v>
      </c>
      <c r="O59" s="35"/>
      <c r="R59" t="str">
        <f t="shared" si="0"/>
        <v>A0057</v>
      </c>
      <c r="S59" t="s">
        <v>558</v>
      </c>
    </row>
    <row r="60" spans="1:19" x14ac:dyDescent="0.3">
      <c r="A60" s="64">
        <f t="shared" si="1"/>
        <v>58</v>
      </c>
      <c r="B60" s="26" t="s">
        <v>446</v>
      </c>
      <c r="C60" s="226">
        <f t="shared" ref="C60:C65" si="20">+D60+2</f>
        <v>14</v>
      </c>
      <c r="D60" s="226">
        <f t="shared" ref="D60:D65" si="21">+D59+1</f>
        <v>12</v>
      </c>
      <c r="E60" s="226">
        <f t="shared" ref="E60:E65" si="22">+E59+1</f>
        <v>11</v>
      </c>
      <c r="F60" t="s">
        <v>76</v>
      </c>
      <c r="G60" t="s">
        <v>92</v>
      </c>
      <c r="H60" t="s">
        <v>955</v>
      </c>
      <c r="I60" t="s">
        <v>107</v>
      </c>
      <c r="J60" t="s">
        <v>108</v>
      </c>
      <c r="K60" t="s">
        <v>108</v>
      </c>
      <c r="L60" t="s">
        <v>108</v>
      </c>
      <c r="O60" s="35"/>
      <c r="R60" t="str">
        <f t="shared" si="0"/>
        <v>A0058</v>
      </c>
      <c r="S60" t="s">
        <v>559</v>
      </c>
    </row>
    <row r="61" spans="1:19" x14ac:dyDescent="0.3">
      <c r="A61" s="64">
        <f t="shared" si="1"/>
        <v>59</v>
      </c>
      <c r="B61" s="26" t="s">
        <v>447</v>
      </c>
      <c r="C61" s="226">
        <f t="shared" si="20"/>
        <v>15</v>
      </c>
      <c r="D61" s="226">
        <f t="shared" si="21"/>
        <v>13</v>
      </c>
      <c r="E61" s="226">
        <f t="shared" si="22"/>
        <v>12</v>
      </c>
      <c r="F61" t="s">
        <v>76</v>
      </c>
      <c r="G61" t="s">
        <v>92</v>
      </c>
      <c r="H61" t="s">
        <v>955</v>
      </c>
      <c r="I61" t="s">
        <v>107</v>
      </c>
      <c r="J61" t="s">
        <v>108</v>
      </c>
      <c r="K61" t="s">
        <v>108</v>
      </c>
      <c r="L61" t="s">
        <v>108</v>
      </c>
      <c r="O61" s="35"/>
      <c r="R61" t="str">
        <f t="shared" si="0"/>
        <v>A0059</v>
      </c>
      <c r="S61" t="s">
        <v>560</v>
      </c>
    </row>
    <row r="62" spans="1:19" x14ac:dyDescent="0.3">
      <c r="A62" s="64">
        <f t="shared" si="1"/>
        <v>60</v>
      </c>
      <c r="B62" s="26" t="s">
        <v>448</v>
      </c>
      <c r="C62" s="226">
        <f t="shared" si="20"/>
        <v>16</v>
      </c>
      <c r="D62" s="226">
        <f t="shared" si="21"/>
        <v>14</v>
      </c>
      <c r="E62" s="226">
        <f t="shared" si="22"/>
        <v>13</v>
      </c>
      <c r="F62" t="s">
        <v>76</v>
      </c>
      <c r="G62" t="s">
        <v>92</v>
      </c>
      <c r="H62" t="s">
        <v>955</v>
      </c>
      <c r="I62" t="s">
        <v>107</v>
      </c>
      <c r="J62" t="s">
        <v>108</v>
      </c>
      <c r="K62" t="s">
        <v>108</v>
      </c>
      <c r="L62" t="s">
        <v>108</v>
      </c>
      <c r="O62" s="35"/>
      <c r="R62" t="str">
        <f t="shared" si="0"/>
        <v>A0060</v>
      </c>
      <c r="S62" t="s">
        <v>561</v>
      </c>
    </row>
    <row r="63" spans="1:19" x14ac:dyDescent="0.3">
      <c r="A63" s="64">
        <f t="shared" si="1"/>
        <v>61</v>
      </c>
      <c r="B63" s="26" t="s">
        <v>449</v>
      </c>
      <c r="C63" s="226">
        <f t="shared" si="20"/>
        <v>17</v>
      </c>
      <c r="D63" s="226">
        <f t="shared" si="21"/>
        <v>15</v>
      </c>
      <c r="E63" s="226">
        <f t="shared" si="22"/>
        <v>14</v>
      </c>
      <c r="F63" t="s">
        <v>76</v>
      </c>
      <c r="G63" t="s">
        <v>92</v>
      </c>
      <c r="H63" t="s">
        <v>955</v>
      </c>
      <c r="I63" t="s">
        <v>107</v>
      </c>
      <c r="J63" t="s">
        <v>108</v>
      </c>
      <c r="K63" t="s">
        <v>108</v>
      </c>
      <c r="L63" t="s">
        <v>108</v>
      </c>
      <c r="O63" s="35"/>
      <c r="R63" t="str">
        <f t="shared" si="0"/>
        <v>A0061</v>
      </c>
      <c r="S63" t="s">
        <v>562</v>
      </c>
    </row>
    <row r="64" spans="1:19" x14ac:dyDescent="0.3">
      <c r="A64" s="64">
        <f t="shared" si="1"/>
        <v>62</v>
      </c>
      <c r="B64" s="26" t="s">
        <v>450</v>
      </c>
      <c r="C64" s="226">
        <f t="shared" si="20"/>
        <v>18</v>
      </c>
      <c r="D64" s="226">
        <f t="shared" si="21"/>
        <v>16</v>
      </c>
      <c r="E64" s="226">
        <f t="shared" si="22"/>
        <v>15</v>
      </c>
      <c r="F64" t="s">
        <v>76</v>
      </c>
      <c r="G64" t="s">
        <v>92</v>
      </c>
      <c r="H64" t="s">
        <v>955</v>
      </c>
      <c r="I64" t="s">
        <v>107</v>
      </c>
      <c r="J64" t="s">
        <v>108</v>
      </c>
      <c r="K64" t="s">
        <v>108</v>
      </c>
      <c r="L64" t="s">
        <v>108</v>
      </c>
      <c r="O64" s="35"/>
      <c r="R64" t="str">
        <f t="shared" si="0"/>
        <v>A0062</v>
      </c>
      <c r="S64" t="s">
        <v>563</v>
      </c>
    </row>
    <row r="65" spans="1:19" x14ac:dyDescent="0.3">
      <c r="A65" s="64">
        <f t="shared" si="1"/>
        <v>63</v>
      </c>
      <c r="B65" s="26" t="s">
        <v>451</v>
      </c>
      <c r="C65" s="226">
        <f t="shared" si="20"/>
        <v>19</v>
      </c>
      <c r="D65" s="226">
        <f t="shared" si="21"/>
        <v>17</v>
      </c>
      <c r="E65" s="226">
        <f t="shared" si="22"/>
        <v>16</v>
      </c>
      <c r="F65" t="s">
        <v>76</v>
      </c>
      <c r="G65" t="s">
        <v>92</v>
      </c>
      <c r="H65" t="s">
        <v>955</v>
      </c>
      <c r="I65" t="s">
        <v>107</v>
      </c>
      <c r="J65" t="s">
        <v>108</v>
      </c>
      <c r="K65" t="s">
        <v>108</v>
      </c>
      <c r="L65" t="s">
        <v>108</v>
      </c>
      <c r="O65" s="35"/>
      <c r="R65" t="str">
        <f t="shared" si="0"/>
        <v>A0063</v>
      </c>
      <c r="S65" t="s">
        <v>564</v>
      </c>
    </row>
    <row r="66" spans="1:19" x14ac:dyDescent="0.3">
      <c r="A66" s="65">
        <f t="shared" si="1"/>
        <v>64</v>
      </c>
      <c r="B66" s="25" t="s">
        <v>322</v>
      </c>
      <c r="C66" s="227">
        <f>+D66+2</f>
        <v>12</v>
      </c>
      <c r="D66" s="227">
        <f>+E66+1</f>
        <v>10</v>
      </c>
      <c r="E66" s="227">
        <f>+E57+1</f>
        <v>9</v>
      </c>
      <c r="F66" t="s">
        <v>76</v>
      </c>
      <c r="G66" t="s">
        <v>398</v>
      </c>
      <c r="H66" t="s">
        <v>955</v>
      </c>
      <c r="I66" t="s">
        <v>107</v>
      </c>
      <c r="J66" t="s">
        <v>108</v>
      </c>
      <c r="K66" t="s">
        <v>108</v>
      </c>
      <c r="L66" t="s">
        <v>108</v>
      </c>
      <c r="M66" s="33" t="s">
        <v>19</v>
      </c>
      <c r="N66" s="33" t="s">
        <v>49</v>
      </c>
      <c r="O66" s="44">
        <f>ROUND(VLOOKUP(N66,[1]INDICE!$A$5:$D$424,4,FALSE),2)</f>
        <v>6.15</v>
      </c>
      <c r="R66" t="str">
        <f t="shared" si="0"/>
        <v>A0064</v>
      </c>
      <c r="S66" t="s">
        <v>565</v>
      </c>
    </row>
    <row r="67" spans="1:19" x14ac:dyDescent="0.3">
      <c r="A67" s="65">
        <f t="shared" si="1"/>
        <v>65</v>
      </c>
      <c r="B67" s="24" t="s">
        <v>323</v>
      </c>
      <c r="C67" s="228">
        <f>+D67+2</f>
        <v>13</v>
      </c>
      <c r="D67" s="228">
        <f>+D66+1</f>
        <v>11</v>
      </c>
      <c r="E67" s="228">
        <f>+E66+1</f>
        <v>10</v>
      </c>
      <c r="F67" t="s">
        <v>76</v>
      </c>
      <c r="G67" t="s">
        <v>398</v>
      </c>
      <c r="H67" t="s">
        <v>955</v>
      </c>
      <c r="I67" t="s">
        <v>107</v>
      </c>
      <c r="J67" t="s">
        <v>108</v>
      </c>
      <c r="K67" t="s">
        <v>108</v>
      </c>
      <c r="L67" t="s">
        <v>108</v>
      </c>
      <c r="O67" s="35"/>
      <c r="R67" t="str">
        <f t="shared" si="0"/>
        <v>A0065</v>
      </c>
      <c r="S67" t="s">
        <v>566</v>
      </c>
    </row>
    <row r="68" spans="1:19" x14ac:dyDescent="0.3">
      <c r="A68" s="65">
        <f t="shared" si="1"/>
        <v>66</v>
      </c>
      <c r="B68" s="24" t="s">
        <v>324</v>
      </c>
      <c r="C68" s="228">
        <f t="shared" ref="C68:C74" si="23">+D68+2</f>
        <v>14</v>
      </c>
      <c r="D68" s="228">
        <f t="shared" ref="D68:D74" si="24">+D67+1</f>
        <v>12</v>
      </c>
      <c r="E68" s="228">
        <f t="shared" ref="E68:E74" si="25">+E67+1</f>
        <v>11</v>
      </c>
      <c r="F68" t="s">
        <v>76</v>
      </c>
      <c r="G68" t="s">
        <v>398</v>
      </c>
      <c r="H68" t="s">
        <v>955</v>
      </c>
      <c r="I68" t="s">
        <v>107</v>
      </c>
      <c r="J68" t="s">
        <v>108</v>
      </c>
      <c r="K68" t="s">
        <v>108</v>
      </c>
      <c r="L68" t="s">
        <v>108</v>
      </c>
      <c r="O68" s="35"/>
      <c r="R68" t="str">
        <f t="shared" ref="R68:R131" si="26">+TEXT(A68,"A000#")</f>
        <v>A0066</v>
      </c>
      <c r="S68" t="s">
        <v>567</v>
      </c>
    </row>
    <row r="69" spans="1:19" x14ac:dyDescent="0.3">
      <c r="A69" s="65">
        <f t="shared" ref="A69:A132" si="27">+A68+1</f>
        <v>67</v>
      </c>
      <c r="B69" s="24" t="s">
        <v>325</v>
      </c>
      <c r="C69" s="228">
        <f t="shared" si="23"/>
        <v>15</v>
      </c>
      <c r="D69" s="228">
        <f t="shared" si="24"/>
        <v>13</v>
      </c>
      <c r="E69" s="228">
        <f t="shared" si="25"/>
        <v>12</v>
      </c>
      <c r="F69" t="s">
        <v>76</v>
      </c>
      <c r="G69" t="s">
        <v>398</v>
      </c>
      <c r="H69" t="s">
        <v>955</v>
      </c>
      <c r="I69" t="s">
        <v>107</v>
      </c>
      <c r="J69" t="s">
        <v>108</v>
      </c>
      <c r="K69" t="s">
        <v>108</v>
      </c>
      <c r="L69" t="s">
        <v>108</v>
      </c>
      <c r="O69" s="35"/>
      <c r="R69" t="str">
        <f t="shared" si="26"/>
        <v>A0067</v>
      </c>
      <c r="S69" t="s">
        <v>568</v>
      </c>
    </row>
    <row r="70" spans="1:19" x14ac:dyDescent="0.3">
      <c r="A70" s="65">
        <f t="shared" si="27"/>
        <v>68</v>
      </c>
      <c r="B70" s="24" t="s">
        <v>326</v>
      </c>
      <c r="C70" s="228">
        <f t="shared" si="23"/>
        <v>16</v>
      </c>
      <c r="D70" s="228">
        <f t="shared" si="24"/>
        <v>14</v>
      </c>
      <c r="E70" s="228">
        <f t="shared" si="25"/>
        <v>13</v>
      </c>
      <c r="F70" t="s">
        <v>76</v>
      </c>
      <c r="G70" t="s">
        <v>398</v>
      </c>
      <c r="H70" t="s">
        <v>955</v>
      </c>
      <c r="I70" t="s">
        <v>107</v>
      </c>
      <c r="J70" t="s">
        <v>108</v>
      </c>
      <c r="K70" t="s">
        <v>108</v>
      </c>
      <c r="L70" t="s">
        <v>108</v>
      </c>
      <c r="O70" s="35"/>
      <c r="R70" t="str">
        <f t="shared" si="26"/>
        <v>A0068</v>
      </c>
      <c r="S70" t="s">
        <v>569</v>
      </c>
    </row>
    <row r="71" spans="1:19" x14ac:dyDescent="0.3">
      <c r="A71" s="65">
        <f t="shared" si="27"/>
        <v>69</v>
      </c>
      <c r="B71" s="24" t="s">
        <v>327</v>
      </c>
      <c r="C71" s="228">
        <f t="shared" si="23"/>
        <v>17</v>
      </c>
      <c r="D71" s="228">
        <f t="shared" si="24"/>
        <v>15</v>
      </c>
      <c r="E71" s="228">
        <f t="shared" si="25"/>
        <v>14</v>
      </c>
      <c r="F71" t="s">
        <v>76</v>
      </c>
      <c r="G71" t="s">
        <v>398</v>
      </c>
      <c r="H71" t="s">
        <v>955</v>
      </c>
      <c r="I71" t="s">
        <v>107</v>
      </c>
      <c r="J71" t="s">
        <v>108</v>
      </c>
      <c r="K71" t="s">
        <v>108</v>
      </c>
      <c r="L71" t="s">
        <v>108</v>
      </c>
      <c r="O71" s="35"/>
      <c r="R71" t="str">
        <f t="shared" si="26"/>
        <v>A0069</v>
      </c>
      <c r="S71" t="s">
        <v>570</v>
      </c>
    </row>
    <row r="72" spans="1:19" x14ac:dyDescent="0.3">
      <c r="A72" s="65">
        <f t="shared" si="27"/>
        <v>70</v>
      </c>
      <c r="B72" s="24" t="s">
        <v>328</v>
      </c>
      <c r="C72" s="228">
        <f t="shared" si="23"/>
        <v>18</v>
      </c>
      <c r="D72" s="228">
        <f t="shared" si="24"/>
        <v>16</v>
      </c>
      <c r="E72" s="228">
        <f t="shared" si="25"/>
        <v>15</v>
      </c>
      <c r="F72" t="s">
        <v>76</v>
      </c>
      <c r="G72" t="s">
        <v>398</v>
      </c>
      <c r="H72" t="s">
        <v>955</v>
      </c>
      <c r="I72" t="s">
        <v>107</v>
      </c>
      <c r="J72" t="s">
        <v>108</v>
      </c>
      <c r="K72" t="s">
        <v>108</v>
      </c>
      <c r="L72" t="s">
        <v>108</v>
      </c>
      <c r="O72" s="35"/>
      <c r="R72" t="str">
        <f t="shared" si="26"/>
        <v>A0070</v>
      </c>
      <c r="S72" t="s">
        <v>571</v>
      </c>
    </row>
    <row r="73" spans="1:19" x14ac:dyDescent="0.3">
      <c r="A73" s="65">
        <f t="shared" si="27"/>
        <v>71</v>
      </c>
      <c r="B73" s="24" t="s">
        <v>329</v>
      </c>
      <c r="C73" s="228">
        <f t="shared" si="23"/>
        <v>19</v>
      </c>
      <c r="D73" s="228">
        <f t="shared" si="24"/>
        <v>17</v>
      </c>
      <c r="E73" s="228">
        <f t="shared" si="25"/>
        <v>16</v>
      </c>
      <c r="F73" t="s">
        <v>76</v>
      </c>
      <c r="G73" t="s">
        <v>398</v>
      </c>
      <c r="H73" t="s">
        <v>955</v>
      </c>
      <c r="I73" t="s">
        <v>107</v>
      </c>
      <c r="J73" t="s">
        <v>108</v>
      </c>
      <c r="K73" t="s">
        <v>108</v>
      </c>
      <c r="L73" t="s">
        <v>108</v>
      </c>
      <c r="O73" s="35"/>
      <c r="R73" t="str">
        <f t="shared" si="26"/>
        <v>A0071</v>
      </c>
      <c r="S73" t="s">
        <v>572</v>
      </c>
    </row>
    <row r="74" spans="1:19" x14ac:dyDescent="0.3">
      <c r="A74" s="65">
        <f t="shared" si="27"/>
        <v>72</v>
      </c>
      <c r="B74" s="24" t="s">
        <v>330</v>
      </c>
      <c r="C74" s="228">
        <f t="shared" si="23"/>
        <v>20</v>
      </c>
      <c r="D74" s="228">
        <f t="shared" si="24"/>
        <v>18</v>
      </c>
      <c r="E74" s="228">
        <f t="shared" si="25"/>
        <v>17</v>
      </c>
      <c r="F74" t="s">
        <v>76</v>
      </c>
      <c r="G74" t="s">
        <v>398</v>
      </c>
      <c r="H74" t="s">
        <v>955</v>
      </c>
      <c r="I74" t="s">
        <v>107</v>
      </c>
      <c r="J74" t="s">
        <v>108</v>
      </c>
      <c r="K74" t="s">
        <v>108</v>
      </c>
      <c r="L74" t="s">
        <v>108</v>
      </c>
      <c r="O74" s="35"/>
      <c r="R74" t="str">
        <f t="shared" si="26"/>
        <v>A0072</v>
      </c>
      <c r="S74" t="s">
        <v>573</v>
      </c>
    </row>
    <row r="75" spans="1:19" x14ac:dyDescent="0.3">
      <c r="A75" s="66">
        <f t="shared" si="27"/>
        <v>73</v>
      </c>
      <c r="B75" s="52" t="s">
        <v>479</v>
      </c>
      <c r="C75" s="229">
        <f>+D75+2</f>
        <v>13</v>
      </c>
      <c r="D75" s="229">
        <f>+E75+1</f>
        <v>11</v>
      </c>
      <c r="E75" s="229">
        <f>+E66+1</f>
        <v>10</v>
      </c>
      <c r="F75" t="s">
        <v>76</v>
      </c>
      <c r="G75" t="s">
        <v>112</v>
      </c>
      <c r="H75" t="s">
        <v>955</v>
      </c>
      <c r="I75" t="s">
        <v>107</v>
      </c>
      <c r="J75" t="s">
        <v>108</v>
      </c>
      <c r="K75" t="s">
        <v>108</v>
      </c>
      <c r="L75" t="s">
        <v>108</v>
      </c>
      <c r="M75" s="33" t="s">
        <v>19</v>
      </c>
      <c r="N75" s="33" t="s">
        <v>50</v>
      </c>
      <c r="O75" s="44">
        <f>ROUND(VLOOKUP(N75,[1]INDICE!$A$5:$D$424,4,FALSE),2)</f>
        <v>6.58</v>
      </c>
      <c r="R75" t="str">
        <f t="shared" si="26"/>
        <v>A0073</v>
      </c>
      <c r="S75" t="s">
        <v>574</v>
      </c>
    </row>
    <row r="76" spans="1:19" x14ac:dyDescent="0.3">
      <c r="A76" s="66">
        <f t="shared" si="27"/>
        <v>74</v>
      </c>
      <c r="B76" s="52" t="s">
        <v>480</v>
      </c>
      <c r="C76" s="229">
        <f>+D76+2</f>
        <v>14</v>
      </c>
      <c r="D76" s="229">
        <f>+D75+1</f>
        <v>12</v>
      </c>
      <c r="E76" s="229">
        <f>+E75+1</f>
        <v>11</v>
      </c>
      <c r="F76" t="s">
        <v>76</v>
      </c>
      <c r="G76" t="s">
        <v>112</v>
      </c>
      <c r="H76" t="s">
        <v>955</v>
      </c>
      <c r="I76" t="s">
        <v>107</v>
      </c>
      <c r="J76" t="s">
        <v>108</v>
      </c>
      <c r="K76" t="s">
        <v>108</v>
      </c>
      <c r="L76" t="s">
        <v>108</v>
      </c>
      <c r="O76" s="35"/>
      <c r="R76" t="str">
        <f t="shared" si="26"/>
        <v>A0074</v>
      </c>
      <c r="S76" t="s">
        <v>575</v>
      </c>
    </row>
    <row r="77" spans="1:19" x14ac:dyDescent="0.3">
      <c r="A77" s="66">
        <f t="shared" si="27"/>
        <v>75</v>
      </c>
      <c r="B77" s="52" t="s">
        <v>481</v>
      </c>
      <c r="C77" s="229">
        <f t="shared" ref="C77:C83" si="28">+D77+2</f>
        <v>15</v>
      </c>
      <c r="D77" s="229">
        <f t="shared" ref="D77:D83" si="29">+D76+1</f>
        <v>13</v>
      </c>
      <c r="E77" s="229">
        <f t="shared" ref="E77:E83" si="30">+E76+1</f>
        <v>12</v>
      </c>
      <c r="F77" t="s">
        <v>76</v>
      </c>
      <c r="G77" t="s">
        <v>112</v>
      </c>
      <c r="H77" t="s">
        <v>955</v>
      </c>
      <c r="I77" t="s">
        <v>107</v>
      </c>
      <c r="J77" t="s">
        <v>108</v>
      </c>
      <c r="K77" t="s">
        <v>108</v>
      </c>
      <c r="L77" t="s">
        <v>108</v>
      </c>
      <c r="O77" s="35"/>
      <c r="R77" t="str">
        <f t="shared" si="26"/>
        <v>A0075</v>
      </c>
      <c r="S77" t="s">
        <v>576</v>
      </c>
    </row>
    <row r="78" spans="1:19" x14ac:dyDescent="0.3">
      <c r="A78" s="66">
        <f t="shared" si="27"/>
        <v>76</v>
      </c>
      <c r="B78" s="52" t="s">
        <v>482</v>
      </c>
      <c r="C78" s="229">
        <f t="shared" si="28"/>
        <v>16</v>
      </c>
      <c r="D78" s="229">
        <f t="shared" si="29"/>
        <v>14</v>
      </c>
      <c r="E78" s="229">
        <f t="shared" si="30"/>
        <v>13</v>
      </c>
      <c r="F78" t="s">
        <v>76</v>
      </c>
      <c r="G78" t="s">
        <v>112</v>
      </c>
      <c r="H78" t="s">
        <v>955</v>
      </c>
      <c r="I78" t="s">
        <v>107</v>
      </c>
      <c r="J78" t="s">
        <v>108</v>
      </c>
      <c r="K78" t="s">
        <v>108</v>
      </c>
      <c r="L78" t="s">
        <v>108</v>
      </c>
      <c r="O78" s="35"/>
      <c r="R78" t="str">
        <f t="shared" si="26"/>
        <v>A0076</v>
      </c>
      <c r="S78" t="s">
        <v>577</v>
      </c>
    </row>
    <row r="79" spans="1:19" x14ac:dyDescent="0.3">
      <c r="A79" s="66">
        <f t="shared" si="27"/>
        <v>77</v>
      </c>
      <c r="B79" s="52" t="s">
        <v>483</v>
      </c>
      <c r="C79" s="229">
        <f t="shared" si="28"/>
        <v>17</v>
      </c>
      <c r="D79" s="229">
        <f t="shared" si="29"/>
        <v>15</v>
      </c>
      <c r="E79" s="229">
        <f t="shared" si="30"/>
        <v>14</v>
      </c>
      <c r="F79" t="s">
        <v>76</v>
      </c>
      <c r="G79" t="s">
        <v>112</v>
      </c>
      <c r="H79" t="s">
        <v>955</v>
      </c>
      <c r="I79" t="s">
        <v>107</v>
      </c>
      <c r="J79" t="s">
        <v>108</v>
      </c>
      <c r="K79" t="s">
        <v>108</v>
      </c>
      <c r="L79" t="s">
        <v>108</v>
      </c>
      <c r="O79" s="35"/>
      <c r="R79" t="str">
        <f t="shared" si="26"/>
        <v>A0077</v>
      </c>
      <c r="S79" t="s">
        <v>578</v>
      </c>
    </row>
    <row r="80" spans="1:19" x14ac:dyDescent="0.3">
      <c r="A80" s="66">
        <f t="shared" si="27"/>
        <v>78</v>
      </c>
      <c r="B80" s="52" t="s">
        <v>484</v>
      </c>
      <c r="C80" s="229">
        <f t="shared" si="28"/>
        <v>18</v>
      </c>
      <c r="D80" s="229">
        <f t="shared" si="29"/>
        <v>16</v>
      </c>
      <c r="E80" s="229">
        <f t="shared" si="30"/>
        <v>15</v>
      </c>
      <c r="F80" t="s">
        <v>76</v>
      </c>
      <c r="G80" t="s">
        <v>112</v>
      </c>
      <c r="H80" t="s">
        <v>955</v>
      </c>
      <c r="I80" t="s">
        <v>107</v>
      </c>
      <c r="J80" t="s">
        <v>108</v>
      </c>
      <c r="K80" t="s">
        <v>108</v>
      </c>
      <c r="L80" t="s">
        <v>108</v>
      </c>
      <c r="O80" s="35"/>
      <c r="R80" t="str">
        <f t="shared" si="26"/>
        <v>A0078</v>
      </c>
      <c r="S80" t="s">
        <v>579</v>
      </c>
    </row>
    <row r="81" spans="1:19" x14ac:dyDescent="0.3">
      <c r="A81" s="66">
        <f t="shared" si="27"/>
        <v>79</v>
      </c>
      <c r="B81" s="52" t="s">
        <v>485</v>
      </c>
      <c r="C81" s="229">
        <f t="shared" si="28"/>
        <v>19</v>
      </c>
      <c r="D81" s="229">
        <f t="shared" si="29"/>
        <v>17</v>
      </c>
      <c r="E81" s="229">
        <f t="shared" si="30"/>
        <v>16</v>
      </c>
      <c r="F81" t="s">
        <v>76</v>
      </c>
      <c r="G81" t="s">
        <v>112</v>
      </c>
      <c r="H81" t="s">
        <v>955</v>
      </c>
      <c r="I81" t="s">
        <v>107</v>
      </c>
      <c r="J81" t="s">
        <v>108</v>
      </c>
      <c r="K81" t="s">
        <v>108</v>
      </c>
      <c r="L81" t="s">
        <v>108</v>
      </c>
      <c r="O81" s="35"/>
      <c r="R81" t="str">
        <f t="shared" si="26"/>
        <v>A0079</v>
      </c>
      <c r="S81" t="s">
        <v>580</v>
      </c>
    </row>
    <row r="82" spans="1:19" x14ac:dyDescent="0.3">
      <c r="A82" s="66">
        <f t="shared" si="27"/>
        <v>80</v>
      </c>
      <c r="B82" s="52" t="s">
        <v>486</v>
      </c>
      <c r="C82" s="229">
        <f t="shared" si="28"/>
        <v>20</v>
      </c>
      <c r="D82" s="229">
        <f t="shared" si="29"/>
        <v>18</v>
      </c>
      <c r="E82" s="229">
        <f t="shared" si="30"/>
        <v>17</v>
      </c>
      <c r="F82" t="s">
        <v>76</v>
      </c>
      <c r="G82" t="s">
        <v>112</v>
      </c>
      <c r="H82" t="s">
        <v>955</v>
      </c>
      <c r="I82" t="s">
        <v>107</v>
      </c>
      <c r="J82" t="s">
        <v>108</v>
      </c>
      <c r="K82" t="s">
        <v>108</v>
      </c>
      <c r="L82" t="s">
        <v>108</v>
      </c>
      <c r="O82" s="35"/>
      <c r="R82" t="str">
        <f t="shared" si="26"/>
        <v>A0080</v>
      </c>
      <c r="S82" t="s">
        <v>581</v>
      </c>
    </row>
    <row r="83" spans="1:19" x14ac:dyDescent="0.3">
      <c r="A83" s="66">
        <f t="shared" si="27"/>
        <v>81</v>
      </c>
      <c r="B83" s="52" t="s">
        <v>487</v>
      </c>
      <c r="C83" s="229">
        <f t="shared" si="28"/>
        <v>21</v>
      </c>
      <c r="D83" s="229">
        <f t="shared" si="29"/>
        <v>19</v>
      </c>
      <c r="E83" s="229">
        <f t="shared" si="30"/>
        <v>18</v>
      </c>
      <c r="F83" t="s">
        <v>76</v>
      </c>
      <c r="G83" t="s">
        <v>112</v>
      </c>
      <c r="H83" t="s">
        <v>955</v>
      </c>
      <c r="I83" t="s">
        <v>107</v>
      </c>
      <c r="J83" t="s">
        <v>108</v>
      </c>
      <c r="K83" t="s">
        <v>108</v>
      </c>
      <c r="L83" t="s">
        <v>108</v>
      </c>
      <c r="O83" s="35"/>
      <c r="R83" t="str">
        <f t="shared" si="26"/>
        <v>A0081</v>
      </c>
      <c r="S83" t="s">
        <v>582</v>
      </c>
    </row>
    <row r="84" spans="1:19" x14ac:dyDescent="0.3">
      <c r="A84" s="100">
        <f t="shared" si="27"/>
        <v>82</v>
      </c>
      <c r="B84" s="101" t="s">
        <v>430</v>
      </c>
      <c r="C84" s="220">
        <f>+D84</f>
        <v>3.5</v>
      </c>
      <c r="D84" s="220">
        <v>3.5</v>
      </c>
      <c r="E84" s="220">
        <v>3.5</v>
      </c>
      <c r="F84" t="s">
        <v>77</v>
      </c>
      <c r="G84" t="s">
        <v>92</v>
      </c>
      <c r="H84" t="s">
        <v>955</v>
      </c>
      <c r="I84" t="s">
        <v>108</v>
      </c>
      <c r="J84" t="s">
        <v>108</v>
      </c>
      <c r="K84" t="s">
        <v>108</v>
      </c>
      <c r="L84" t="s">
        <v>108</v>
      </c>
      <c r="M84" s="33" t="s">
        <v>19</v>
      </c>
      <c r="N84" s="33" t="s">
        <v>272</v>
      </c>
      <c r="O84" s="44">
        <f>ROUND(VLOOKUP(N84,[1]INDICE!$A$5:$D$424,4,FALSE),2)</f>
        <v>3.57</v>
      </c>
      <c r="R84" t="str">
        <f t="shared" si="26"/>
        <v>A0082</v>
      </c>
      <c r="S84" t="s">
        <v>583</v>
      </c>
    </row>
    <row r="85" spans="1:19" x14ac:dyDescent="0.3">
      <c r="A85" s="100">
        <f t="shared" si="27"/>
        <v>83</v>
      </c>
      <c r="B85" s="101" t="s">
        <v>431</v>
      </c>
      <c r="C85" s="220">
        <f>+C84+1</f>
        <v>4.5</v>
      </c>
      <c r="D85" s="220">
        <f>+D84+1</f>
        <v>4.5</v>
      </c>
      <c r="E85" s="220">
        <f>+E84+1</f>
        <v>4.5</v>
      </c>
      <c r="F85" t="s">
        <v>77</v>
      </c>
      <c r="G85" t="s">
        <v>92</v>
      </c>
      <c r="H85" t="s">
        <v>955</v>
      </c>
      <c r="I85" t="s">
        <v>108</v>
      </c>
      <c r="J85" t="s">
        <v>108</v>
      </c>
      <c r="K85" t="s">
        <v>108</v>
      </c>
      <c r="L85" t="s">
        <v>108</v>
      </c>
      <c r="O85"/>
      <c r="R85" t="str">
        <f t="shared" si="26"/>
        <v>A0083</v>
      </c>
      <c r="S85" t="s">
        <v>584</v>
      </c>
    </row>
    <row r="86" spans="1:19" x14ac:dyDescent="0.3">
      <c r="A86" s="100">
        <f t="shared" si="27"/>
        <v>84</v>
      </c>
      <c r="B86" s="101" t="s">
        <v>432</v>
      </c>
      <c r="C86" s="220">
        <f t="shared" ref="C86:C92" si="31">+C85+1</f>
        <v>5.5</v>
      </c>
      <c r="D86" s="220">
        <f t="shared" ref="D86:D92" si="32">+D85+1</f>
        <v>5.5</v>
      </c>
      <c r="E86" s="220">
        <f t="shared" ref="E86:E92" si="33">+E85+1</f>
        <v>5.5</v>
      </c>
      <c r="F86" t="s">
        <v>77</v>
      </c>
      <c r="G86" t="s">
        <v>92</v>
      </c>
      <c r="H86" t="s">
        <v>955</v>
      </c>
      <c r="I86" t="s">
        <v>108</v>
      </c>
      <c r="J86" t="s">
        <v>108</v>
      </c>
      <c r="K86" t="s">
        <v>108</v>
      </c>
      <c r="L86" t="s">
        <v>108</v>
      </c>
      <c r="O86"/>
      <c r="R86" t="str">
        <f t="shared" si="26"/>
        <v>A0084</v>
      </c>
      <c r="S86" t="s">
        <v>585</v>
      </c>
    </row>
    <row r="87" spans="1:19" x14ac:dyDescent="0.3">
      <c r="A87" s="100">
        <f t="shared" si="27"/>
        <v>85</v>
      </c>
      <c r="B87" s="101" t="s">
        <v>433</v>
      </c>
      <c r="C87" s="220">
        <f t="shared" si="31"/>
        <v>6.5</v>
      </c>
      <c r="D87" s="220">
        <f t="shared" si="32"/>
        <v>6.5</v>
      </c>
      <c r="E87" s="220">
        <f t="shared" si="33"/>
        <v>6.5</v>
      </c>
      <c r="F87" t="s">
        <v>77</v>
      </c>
      <c r="G87" t="s">
        <v>92</v>
      </c>
      <c r="H87" t="s">
        <v>955</v>
      </c>
      <c r="I87" t="s">
        <v>108</v>
      </c>
      <c r="J87" t="s">
        <v>108</v>
      </c>
      <c r="K87" t="s">
        <v>108</v>
      </c>
      <c r="L87" t="s">
        <v>108</v>
      </c>
      <c r="O87"/>
      <c r="R87" t="str">
        <f t="shared" si="26"/>
        <v>A0085</v>
      </c>
      <c r="S87" t="s">
        <v>586</v>
      </c>
    </row>
    <row r="88" spans="1:19" x14ac:dyDescent="0.3">
      <c r="A88" s="100">
        <f t="shared" si="27"/>
        <v>86</v>
      </c>
      <c r="B88" s="101" t="s">
        <v>434</v>
      </c>
      <c r="C88" s="220">
        <f t="shared" si="31"/>
        <v>7.5</v>
      </c>
      <c r="D88" s="220">
        <f t="shared" si="32"/>
        <v>7.5</v>
      </c>
      <c r="E88" s="220">
        <f t="shared" si="33"/>
        <v>7.5</v>
      </c>
      <c r="F88" t="s">
        <v>77</v>
      </c>
      <c r="G88" t="s">
        <v>92</v>
      </c>
      <c r="H88" t="s">
        <v>955</v>
      </c>
      <c r="I88" t="s">
        <v>108</v>
      </c>
      <c r="J88" t="s">
        <v>108</v>
      </c>
      <c r="K88" t="s">
        <v>108</v>
      </c>
      <c r="L88" t="s">
        <v>108</v>
      </c>
      <c r="O88"/>
      <c r="R88" t="str">
        <f t="shared" si="26"/>
        <v>A0086</v>
      </c>
      <c r="S88" t="s">
        <v>587</v>
      </c>
    </row>
    <row r="89" spans="1:19" x14ac:dyDescent="0.3">
      <c r="A89" s="100">
        <f t="shared" si="27"/>
        <v>87</v>
      </c>
      <c r="B89" s="101" t="s">
        <v>435</v>
      </c>
      <c r="C89" s="220">
        <f t="shared" si="31"/>
        <v>8.5</v>
      </c>
      <c r="D89" s="220">
        <f t="shared" si="32"/>
        <v>8.5</v>
      </c>
      <c r="E89" s="220">
        <f t="shared" si="33"/>
        <v>8.5</v>
      </c>
      <c r="F89" t="s">
        <v>77</v>
      </c>
      <c r="G89" t="s">
        <v>92</v>
      </c>
      <c r="H89" t="s">
        <v>955</v>
      </c>
      <c r="I89" t="s">
        <v>108</v>
      </c>
      <c r="J89" t="s">
        <v>108</v>
      </c>
      <c r="K89" t="s">
        <v>108</v>
      </c>
      <c r="L89" t="s">
        <v>108</v>
      </c>
      <c r="O89"/>
      <c r="R89" t="str">
        <f t="shared" si="26"/>
        <v>A0087</v>
      </c>
      <c r="S89" t="s">
        <v>588</v>
      </c>
    </row>
    <row r="90" spans="1:19" x14ac:dyDescent="0.3">
      <c r="A90" s="100">
        <f t="shared" si="27"/>
        <v>88</v>
      </c>
      <c r="B90" s="101" t="s">
        <v>436</v>
      </c>
      <c r="C90" s="220">
        <f t="shared" si="31"/>
        <v>9.5</v>
      </c>
      <c r="D90" s="220">
        <f t="shared" si="32"/>
        <v>9.5</v>
      </c>
      <c r="E90" s="220">
        <f t="shared" si="33"/>
        <v>9.5</v>
      </c>
      <c r="F90" t="s">
        <v>77</v>
      </c>
      <c r="G90" t="s">
        <v>92</v>
      </c>
      <c r="H90" t="s">
        <v>955</v>
      </c>
      <c r="I90" t="s">
        <v>108</v>
      </c>
      <c r="J90" t="s">
        <v>108</v>
      </c>
      <c r="K90" t="s">
        <v>108</v>
      </c>
      <c r="L90" t="s">
        <v>108</v>
      </c>
      <c r="O90"/>
      <c r="R90" t="str">
        <f t="shared" si="26"/>
        <v>A0088</v>
      </c>
      <c r="S90" t="s">
        <v>589</v>
      </c>
    </row>
    <row r="91" spans="1:19" x14ac:dyDescent="0.3">
      <c r="A91" s="100">
        <f t="shared" si="27"/>
        <v>89</v>
      </c>
      <c r="B91" s="101" t="s">
        <v>437</v>
      </c>
      <c r="C91" s="220">
        <f t="shared" si="31"/>
        <v>10.5</v>
      </c>
      <c r="D91" s="220">
        <f t="shared" si="32"/>
        <v>10.5</v>
      </c>
      <c r="E91" s="220">
        <f t="shared" si="33"/>
        <v>10.5</v>
      </c>
      <c r="F91" t="s">
        <v>77</v>
      </c>
      <c r="G91" t="s">
        <v>92</v>
      </c>
      <c r="H91" t="s">
        <v>955</v>
      </c>
      <c r="I91" t="s">
        <v>108</v>
      </c>
      <c r="J91" t="s">
        <v>108</v>
      </c>
      <c r="K91" t="s">
        <v>108</v>
      </c>
      <c r="L91" t="s">
        <v>108</v>
      </c>
      <c r="O91"/>
      <c r="R91" t="str">
        <f t="shared" si="26"/>
        <v>A0089</v>
      </c>
      <c r="S91" t="s">
        <v>590</v>
      </c>
    </row>
    <row r="92" spans="1:19" x14ac:dyDescent="0.3">
      <c r="A92" s="100">
        <f t="shared" si="27"/>
        <v>90</v>
      </c>
      <c r="B92" s="101" t="s">
        <v>438</v>
      </c>
      <c r="C92" s="220">
        <f t="shared" si="31"/>
        <v>11.5</v>
      </c>
      <c r="D92" s="220">
        <f t="shared" si="32"/>
        <v>11.5</v>
      </c>
      <c r="E92" s="220">
        <f t="shared" si="33"/>
        <v>11.5</v>
      </c>
      <c r="F92" t="s">
        <v>77</v>
      </c>
      <c r="G92" t="s">
        <v>92</v>
      </c>
      <c r="H92" t="s">
        <v>955</v>
      </c>
      <c r="I92" t="s">
        <v>108</v>
      </c>
      <c r="J92" t="s">
        <v>108</v>
      </c>
      <c r="K92" t="s">
        <v>108</v>
      </c>
      <c r="L92" t="s">
        <v>108</v>
      </c>
      <c r="O92"/>
      <c r="R92" t="str">
        <f t="shared" si="26"/>
        <v>A0090</v>
      </c>
      <c r="S92" t="s">
        <v>591</v>
      </c>
    </row>
    <row r="93" spans="1:19" x14ac:dyDescent="0.3">
      <c r="A93" s="102">
        <f t="shared" si="27"/>
        <v>91</v>
      </c>
      <c r="B93" s="103" t="s">
        <v>419</v>
      </c>
      <c r="C93" s="162">
        <f>+D93+2</f>
        <v>10</v>
      </c>
      <c r="D93" s="162">
        <f>+E93+1</f>
        <v>8</v>
      </c>
      <c r="E93" s="162">
        <v>7</v>
      </c>
      <c r="F93" s="105" t="s">
        <v>77</v>
      </c>
      <c r="G93" s="105" t="s">
        <v>398</v>
      </c>
      <c r="H93" s="105" t="s">
        <v>955</v>
      </c>
      <c r="I93" s="105" t="s">
        <v>107</v>
      </c>
      <c r="J93" s="105" t="s">
        <v>108</v>
      </c>
      <c r="K93" s="105" t="s">
        <v>108</v>
      </c>
      <c r="L93" s="105" t="s">
        <v>108</v>
      </c>
      <c r="M93" s="171" t="s">
        <v>19</v>
      </c>
      <c r="N93" s="171" t="s">
        <v>273</v>
      </c>
      <c r="O93" s="106">
        <f>ROUND(VLOOKUP(N93,[1]INDICE!$A$5:$D$424,4,FALSE),2)</f>
        <v>5.42</v>
      </c>
      <c r="R93" t="str">
        <f t="shared" si="26"/>
        <v>A0091</v>
      </c>
      <c r="S93" t="s">
        <v>592</v>
      </c>
    </row>
    <row r="94" spans="1:19" x14ac:dyDescent="0.3">
      <c r="A94" s="102">
        <f t="shared" si="27"/>
        <v>92</v>
      </c>
      <c r="B94" s="103" t="s">
        <v>420</v>
      </c>
      <c r="C94" s="162">
        <f t="shared" ref="C94:C101" si="34">+D94+2</f>
        <v>11</v>
      </c>
      <c r="D94" s="162">
        <f t="shared" ref="D94:D101" si="35">+E94+1</f>
        <v>9</v>
      </c>
      <c r="E94" s="162">
        <f>+E93+1</f>
        <v>8</v>
      </c>
      <c r="F94" t="s">
        <v>77</v>
      </c>
      <c r="G94" t="s">
        <v>398</v>
      </c>
      <c r="H94" t="s">
        <v>955</v>
      </c>
      <c r="I94" t="s">
        <v>107</v>
      </c>
      <c r="J94" t="s">
        <v>108</v>
      </c>
      <c r="K94" t="s">
        <v>108</v>
      </c>
      <c r="L94" t="s">
        <v>108</v>
      </c>
      <c r="N94"/>
      <c r="O94"/>
      <c r="R94" t="str">
        <f t="shared" si="26"/>
        <v>A0092</v>
      </c>
      <c r="S94" t="s">
        <v>593</v>
      </c>
    </row>
    <row r="95" spans="1:19" x14ac:dyDescent="0.3">
      <c r="A95" s="102">
        <f t="shared" si="27"/>
        <v>93</v>
      </c>
      <c r="B95" s="103" t="s">
        <v>421</v>
      </c>
      <c r="C95" s="162">
        <f t="shared" si="34"/>
        <v>12</v>
      </c>
      <c r="D95" s="162">
        <f t="shared" si="35"/>
        <v>10</v>
      </c>
      <c r="E95" s="162">
        <f t="shared" ref="E95:E101" si="36">+E94+1</f>
        <v>9</v>
      </c>
      <c r="F95" t="s">
        <v>77</v>
      </c>
      <c r="G95" t="s">
        <v>398</v>
      </c>
      <c r="H95" t="s">
        <v>955</v>
      </c>
      <c r="I95" t="s">
        <v>107</v>
      </c>
      <c r="J95" t="s">
        <v>108</v>
      </c>
      <c r="K95" t="s">
        <v>108</v>
      </c>
      <c r="L95" t="s">
        <v>108</v>
      </c>
      <c r="O95"/>
      <c r="R95" t="str">
        <f t="shared" si="26"/>
        <v>A0093</v>
      </c>
      <c r="S95" t="s">
        <v>594</v>
      </c>
    </row>
    <row r="96" spans="1:19" x14ac:dyDescent="0.3">
      <c r="A96" s="102">
        <f t="shared" si="27"/>
        <v>94</v>
      </c>
      <c r="B96" s="103" t="s">
        <v>422</v>
      </c>
      <c r="C96" s="162">
        <f t="shared" si="34"/>
        <v>13</v>
      </c>
      <c r="D96" s="162">
        <f t="shared" si="35"/>
        <v>11</v>
      </c>
      <c r="E96" s="162">
        <f t="shared" si="36"/>
        <v>10</v>
      </c>
      <c r="F96" t="s">
        <v>77</v>
      </c>
      <c r="G96" t="s">
        <v>398</v>
      </c>
      <c r="H96" t="s">
        <v>955</v>
      </c>
      <c r="I96" t="s">
        <v>107</v>
      </c>
      <c r="J96" t="s">
        <v>108</v>
      </c>
      <c r="K96" t="s">
        <v>108</v>
      </c>
      <c r="L96" t="s">
        <v>108</v>
      </c>
      <c r="O96"/>
      <c r="R96" t="str">
        <f t="shared" si="26"/>
        <v>A0094</v>
      </c>
      <c r="S96" t="s">
        <v>595</v>
      </c>
    </row>
    <row r="97" spans="1:19" x14ac:dyDescent="0.3">
      <c r="A97" s="102">
        <f t="shared" si="27"/>
        <v>95</v>
      </c>
      <c r="B97" s="103" t="s">
        <v>423</v>
      </c>
      <c r="C97" s="162">
        <f t="shared" si="34"/>
        <v>14</v>
      </c>
      <c r="D97" s="162">
        <f t="shared" si="35"/>
        <v>12</v>
      </c>
      <c r="E97" s="162">
        <f t="shared" si="36"/>
        <v>11</v>
      </c>
      <c r="F97" t="s">
        <v>77</v>
      </c>
      <c r="G97" t="s">
        <v>398</v>
      </c>
      <c r="H97" t="s">
        <v>955</v>
      </c>
      <c r="I97" t="s">
        <v>107</v>
      </c>
      <c r="J97" t="s">
        <v>108</v>
      </c>
      <c r="K97" t="s">
        <v>108</v>
      </c>
      <c r="L97" t="s">
        <v>108</v>
      </c>
      <c r="O97"/>
      <c r="R97" t="str">
        <f t="shared" si="26"/>
        <v>A0095</v>
      </c>
      <c r="S97" t="s">
        <v>596</v>
      </c>
    </row>
    <row r="98" spans="1:19" x14ac:dyDescent="0.3">
      <c r="A98" s="102">
        <f t="shared" si="27"/>
        <v>96</v>
      </c>
      <c r="B98" s="103" t="s">
        <v>424</v>
      </c>
      <c r="C98" s="162">
        <f t="shared" si="34"/>
        <v>15</v>
      </c>
      <c r="D98" s="162">
        <f t="shared" si="35"/>
        <v>13</v>
      </c>
      <c r="E98" s="162">
        <f t="shared" si="36"/>
        <v>12</v>
      </c>
      <c r="F98" t="s">
        <v>77</v>
      </c>
      <c r="G98" t="s">
        <v>398</v>
      </c>
      <c r="H98" t="s">
        <v>955</v>
      </c>
      <c r="I98" t="s">
        <v>107</v>
      </c>
      <c r="J98" t="s">
        <v>108</v>
      </c>
      <c r="K98" t="s">
        <v>108</v>
      </c>
      <c r="L98" t="s">
        <v>108</v>
      </c>
      <c r="O98"/>
      <c r="R98" t="str">
        <f t="shared" si="26"/>
        <v>A0096</v>
      </c>
      <c r="S98" t="s">
        <v>597</v>
      </c>
    </row>
    <row r="99" spans="1:19" x14ac:dyDescent="0.3">
      <c r="A99" s="102">
        <f t="shared" si="27"/>
        <v>97</v>
      </c>
      <c r="B99" s="103" t="s">
        <v>425</v>
      </c>
      <c r="C99" s="162">
        <f t="shared" si="34"/>
        <v>16</v>
      </c>
      <c r="D99" s="162">
        <f t="shared" si="35"/>
        <v>14</v>
      </c>
      <c r="E99" s="162">
        <f t="shared" si="36"/>
        <v>13</v>
      </c>
      <c r="F99" t="s">
        <v>77</v>
      </c>
      <c r="G99" t="s">
        <v>398</v>
      </c>
      <c r="H99" t="s">
        <v>955</v>
      </c>
      <c r="I99" t="s">
        <v>107</v>
      </c>
      <c r="J99" t="s">
        <v>108</v>
      </c>
      <c r="K99" t="s">
        <v>108</v>
      </c>
      <c r="L99" t="s">
        <v>108</v>
      </c>
      <c r="O99"/>
      <c r="R99" t="str">
        <f t="shared" si="26"/>
        <v>A0097</v>
      </c>
      <c r="S99" t="s">
        <v>598</v>
      </c>
    </row>
    <row r="100" spans="1:19" x14ac:dyDescent="0.3">
      <c r="A100" s="102">
        <f t="shared" si="27"/>
        <v>98</v>
      </c>
      <c r="B100" s="103" t="s">
        <v>426</v>
      </c>
      <c r="C100" s="162">
        <f t="shared" si="34"/>
        <v>17</v>
      </c>
      <c r="D100" s="162">
        <f t="shared" si="35"/>
        <v>15</v>
      </c>
      <c r="E100" s="162">
        <f t="shared" si="36"/>
        <v>14</v>
      </c>
      <c r="F100" t="s">
        <v>77</v>
      </c>
      <c r="G100" t="s">
        <v>398</v>
      </c>
      <c r="H100" t="s">
        <v>955</v>
      </c>
      <c r="I100" t="s">
        <v>107</v>
      </c>
      <c r="J100" t="s">
        <v>108</v>
      </c>
      <c r="K100" t="s">
        <v>108</v>
      </c>
      <c r="L100" t="s">
        <v>108</v>
      </c>
      <c r="O100"/>
      <c r="R100" t="str">
        <f t="shared" si="26"/>
        <v>A0098</v>
      </c>
      <c r="S100" t="s">
        <v>599</v>
      </c>
    </row>
    <row r="101" spans="1:19" x14ac:dyDescent="0.3">
      <c r="A101" s="102">
        <f t="shared" si="27"/>
        <v>99</v>
      </c>
      <c r="B101" s="103" t="s">
        <v>427</v>
      </c>
      <c r="C101" s="162">
        <f t="shared" si="34"/>
        <v>18</v>
      </c>
      <c r="D101" s="162">
        <f t="shared" si="35"/>
        <v>16</v>
      </c>
      <c r="E101" s="162">
        <f t="shared" si="36"/>
        <v>15</v>
      </c>
      <c r="F101" t="s">
        <v>77</v>
      </c>
      <c r="G101" t="s">
        <v>398</v>
      </c>
      <c r="H101" t="s">
        <v>955</v>
      </c>
      <c r="I101" t="s">
        <v>107</v>
      </c>
      <c r="J101" t="s">
        <v>108</v>
      </c>
      <c r="K101" t="s">
        <v>108</v>
      </c>
      <c r="L101" t="s">
        <v>108</v>
      </c>
      <c r="O101"/>
      <c r="R101" t="str">
        <f t="shared" si="26"/>
        <v>A0099</v>
      </c>
      <c r="S101" t="s">
        <v>600</v>
      </c>
    </row>
    <row r="102" spans="1:19" x14ac:dyDescent="0.3">
      <c r="A102" s="61">
        <f t="shared" si="27"/>
        <v>100</v>
      </c>
      <c r="B102" s="7" t="s">
        <v>466</v>
      </c>
      <c r="C102" s="124">
        <f>+D102+2</f>
        <v>11</v>
      </c>
      <c r="D102" s="124">
        <f>+E102+1</f>
        <v>9</v>
      </c>
      <c r="E102" s="124">
        <f>+E93+1</f>
        <v>8</v>
      </c>
      <c r="F102" t="s">
        <v>77</v>
      </c>
      <c r="G102" t="s">
        <v>112</v>
      </c>
      <c r="H102" t="s">
        <v>955</v>
      </c>
      <c r="I102" t="s">
        <v>107</v>
      </c>
      <c r="J102" t="s">
        <v>108</v>
      </c>
      <c r="K102" t="s">
        <v>108</v>
      </c>
      <c r="L102" t="s">
        <v>108</v>
      </c>
      <c r="O102" s="33"/>
      <c r="R102" t="str">
        <f t="shared" si="26"/>
        <v>A0100</v>
      </c>
      <c r="S102" t="s">
        <v>601</v>
      </c>
    </row>
    <row r="103" spans="1:19" x14ac:dyDescent="0.3">
      <c r="A103" s="67">
        <f t="shared" si="27"/>
        <v>101</v>
      </c>
      <c r="B103" s="7" t="s">
        <v>467</v>
      </c>
      <c r="C103" s="124">
        <f t="shared" ref="C103:C110" si="37">+D103+2</f>
        <v>12</v>
      </c>
      <c r="D103" s="124">
        <f t="shared" ref="D103:D110" si="38">+E103+1</f>
        <v>10</v>
      </c>
      <c r="E103" s="124">
        <f>+E102+1</f>
        <v>9</v>
      </c>
      <c r="F103" t="s">
        <v>77</v>
      </c>
      <c r="G103" t="s">
        <v>112</v>
      </c>
      <c r="H103" t="s">
        <v>955</v>
      </c>
      <c r="I103" t="s">
        <v>107</v>
      </c>
      <c r="J103" t="s">
        <v>108</v>
      </c>
      <c r="K103" t="s">
        <v>108</v>
      </c>
      <c r="L103" t="s">
        <v>108</v>
      </c>
      <c r="O103"/>
      <c r="R103" t="str">
        <f t="shared" si="26"/>
        <v>A0101</v>
      </c>
      <c r="S103" t="s">
        <v>602</v>
      </c>
    </row>
    <row r="104" spans="1:19" x14ac:dyDescent="0.3">
      <c r="A104" s="67">
        <f t="shared" si="27"/>
        <v>102</v>
      </c>
      <c r="B104" s="7" t="s">
        <v>468</v>
      </c>
      <c r="C104" s="124">
        <f t="shared" si="37"/>
        <v>13</v>
      </c>
      <c r="D104" s="124">
        <f t="shared" si="38"/>
        <v>11</v>
      </c>
      <c r="E104" s="124">
        <f t="shared" ref="E104:E110" si="39">+E103+1</f>
        <v>10</v>
      </c>
      <c r="F104" t="s">
        <v>77</v>
      </c>
      <c r="G104" t="s">
        <v>112</v>
      </c>
      <c r="H104" t="s">
        <v>955</v>
      </c>
      <c r="I104" t="s">
        <v>107</v>
      </c>
      <c r="J104" t="s">
        <v>108</v>
      </c>
      <c r="K104" t="s">
        <v>108</v>
      </c>
      <c r="L104" t="s">
        <v>108</v>
      </c>
      <c r="O104"/>
      <c r="R104" t="str">
        <f t="shared" si="26"/>
        <v>A0102</v>
      </c>
      <c r="S104" t="s">
        <v>603</v>
      </c>
    </row>
    <row r="105" spans="1:19" x14ac:dyDescent="0.3">
      <c r="A105" s="67">
        <f t="shared" si="27"/>
        <v>103</v>
      </c>
      <c r="B105" s="7" t="s">
        <v>469</v>
      </c>
      <c r="C105" s="124">
        <f t="shared" si="37"/>
        <v>14</v>
      </c>
      <c r="D105" s="124">
        <f t="shared" si="38"/>
        <v>12</v>
      </c>
      <c r="E105" s="124">
        <f t="shared" si="39"/>
        <v>11</v>
      </c>
      <c r="F105" t="s">
        <v>77</v>
      </c>
      <c r="G105" t="s">
        <v>112</v>
      </c>
      <c r="H105" t="s">
        <v>955</v>
      </c>
      <c r="I105" t="s">
        <v>107</v>
      </c>
      <c r="J105" t="s">
        <v>108</v>
      </c>
      <c r="K105" t="s">
        <v>108</v>
      </c>
      <c r="L105" t="s">
        <v>108</v>
      </c>
      <c r="O105"/>
      <c r="R105" t="str">
        <f t="shared" si="26"/>
        <v>A0103</v>
      </c>
      <c r="S105" t="s">
        <v>604</v>
      </c>
    </row>
    <row r="106" spans="1:19" x14ac:dyDescent="0.3">
      <c r="A106" s="67">
        <f t="shared" si="27"/>
        <v>104</v>
      </c>
      <c r="B106" s="7" t="s">
        <v>470</v>
      </c>
      <c r="C106" s="124">
        <f t="shared" si="37"/>
        <v>15</v>
      </c>
      <c r="D106" s="124">
        <f t="shared" si="38"/>
        <v>13</v>
      </c>
      <c r="E106" s="124">
        <f t="shared" si="39"/>
        <v>12</v>
      </c>
      <c r="F106" t="s">
        <v>77</v>
      </c>
      <c r="G106" t="s">
        <v>112</v>
      </c>
      <c r="H106" t="s">
        <v>955</v>
      </c>
      <c r="I106" t="s">
        <v>107</v>
      </c>
      <c r="J106" t="s">
        <v>108</v>
      </c>
      <c r="K106" t="s">
        <v>108</v>
      </c>
      <c r="L106" t="s">
        <v>108</v>
      </c>
      <c r="O106"/>
      <c r="R106" t="str">
        <f t="shared" si="26"/>
        <v>A0104</v>
      </c>
      <c r="S106" t="s">
        <v>605</v>
      </c>
    </row>
    <row r="107" spans="1:19" x14ac:dyDescent="0.3">
      <c r="A107" s="67">
        <f t="shared" si="27"/>
        <v>105</v>
      </c>
      <c r="B107" s="7" t="s">
        <v>471</v>
      </c>
      <c r="C107" s="124">
        <f t="shared" si="37"/>
        <v>16</v>
      </c>
      <c r="D107" s="124">
        <f t="shared" si="38"/>
        <v>14</v>
      </c>
      <c r="E107" s="124">
        <f t="shared" si="39"/>
        <v>13</v>
      </c>
      <c r="F107" t="s">
        <v>77</v>
      </c>
      <c r="G107" t="s">
        <v>112</v>
      </c>
      <c r="H107" t="s">
        <v>955</v>
      </c>
      <c r="I107" t="s">
        <v>107</v>
      </c>
      <c r="J107" t="s">
        <v>108</v>
      </c>
      <c r="K107" t="s">
        <v>108</v>
      </c>
      <c r="L107" t="s">
        <v>108</v>
      </c>
      <c r="O107"/>
      <c r="R107" t="str">
        <f t="shared" si="26"/>
        <v>A0105</v>
      </c>
      <c r="S107" t="s">
        <v>606</v>
      </c>
    </row>
    <row r="108" spans="1:19" x14ac:dyDescent="0.3">
      <c r="A108" s="67">
        <f t="shared" si="27"/>
        <v>106</v>
      </c>
      <c r="B108" s="7" t="s">
        <v>472</v>
      </c>
      <c r="C108" s="124">
        <f t="shared" si="37"/>
        <v>17</v>
      </c>
      <c r="D108" s="124">
        <f t="shared" si="38"/>
        <v>15</v>
      </c>
      <c r="E108" s="124">
        <f t="shared" si="39"/>
        <v>14</v>
      </c>
      <c r="F108" t="s">
        <v>77</v>
      </c>
      <c r="G108" t="s">
        <v>112</v>
      </c>
      <c r="H108" t="s">
        <v>955</v>
      </c>
      <c r="I108" t="s">
        <v>107</v>
      </c>
      <c r="J108" t="s">
        <v>108</v>
      </c>
      <c r="K108" t="s">
        <v>108</v>
      </c>
      <c r="L108" t="s">
        <v>108</v>
      </c>
      <c r="O108"/>
      <c r="R108" t="str">
        <f t="shared" si="26"/>
        <v>A0106</v>
      </c>
      <c r="S108" t="s">
        <v>607</v>
      </c>
    </row>
    <row r="109" spans="1:19" x14ac:dyDescent="0.3">
      <c r="A109" s="67">
        <f t="shared" si="27"/>
        <v>107</v>
      </c>
      <c r="B109" s="7" t="s">
        <v>473</v>
      </c>
      <c r="C109" s="124">
        <f t="shared" si="37"/>
        <v>18</v>
      </c>
      <c r="D109" s="124">
        <f t="shared" si="38"/>
        <v>16</v>
      </c>
      <c r="E109" s="124">
        <f t="shared" si="39"/>
        <v>15</v>
      </c>
      <c r="F109" t="s">
        <v>77</v>
      </c>
      <c r="G109" t="s">
        <v>112</v>
      </c>
      <c r="H109" t="s">
        <v>955</v>
      </c>
      <c r="I109" t="s">
        <v>107</v>
      </c>
      <c r="J109" t="s">
        <v>108</v>
      </c>
      <c r="K109" t="s">
        <v>108</v>
      </c>
      <c r="L109" t="s">
        <v>108</v>
      </c>
      <c r="O109"/>
      <c r="R109" t="str">
        <f t="shared" si="26"/>
        <v>A0107</v>
      </c>
      <c r="S109" t="s">
        <v>608</v>
      </c>
    </row>
    <row r="110" spans="1:19" x14ac:dyDescent="0.3">
      <c r="A110" s="67">
        <f t="shared" si="27"/>
        <v>108</v>
      </c>
      <c r="B110" s="7" t="s">
        <v>474</v>
      </c>
      <c r="C110" s="124">
        <f t="shared" si="37"/>
        <v>19</v>
      </c>
      <c r="D110" s="124">
        <f t="shared" si="38"/>
        <v>17</v>
      </c>
      <c r="E110" s="124">
        <f t="shared" si="39"/>
        <v>16</v>
      </c>
      <c r="F110" t="s">
        <v>77</v>
      </c>
      <c r="G110" t="s">
        <v>112</v>
      </c>
      <c r="H110" t="s">
        <v>955</v>
      </c>
      <c r="I110" t="s">
        <v>107</v>
      </c>
      <c r="J110" t="s">
        <v>108</v>
      </c>
      <c r="K110" t="s">
        <v>108</v>
      </c>
      <c r="L110" t="s">
        <v>108</v>
      </c>
      <c r="O110"/>
      <c r="R110" t="str">
        <f t="shared" si="26"/>
        <v>A0108</v>
      </c>
      <c r="S110" t="s">
        <v>609</v>
      </c>
    </row>
    <row r="111" spans="1:19" x14ac:dyDescent="0.3">
      <c r="A111" s="64">
        <f t="shared" si="27"/>
        <v>109</v>
      </c>
      <c r="B111" s="26" t="s">
        <v>452</v>
      </c>
      <c r="C111" s="226">
        <f>+D111+2</f>
        <v>13</v>
      </c>
      <c r="D111" s="226">
        <f>+E111+1</f>
        <v>11</v>
      </c>
      <c r="E111" s="226">
        <f>+E57+2</f>
        <v>10</v>
      </c>
      <c r="F111" t="s">
        <v>78</v>
      </c>
      <c r="G111" t="s">
        <v>92</v>
      </c>
      <c r="H111" t="s">
        <v>955</v>
      </c>
      <c r="I111" t="s">
        <v>107</v>
      </c>
      <c r="J111" t="s">
        <v>108</v>
      </c>
      <c r="K111" t="s">
        <v>108</v>
      </c>
      <c r="L111" t="s">
        <v>108</v>
      </c>
      <c r="M111" s="33" t="s">
        <v>19</v>
      </c>
      <c r="N111" s="33" t="s">
        <v>72</v>
      </c>
      <c r="O111" s="44">
        <f>ROUND(VLOOKUP(N111,[1]INDICE!$A$5:$D$424,4,FALSE),2)</f>
        <v>7.6</v>
      </c>
      <c r="R111" t="str">
        <f t="shared" si="26"/>
        <v>A0109</v>
      </c>
      <c r="S111" t="s">
        <v>610</v>
      </c>
    </row>
    <row r="112" spans="1:19" x14ac:dyDescent="0.3">
      <c r="A112" s="64">
        <f t="shared" si="27"/>
        <v>110</v>
      </c>
      <c r="B112" s="26" t="s">
        <v>453</v>
      </c>
      <c r="C112" s="226">
        <f>+D112+2</f>
        <v>14</v>
      </c>
      <c r="D112" s="226">
        <f>+D111+1</f>
        <v>12</v>
      </c>
      <c r="E112" s="226">
        <f>+E111+1</f>
        <v>11</v>
      </c>
      <c r="F112" t="s">
        <v>78</v>
      </c>
      <c r="G112" t="s">
        <v>92</v>
      </c>
      <c r="H112" t="s">
        <v>955</v>
      </c>
      <c r="I112" t="s">
        <v>107</v>
      </c>
      <c r="J112" t="s">
        <v>108</v>
      </c>
      <c r="K112" t="s">
        <v>108</v>
      </c>
      <c r="L112" t="s">
        <v>108</v>
      </c>
      <c r="O112"/>
      <c r="R112" t="str">
        <f t="shared" si="26"/>
        <v>A0110</v>
      </c>
      <c r="S112" t="s">
        <v>611</v>
      </c>
    </row>
    <row r="113" spans="1:19" x14ac:dyDescent="0.3">
      <c r="A113" s="64">
        <f t="shared" si="27"/>
        <v>111</v>
      </c>
      <c r="B113" s="26" t="s">
        <v>454</v>
      </c>
      <c r="C113" s="226">
        <f t="shared" ref="C113:C119" si="40">+D113+2</f>
        <v>15</v>
      </c>
      <c r="D113" s="226">
        <f t="shared" ref="D113:D119" si="41">+D112+1</f>
        <v>13</v>
      </c>
      <c r="E113" s="226">
        <f t="shared" ref="E113:E119" si="42">+E112+1</f>
        <v>12</v>
      </c>
      <c r="F113" t="s">
        <v>78</v>
      </c>
      <c r="G113" t="s">
        <v>92</v>
      </c>
      <c r="H113" t="s">
        <v>955</v>
      </c>
      <c r="I113" t="s">
        <v>107</v>
      </c>
      <c r="J113" t="s">
        <v>108</v>
      </c>
      <c r="K113" t="s">
        <v>108</v>
      </c>
      <c r="L113" t="s">
        <v>108</v>
      </c>
      <c r="O113"/>
      <c r="R113" t="str">
        <f t="shared" si="26"/>
        <v>A0111</v>
      </c>
      <c r="S113" t="s">
        <v>612</v>
      </c>
    </row>
    <row r="114" spans="1:19" x14ac:dyDescent="0.3">
      <c r="A114" s="64">
        <f t="shared" si="27"/>
        <v>112</v>
      </c>
      <c r="B114" s="26" t="s">
        <v>455</v>
      </c>
      <c r="C114" s="226">
        <f t="shared" si="40"/>
        <v>16</v>
      </c>
      <c r="D114" s="226">
        <f t="shared" si="41"/>
        <v>14</v>
      </c>
      <c r="E114" s="226">
        <f t="shared" si="42"/>
        <v>13</v>
      </c>
      <c r="F114" t="s">
        <v>78</v>
      </c>
      <c r="G114" t="s">
        <v>92</v>
      </c>
      <c r="H114" t="s">
        <v>955</v>
      </c>
      <c r="I114" t="s">
        <v>107</v>
      </c>
      <c r="J114" t="s">
        <v>108</v>
      </c>
      <c r="K114" t="s">
        <v>108</v>
      </c>
      <c r="L114" t="s">
        <v>108</v>
      </c>
      <c r="O114"/>
      <c r="R114" t="str">
        <f t="shared" si="26"/>
        <v>A0112</v>
      </c>
      <c r="S114" t="s">
        <v>613</v>
      </c>
    </row>
    <row r="115" spans="1:19" x14ac:dyDescent="0.3">
      <c r="A115" s="64">
        <f t="shared" si="27"/>
        <v>113</v>
      </c>
      <c r="B115" s="26" t="s">
        <v>456</v>
      </c>
      <c r="C115" s="226">
        <f t="shared" si="40"/>
        <v>17</v>
      </c>
      <c r="D115" s="226">
        <f t="shared" si="41"/>
        <v>15</v>
      </c>
      <c r="E115" s="226">
        <f t="shared" si="42"/>
        <v>14</v>
      </c>
      <c r="F115" t="s">
        <v>78</v>
      </c>
      <c r="G115" t="s">
        <v>92</v>
      </c>
      <c r="H115" t="s">
        <v>955</v>
      </c>
      <c r="I115" t="s">
        <v>107</v>
      </c>
      <c r="J115" t="s">
        <v>108</v>
      </c>
      <c r="K115" t="s">
        <v>108</v>
      </c>
      <c r="L115" t="s">
        <v>108</v>
      </c>
      <c r="O115"/>
      <c r="R115" t="str">
        <f t="shared" si="26"/>
        <v>A0113</v>
      </c>
      <c r="S115" t="s">
        <v>614</v>
      </c>
    </row>
    <row r="116" spans="1:19" x14ac:dyDescent="0.3">
      <c r="A116" s="64">
        <f t="shared" si="27"/>
        <v>114</v>
      </c>
      <c r="B116" s="26" t="s">
        <v>457</v>
      </c>
      <c r="C116" s="226">
        <f t="shared" si="40"/>
        <v>18</v>
      </c>
      <c r="D116" s="226">
        <f t="shared" si="41"/>
        <v>16</v>
      </c>
      <c r="E116" s="226">
        <f t="shared" si="42"/>
        <v>15</v>
      </c>
      <c r="F116" t="s">
        <v>78</v>
      </c>
      <c r="G116" t="s">
        <v>92</v>
      </c>
      <c r="H116" t="s">
        <v>955</v>
      </c>
      <c r="I116" t="s">
        <v>107</v>
      </c>
      <c r="J116" t="s">
        <v>108</v>
      </c>
      <c r="K116" t="s">
        <v>108</v>
      </c>
      <c r="L116" t="s">
        <v>108</v>
      </c>
      <c r="O116"/>
      <c r="R116" t="str">
        <f t="shared" si="26"/>
        <v>A0114</v>
      </c>
      <c r="S116" t="s">
        <v>615</v>
      </c>
    </row>
    <row r="117" spans="1:19" x14ac:dyDescent="0.3">
      <c r="A117" s="64">
        <f t="shared" si="27"/>
        <v>115</v>
      </c>
      <c r="B117" s="26" t="s">
        <v>458</v>
      </c>
      <c r="C117" s="226">
        <f t="shared" si="40"/>
        <v>19</v>
      </c>
      <c r="D117" s="226">
        <f t="shared" si="41"/>
        <v>17</v>
      </c>
      <c r="E117" s="226">
        <f t="shared" si="42"/>
        <v>16</v>
      </c>
      <c r="F117" t="s">
        <v>78</v>
      </c>
      <c r="G117" t="s">
        <v>92</v>
      </c>
      <c r="H117" t="s">
        <v>955</v>
      </c>
      <c r="I117" t="s">
        <v>107</v>
      </c>
      <c r="J117" t="s">
        <v>108</v>
      </c>
      <c r="K117" t="s">
        <v>108</v>
      </c>
      <c r="L117" t="s">
        <v>108</v>
      </c>
      <c r="O117"/>
      <c r="R117" t="str">
        <f t="shared" si="26"/>
        <v>A0115</v>
      </c>
      <c r="S117" t="s">
        <v>616</v>
      </c>
    </row>
    <row r="118" spans="1:19" x14ac:dyDescent="0.3">
      <c r="A118" s="64">
        <f t="shared" si="27"/>
        <v>116</v>
      </c>
      <c r="B118" s="26" t="s">
        <v>459</v>
      </c>
      <c r="C118" s="226">
        <f t="shared" si="40"/>
        <v>20</v>
      </c>
      <c r="D118" s="226">
        <f t="shared" si="41"/>
        <v>18</v>
      </c>
      <c r="E118" s="226">
        <f t="shared" si="42"/>
        <v>17</v>
      </c>
      <c r="F118" t="s">
        <v>78</v>
      </c>
      <c r="G118" t="s">
        <v>92</v>
      </c>
      <c r="H118" t="s">
        <v>955</v>
      </c>
      <c r="I118" t="s">
        <v>107</v>
      </c>
      <c r="J118" t="s">
        <v>108</v>
      </c>
      <c r="K118" t="s">
        <v>108</v>
      </c>
      <c r="L118" t="s">
        <v>108</v>
      </c>
      <c r="O118"/>
      <c r="R118" t="str">
        <f t="shared" si="26"/>
        <v>A0116</v>
      </c>
      <c r="S118" t="s">
        <v>617</v>
      </c>
    </row>
    <row r="119" spans="1:19" x14ac:dyDescent="0.3">
      <c r="A119" s="64">
        <f t="shared" si="27"/>
        <v>117</v>
      </c>
      <c r="B119" s="26" t="s">
        <v>460</v>
      </c>
      <c r="C119" s="226">
        <f t="shared" si="40"/>
        <v>21</v>
      </c>
      <c r="D119" s="226">
        <f t="shared" si="41"/>
        <v>19</v>
      </c>
      <c r="E119" s="226">
        <f t="shared" si="42"/>
        <v>18</v>
      </c>
      <c r="F119" t="s">
        <v>78</v>
      </c>
      <c r="G119" t="s">
        <v>92</v>
      </c>
      <c r="H119" t="s">
        <v>955</v>
      </c>
      <c r="I119" t="s">
        <v>107</v>
      </c>
      <c r="J119" t="s">
        <v>108</v>
      </c>
      <c r="K119" t="s">
        <v>108</v>
      </c>
      <c r="L119" t="s">
        <v>108</v>
      </c>
      <c r="O119"/>
      <c r="R119" t="str">
        <f t="shared" si="26"/>
        <v>A0117</v>
      </c>
      <c r="S119" t="s">
        <v>618</v>
      </c>
    </row>
    <row r="120" spans="1:19" x14ac:dyDescent="0.3">
      <c r="A120" s="65">
        <f t="shared" si="27"/>
        <v>118</v>
      </c>
      <c r="B120" s="25" t="s">
        <v>965</v>
      </c>
      <c r="C120" s="227">
        <f>+D120+2</f>
        <v>14</v>
      </c>
      <c r="D120" s="227">
        <f>+E120+1</f>
        <v>12</v>
      </c>
      <c r="E120" s="227">
        <f>+E66+2</f>
        <v>11</v>
      </c>
      <c r="F120" t="s">
        <v>78</v>
      </c>
      <c r="G120" t="s">
        <v>398</v>
      </c>
      <c r="H120" t="s">
        <v>955</v>
      </c>
      <c r="I120" t="s">
        <v>107</v>
      </c>
      <c r="J120" t="s">
        <v>108</v>
      </c>
      <c r="K120" t="s">
        <v>108</v>
      </c>
      <c r="L120" t="s">
        <v>108</v>
      </c>
      <c r="M120" s="33" t="s">
        <v>19</v>
      </c>
      <c r="N120" s="33" t="s">
        <v>72</v>
      </c>
      <c r="O120" s="44">
        <f>ROUND(VLOOKUP(N120,[1]INDICE!$A$5:$D$424,4,FALSE),2)</f>
        <v>7.6</v>
      </c>
      <c r="R120" t="str">
        <f t="shared" si="26"/>
        <v>A0118</v>
      </c>
      <c r="S120" t="s">
        <v>619</v>
      </c>
    </row>
    <row r="121" spans="1:19" x14ac:dyDescent="0.3">
      <c r="A121" s="65">
        <f t="shared" si="27"/>
        <v>119</v>
      </c>
      <c r="B121" s="24" t="s">
        <v>966</v>
      </c>
      <c r="C121" s="228">
        <f>+D121+2</f>
        <v>15</v>
      </c>
      <c r="D121" s="228">
        <f>+D120+1</f>
        <v>13</v>
      </c>
      <c r="E121" s="228">
        <f>+E120+1</f>
        <v>12</v>
      </c>
      <c r="F121" t="s">
        <v>78</v>
      </c>
      <c r="G121" t="s">
        <v>398</v>
      </c>
      <c r="H121" t="s">
        <v>955</v>
      </c>
      <c r="I121" t="s">
        <v>107</v>
      </c>
      <c r="J121" t="s">
        <v>108</v>
      </c>
      <c r="K121" t="s">
        <v>108</v>
      </c>
      <c r="L121" t="s">
        <v>108</v>
      </c>
      <c r="O121"/>
      <c r="R121" t="str">
        <f t="shared" si="26"/>
        <v>A0119</v>
      </c>
      <c r="S121" t="s">
        <v>620</v>
      </c>
    </row>
    <row r="122" spans="1:19" x14ac:dyDescent="0.3">
      <c r="A122" s="65">
        <f t="shared" si="27"/>
        <v>120</v>
      </c>
      <c r="B122" s="24" t="s">
        <v>967</v>
      </c>
      <c r="C122" s="228">
        <f t="shared" ref="C122:C128" si="43">+D122+2</f>
        <v>16</v>
      </c>
      <c r="D122" s="228">
        <f t="shared" ref="D122:D128" si="44">+D121+1</f>
        <v>14</v>
      </c>
      <c r="E122" s="228">
        <f t="shared" ref="E122:E128" si="45">+E121+1</f>
        <v>13</v>
      </c>
      <c r="F122" t="s">
        <v>78</v>
      </c>
      <c r="G122" t="s">
        <v>398</v>
      </c>
      <c r="H122" t="s">
        <v>955</v>
      </c>
      <c r="I122" t="s">
        <v>107</v>
      </c>
      <c r="J122" t="s">
        <v>108</v>
      </c>
      <c r="K122" t="s">
        <v>108</v>
      </c>
      <c r="L122" t="s">
        <v>108</v>
      </c>
      <c r="O122"/>
      <c r="R122" t="str">
        <f t="shared" si="26"/>
        <v>A0120</v>
      </c>
      <c r="S122" t="s">
        <v>621</v>
      </c>
    </row>
    <row r="123" spans="1:19" x14ac:dyDescent="0.3">
      <c r="A123" s="65">
        <f t="shared" si="27"/>
        <v>121</v>
      </c>
      <c r="B123" s="24" t="s">
        <v>968</v>
      </c>
      <c r="C123" s="228">
        <f t="shared" si="43"/>
        <v>17</v>
      </c>
      <c r="D123" s="228">
        <f t="shared" si="44"/>
        <v>15</v>
      </c>
      <c r="E123" s="228">
        <f t="shared" si="45"/>
        <v>14</v>
      </c>
      <c r="F123" t="s">
        <v>78</v>
      </c>
      <c r="G123" t="s">
        <v>398</v>
      </c>
      <c r="H123" t="s">
        <v>955</v>
      </c>
      <c r="I123" t="s">
        <v>107</v>
      </c>
      <c r="J123" t="s">
        <v>108</v>
      </c>
      <c r="K123" t="s">
        <v>108</v>
      </c>
      <c r="L123" t="s">
        <v>108</v>
      </c>
      <c r="O123"/>
      <c r="R123" t="str">
        <f t="shared" si="26"/>
        <v>A0121</v>
      </c>
      <c r="S123" t="s">
        <v>622</v>
      </c>
    </row>
    <row r="124" spans="1:19" x14ac:dyDescent="0.3">
      <c r="A124" s="65">
        <f t="shared" si="27"/>
        <v>122</v>
      </c>
      <c r="B124" s="24" t="s">
        <v>969</v>
      </c>
      <c r="C124" s="228">
        <f t="shared" si="43"/>
        <v>18</v>
      </c>
      <c r="D124" s="228">
        <f t="shared" si="44"/>
        <v>16</v>
      </c>
      <c r="E124" s="228">
        <f t="shared" si="45"/>
        <v>15</v>
      </c>
      <c r="F124" t="s">
        <v>78</v>
      </c>
      <c r="G124" t="s">
        <v>398</v>
      </c>
      <c r="H124" t="s">
        <v>955</v>
      </c>
      <c r="I124" t="s">
        <v>107</v>
      </c>
      <c r="J124" t="s">
        <v>108</v>
      </c>
      <c r="K124" t="s">
        <v>108</v>
      </c>
      <c r="L124" t="s">
        <v>108</v>
      </c>
      <c r="O124"/>
      <c r="R124" t="str">
        <f t="shared" si="26"/>
        <v>A0122</v>
      </c>
      <c r="S124" t="s">
        <v>623</v>
      </c>
    </row>
    <row r="125" spans="1:19" x14ac:dyDescent="0.3">
      <c r="A125" s="65">
        <f t="shared" si="27"/>
        <v>123</v>
      </c>
      <c r="B125" s="24" t="s">
        <v>970</v>
      </c>
      <c r="C125" s="228">
        <f t="shared" si="43"/>
        <v>19</v>
      </c>
      <c r="D125" s="228">
        <f t="shared" si="44"/>
        <v>17</v>
      </c>
      <c r="E125" s="228">
        <f t="shared" si="45"/>
        <v>16</v>
      </c>
      <c r="F125" t="s">
        <v>78</v>
      </c>
      <c r="G125" t="s">
        <v>398</v>
      </c>
      <c r="H125" t="s">
        <v>955</v>
      </c>
      <c r="I125" t="s">
        <v>107</v>
      </c>
      <c r="J125" t="s">
        <v>108</v>
      </c>
      <c r="K125" t="s">
        <v>108</v>
      </c>
      <c r="L125" t="s">
        <v>108</v>
      </c>
      <c r="O125"/>
      <c r="R125" t="str">
        <f t="shared" si="26"/>
        <v>A0123</v>
      </c>
      <c r="S125" t="s">
        <v>624</v>
      </c>
    </row>
    <row r="126" spans="1:19" x14ac:dyDescent="0.3">
      <c r="A126" s="65">
        <f t="shared" si="27"/>
        <v>124</v>
      </c>
      <c r="B126" s="24" t="s">
        <v>971</v>
      </c>
      <c r="C126" s="228">
        <f t="shared" si="43"/>
        <v>20</v>
      </c>
      <c r="D126" s="228">
        <f t="shared" si="44"/>
        <v>18</v>
      </c>
      <c r="E126" s="228">
        <f t="shared" si="45"/>
        <v>17</v>
      </c>
      <c r="F126" t="s">
        <v>78</v>
      </c>
      <c r="G126" t="s">
        <v>398</v>
      </c>
      <c r="H126" t="s">
        <v>955</v>
      </c>
      <c r="I126" t="s">
        <v>107</v>
      </c>
      <c r="J126" t="s">
        <v>108</v>
      </c>
      <c r="K126" t="s">
        <v>108</v>
      </c>
      <c r="L126" t="s">
        <v>108</v>
      </c>
      <c r="O126"/>
      <c r="R126" t="str">
        <f t="shared" si="26"/>
        <v>A0124</v>
      </c>
      <c r="S126" t="s">
        <v>625</v>
      </c>
    </row>
    <row r="127" spans="1:19" x14ac:dyDescent="0.3">
      <c r="A127" s="65">
        <f t="shared" si="27"/>
        <v>125</v>
      </c>
      <c r="B127" s="24" t="s">
        <v>972</v>
      </c>
      <c r="C127" s="228">
        <f t="shared" si="43"/>
        <v>21</v>
      </c>
      <c r="D127" s="228">
        <f t="shared" si="44"/>
        <v>19</v>
      </c>
      <c r="E127" s="228">
        <f t="shared" si="45"/>
        <v>18</v>
      </c>
      <c r="F127" t="s">
        <v>78</v>
      </c>
      <c r="G127" t="s">
        <v>398</v>
      </c>
      <c r="H127" t="s">
        <v>955</v>
      </c>
      <c r="I127" t="s">
        <v>107</v>
      </c>
      <c r="J127" t="s">
        <v>108</v>
      </c>
      <c r="K127" t="s">
        <v>108</v>
      </c>
      <c r="L127" t="s">
        <v>108</v>
      </c>
      <c r="O127"/>
      <c r="R127" t="str">
        <f t="shared" si="26"/>
        <v>A0125</v>
      </c>
      <c r="S127" t="s">
        <v>626</v>
      </c>
    </row>
    <row r="128" spans="1:19" x14ac:dyDescent="0.3">
      <c r="A128" s="65">
        <f t="shared" si="27"/>
        <v>126</v>
      </c>
      <c r="B128" s="24" t="s">
        <v>973</v>
      </c>
      <c r="C128" s="228">
        <f t="shared" si="43"/>
        <v>22</v>
      </c>
      <c r="D128" s="228">
        <f t="shared" si="44"/>
        <v>20</v>
      </c>
      <c r="E128" s="228">
        <f t="shared" si="45"/>
        <v>19</v>
      </c>
      <c r="F128" t="s">
        <v>78</v>
      </c>
      <c r="G128" t="s">
        <v>398</v>
      </c>
      <c r="H128" t="s">
        <v>955</v>
      </c>
      <c r="I128" t="s">
        <v>107</v>
      </c>
      <c r="J128" t="s">
        <v>108</v>
      </c>
      <c r="K128" t="s">
        <v>108</v>
      </c>
      <c r="L128" t="s">
        <v>108</v>
      </c>
      <c r="O128"/>
      <c r="R128" t="str">
        <f t="shared" si="26"/>
        <v>A0126</v>
      </c>
      <c r="S128" t="s">
        <v>627</v>
      </c>
    </row>
    <row r="129" spans="1:19" x14ac:dyDescent="0.3">
      <c r="A129" s="66">
        <f t="shared" si="27"/>
        <v>127</v>
      </c>
      <c r="B129" s="52" t="s">
        <v>488</v>
      </c>
      <c r="C129" s="229">
        <f>+D129+2</f>
        <v>15</v>
      </c>
      <c r="D129" s="229">
        <f>+E129+1</f>
        <v>13</v>
      </c>
      <c r="E129" s="229">
        <f>+E75+2</f>
        <v>12</v>
      </c>
      <c r="F129" t="s">
        <v>78</v>
      </c>
      <c r="G129" t="s">
        <v>112</v>
      </c>
      <c r="H129" t="s">
        <v>955</v>
      </c>
      <c r="I129" t="s">
        <v>107</v>
      </c>
      <c r="J129" t="s">
        <v>108</v>
      </c>
      <c r="K129" t="s">
        <v>108</v>
      </c>
      <c r="L129" t="s">
        <v>108</v>
      </c>
      <c r="M129" s="33" t="s">
        <v>19</v>
      </c>
      <c r="N129" s="33" t="s">
        <v>72</v>
      </c>
      <c r="O129" s="44">
        <f>ROUND(VLOOKUP(N129,[1]INDICE!$A$5:$D$424,4,FALSE),2)</f>
        <v>7.6</v>
      </c>
      <c r="R129" t="str">
        <f t="shared" si="26"/>
        <v>A0127</v>
      </c>
      <c r="S129" t="s">
        <v>628</v>
      </c>
    </row>
    <row r="130" spans="1:19" x14ac:dyDescent="0.3">
      <c r="A130" s="66">
        <f t="shared" si="27"/>
        <v>128</v>
      </c>
      <c r="B130" s="52" t="s">
        <v>489</v>
      </c>
      <c r="C130" s="229">
        <f>+D130+2</f>
        <v>16</v>
      </c>
      <c r="D130" s="229">
        <f>+D129+1</f>
        <v>14</v>
      </c>
      <c r="E130" s="229">
        <f>+E129+1</f>
        <v>13</v>
      </c>
      <c r="F130" t="s">
        <v>78</v>
      </c>
      <c r="G130" t="s">
        <v>112</v>
      </c>
      <c r="H130" t="s">
        <v>955</v>
      </c>
      <c r="I130" t="s">
        <v>107</v>
      </c>
      <c r="J130" t="s">
        <v>108</v>
      </c>
      <c r="K130" t="s">
        <v>108</v>
      </c>
      <c r="L130" t="s">
        <v>108</v>
      </c>
      <c r="O130"/>
      <c r="R130" t="str">
        <f t="shared" si="26"/>
        <v>A0128</v>
      </c>
      <c r="S130" t="s">
        <v>629</v>
      </c>
    </row>
    <row r="131" spans="1:19" x14ac:dyDescent="0.3">
      <c r="A131" s="66">
        <f t="shared" si="27"/>
        <v>129</v>
      </c>
      <c r="B131" s="52" t="s">
        <v>490</v>
      </c>
      <c r="C131" s="229">
        <f t="shared" ref="C131:C137" si="46">+D131+2</f>
        <v>17</v>
      </c>
      <c r="D131" s="229">
        <f t="shared" ref="D131:D137" si="47">+D130+1</f>
        <v>15</v>
      </c>
      <c r="E131" s="229">
        <f t="shared" ref="E131:E137" si="48">+E130+1</f>
        <v>14</v>
      </c>
      <c r="F131" t="s">
        <v>78</v>
      </c>
      <c r="G131" t="s">
        <v>112</v>
      </c>
      <c r="H131" t="s">
        <v>955</v>
      </c>
      <c r="I131" t="s">
        <v>107</v>
      </c>
      <c r="J131" t="s">
        <v>108</v>
      </c>
      <c r="K131" t="s">
        <v>108</v>
      </c>
      <c r="L131" t="s">
        <v>108</v>
      </c>
      <c r="O131"/>
      <c r="R131" t="str">
        <f t="shared" si="26"/>
        <v>A0129</v>
      </c>
      <c r="S131" t="s">
        <v>630</v>
      </c>
    </row>
    <row r="132" spans="1:19" x14ac:dyDescent="0.3">
      <c r="A132" s="66">
        <f t="shared" si="27"/>
        <v>130</v>
      </c>
      <c r="B132" s="52" t="s">
        <v>491</v>
      </c>
      <c r="C132" s="229">
        <f t="shared" si="46"/>
        <v>18</v>
      </c>
      <c r="D132" s="229">
        <f t="shared" si="47"/>
        <v>16</v>
      </c>
      <c r="E132" s="229">
        <f t="shared" si="48"/>
        <v>15</v>
      </c>
      <c r="F132" t="s">
        <v>78</v>
      </c>
      <c r="G132" t="s">
        <v>112</v>
      </c>
      <c r="H132" t="s">
        <v>955</v>
      </c>
      <c r="I132" t="s">
        <v>107</v>
      </c>
      <c r="J132" t="s">
        <v>108</v>
      </c>
      <c r="K132" t="s">
        <v>108</v>
      </c>
      <c r="L132" t="s">
        <v>108</v>
      </c>
      <c r="O132"/>
      <c r="R132" t="str">
        <f t="shared" ref="R132:R195" si="49">+TEXT(A132,"A000#")</f>
        <v>A0130</v>
      </c>
      <c r="S132" t="s">
        <v>631</v>
      </c>
    </row>
    <row r="133" spans="1:19" x14ac:dyDescent="0.3">
      <c r="A133" s="66">
        <f t="shared" ref="A133:A196" si="50">+A132+1</f>
        <v>131</v>
      </c>
      <c r="B133" s="52" t="s">
        <v>492</v>
      </c>
      <c r="C133" s="229">
        <f t="shared" si="46"/>
        <v>19</v>
      </c>
      <c r="D133" s="229">
        <f t="shared" si="47"/>
        <v>17</v>
      </c>
      <c r="E133" s="229">
        <f t="shared" si="48"/>
        <v>16</v>
      </c>
      <c r="F133" t="s">
        <v>78</v>
      </c>
      <c r="G133" t="s">
        <v>112</v>
      </c>
      <c r="H133" t="s">
        <v>955</v>
      </c>
      <c r="I133" t="s">
        <v>107</v>
      </c>
      <c r="J133" t="s">
        <v>108</v>
      </c>
      <c r="K133" t="s">
        <v>108</v>
      </c>
      <c r="L133" t="s">
        <v>108</v>
      </c>
      <c r="O133"/>
      <c r="R133" t="str">
        <f t="shared" si="49"/>
        <v>A0131</v>
      </c>
      <c r="S133" t="s">
        <v>632</v>
      </c>
    </row>
    <row r="134" spans="1:19" x14ac:dyDescent="0.3">
      <c r="A134" s="66">
        <f t="shared" si="50"/>
        <v>132</v>
      </c>
      <c r="B134" s="52" t="s">
        <v>493</v>
      </c>
      <c r="C134" s="229">
        <f t="shared" si="46"/>
        <v>20</v>
      </c>
      <c r="D134" s="229">
        <f t="shared" si="47"/>
        <v>18</v>
      </c>
      <c r="E134" s="229">
        <f t="shared" si="48"/>
        <v>17</v>
      </c>
      <c r="F134" t="s">
        <v>78</v>
      </c>
      <c r="G134" t="s">
        <v>112</v>
      </c>
      <c r="H134" t="s">
        <v>955</v>
      </c>
      <c r="I134" t="s">
        <v>107</v>
      </c>
      <c r="J134" t="s">
        <v>108</v>
      </c>
      <c r="K134" t="s">
        <v>108</v>
      </c>
      <c r="L134" t="s">
        <v>108</v>
      </c>
      <c r="O134"/>
      <c r="R134" t="str">
        <f t="shared" si="49"/>
        <v>A0132</v>
      </c>
      <c r="S134" t="s">
        <v>633</v>
      </c>
    </row>
    <row r="135" spans="1:19" x14ac:dyDescent="0.3">
      <c r="A135" s="66">
        <f t="shared" si="50"/>
        <v>133</v>
      </c>
      <c r="B135" s="52" t="s">
        <v>494</v>
      </c>
      <c r="C135" s="229">
        <f t="shared" si="46"/>
        <v>21</v>
      </c>
      <c r="D135" s="229">
        <f t="shared" si="47"/>
        <v>19</v>
      </c>
      <c r="E135" s="229">
        <f t="shared" si="48"/>
        <v>18</v>
      </c>
      <c r="F135" t="s">
        <v>78</v>
      </c>
      <c r="G135" t="s">
        <v>112</v>
      </c>
      <c r="H135" t="s">
        <v>955</v>
      </c>
      <c r="I135" t="s">
        <v>107</v>
      </c>
      <c r="J135" t="s">
        <v>108</v>
      </c>
      <c r="K135" t="s">
        <v>108</v>
      </c>
      <c r="L135" t="s">
        <v>108</v>
      </c>
      <c r="O135"/>
      <c r="R135" t="str">
        <f t="shared" si="49"/>
        <v>A0133</v>
      </c>
      <c r="S135" t="s">
        <v>634</v>
      </c>
    </row>
    <row r="136" spans="1:19" x14ac:dyDescent="0.3">
      <c r="A136" s="66">
        <f t="shared" si="50"/>
        <v>134</v>
      </c>
      <c r="B136" s="52" t="s">
        <v>495</v>
      </c>
      <c r="C136" s="229">
        <f t="shared" si="46"/>
        <v>22</v>
      </c>
      <c r="D136" s="229">
        <f t="shared" si="47"/>
        <v>20</v>
      </c>
      <c r="E136" s="229">
        <f t="shared" si="48"/>
        <v>19</v>
      </c>
      <c r="F136" t="s">
        <v>78</v>
      </c>
      <c r="G136" t="s">
        <v>112</v>
      </c>
      <c r="H136" t="s">
        <v>955</v>
      </c>
      <c r="I136" t="s">
        <v>107</v>
      </c>
      <c r="J136" t="s">
        <v>108</v>
      </c>
      <c r="K136" t="s">
        <v>108</v>
      </c>
      <c r="L136" t="s">
        <v>108</v>
      </c>
      <c r="O136"/>
      <c r="R136" t="str">
        <f t="shared" si="49"/>
        <v>A0134</v>
      </c>
      <c r="S136" t="s">
        <v>635</v>
      </c>
    </row>
    <row r="137" spans="1:19" x14ac:dyDescent="0.3">
      <c r="A137" s="66">
        <f t="shared" si="50"/>
        <v>135</v>
      </c>
      <c r="B137" s="52" t="s">
        <v>496</v>
      </c>
      <c r="C137" s="229">
        <f t="shared" si="46"/>
        <v>23</v>
      </c>
      <c r="D137" s="229">
        <f t="shared" si="47"/>
        <v>21</v>
      </c>
      <c r="E137" s="229">
        <f t="shared" si="48"/>
        <v>20</v>
      </c>
      <c r="F137" t="s">
        <v>78</v>
      </c>
      <c r="G137" t="s">
        <v>112</v>
      </c>
      <c r="H137" t="s">
        <v>955</v>
      </c>
      <c r="I137" t="s">
        <v>107</v>
      </c>
      <c r="J137" t="s">
        <v>108</v>
      </c>
      <c r="K137" t="s">
        <v>108</v>
      </c>
      <c r="L137" t="s">
        <v>108</v>
      </c>
      <c r="O137"/>
      <c r="R137" t="str">
        <f t="shared" si="49"/>
        <v>A0135</v>
      </c>
      <c r="S137" t="s">
        <v>636</v>
      </c>
    </row>
    <row r="138" spans="1:19" x14ac:dyDescent="0.3">
      <c r="A138" s="67">
        <f t="shared" si="50"/>
        <v>136</v>
      </c>
      <c r="B138" s="7" t="s">
        <v>35</v>
      </c>
      <c r="C138" s="124">
        <f>+D138+2</f>
        <v>5</v>
      </c>
      <c r="D138" s="124">
        <f>+E138+1</f>
        <v>3</v>
      </c>
      <c r="E138" s="124">
        <v>2</v>
      </c>
      <c r="F138" t="s">
        <v>79</v>
      </c>
      <c r="G138" t="s">
        <v>79</v>
      </c>
      <c r="O138"/>
      <c r="R138" t="str">
        <f t="shared" si="49"/>
        <v>A0136</v>
      </c>
      <c r="S138" t="s">
        <v>637</v>
      </c>
    </row>
    <row r="139" spans="1:19" x14ac:dyDescent="0.3">
      <c r="A139" s="68">
        <f t="shared" si="50"/>
        <v>137</v>
      </c>
      <c r="B139" s="31" t="s">
        <v>242</v>
      </c>
      <c r="C139" s="230">
        <f>+D139+2</f>
        <v>14</v>
      </c>
      <c r="D139" s="230">
        <f>+E139+1</f>
        <v>12</v>
      </c>
      <c r="E139" s="230">
        <v>11</v>
      </c>
      <c r="F139" t="s">
        <v>91</v>
      </c>
      <c r="G139" t="s">
        <v>195</v>
      </c>
      <c r="H139" t="s">
        <v>955</v>
      </c>
      <c r="I139" t="s">
        <v>107</v>
      </c>
      <c r="J139" t="s">
        <v>108</v>
      </c>
      <c r="K139" t="s">
        <v>108</v>
      </c>
      <c r="L139" t="s">
        <v>108</v>
      </c>
      <c r="M139" s="33" t="s">
        <v>19</v>
      </c>
      <c r="N139" s="33" t="s">
        <v>56</v>
      </c>
      <c r="O139" s="44">
        <f>ROUND(VLOOKUP(N139,[1]INDICE!$A$5:$D$424,4,FALSE),2)</f>
        <v>8.2899999999999991</v>
      </c>
      <c r="R139" t="str">
        <f t="shared" si="49"/>
        <v>A0137</v>
      </c>
      <c r="S139" t="s">
        <v>638</v>
      </c>
    </row>
    <row r="140" spans="1:19" x14ac:dyDescent="0.3">
      <c r="A140" s="68">
        <f t="shared" si="50"/>
        <v>138</v>
      </c>
      <c r="B140" s="31" t="s">
        <v>1145</v>
      </c>
      <c r="C140" s="230">
        <f t="shared" ref="C140:C166" si="51">+D140+2</f>
        <v>15</v>
      </c>
      <c r="D140" s="230">
        <f>+E140+1</f>
        <v>13</v>
      </c>
      <c r="E140" s="230">
        <f>+E139+1</f>
        <v>12</v>
      </c>
      <c r="F140" t="s">
        <v>91</v>
      </c>
      <c r="G140" t="s">
        <v>195</v>
      </c>
      <c r="H140" t="s">
        <v>955</v>
      </c>
      <c r="I140" t="s">
        <v>107</v>
      </c>
      <c r="J140" t="s">
        <v>108</v>
      </c>
      <c r="K140" t="s">
        <v>108</v>
      </c>
      <c r="L140" t="s">
        <v>108</v>
      </c>
      <c r="O140" s="35"/>
      <c r="R140" t="str">
        <f t="shared" si="49"/>
        <v>A0138</v>
      </c>
      <c r="S140" t="s">
        <v>639</v>
      </c>
    </row>
    <row r="141" spans="1:19" x14ac:dyDescent="0.3">
      <c r="A141" s="68">
        <f t="shared" si="50"/>
        <v>139</v>
      </c>
      <c r="B141" s="31" t="s">
        <v>1149</v>
      </c>
      <c r="C141" s="230">
        <f t="shared" si="51"/>
        <v>16</v>
      </c>
      <c r="D141" s="230">
        <f t="shared" ref="D141:D147" si="52">+E141+1</f>
        <v>14</v>
      </c>
      <c r="E141" s="230">
        <f t="shared" ref="E141:E147" si="53">+E140+1</f>
        <v>13</v>
      </c>
      <c r="F141" t="s">
        <v>91</v>
      </c>
      <c r="G141" t="s">
        <v>195</v>
      </c>
      <c r="H141" t="s">
        <v>955</v>
      </c>
      <c r="I141" t="s">
        <v>107</v>
      </c>
      <c r="J141" t="s">
        <v>108</v>
      </c>
      <c r="K141" t="s">
        <v>108</v>
      </c>
      <c r="L141" t="s">
        <v>108</v>
      </c>
      <c r="O141" s="35"/>
      <c r="R141" t="str">
        <f t="shared" si="49"/>
        <v>A0139</v>
      </c>
      <c r="S141" t="s">
        <v>640</v>
      </c>
    </row>
    <row r="142" spans="1:19" x14ac:dyDescent="0.3">
      <c r="A142" s="68">
        <f t="shared" si="50"/>
        <v>140</v>
      </c>
      <c r="B142" s="31" t="s">
        <v>1148</v>
      </c>
      <c r="C142" s="230">
        <f t="shared" si="51"/>
        <v>17</v>
      </c>
      <c r="D142" s="230">
        <f t="shared" si="52"/>
        <v>15</v>
      </c>
      <c r="E142" s="230">
        <f t="shared" si="53"/>
        <v>14</v>
      </c>
      <c r="F142" t="s">
        <v>91</v>
      </c>
      <c r="G142" t="s">
        <v>195</v>
      </c>
      <c r="H142" t="s">
        <v>955</v>
      </c>
      <c r="I142" t="s">
        <v>107</v>
      </c>
      <c r="J142" t="s">
        <v>108</v>
      </c>
      <c r="K142" t="s">
        <v>108</v>
      </c>
      <c r="L142" t="s">
        <v>108</v>
      </c>
      <c r="O142" s="35"/>
      <c r="R142" t="str">
        <f t="shared" si="49"/>
        <v>A0140</v>
      </c>
      <c r="S142" t="s">
        <v>641</v>
      </c>
    </row>
    <row r="143" spans="1:19" x14ac:dyDescent="0.3">
      <c r="A143" s="68">
        <f t="shared" si="50"/>
        <v>141</v>
      </c>
      <c r="B143" s="31" t="s">
        <v>1147</v>
      </c>
      <c r="C143" s="230">
        <f t="shared" si="51"/>
        <v>18</v>
      </c>
      <c r="D143" s="230">
        <f t="shared" si="52"/>
        <v>16</v>
      </c>
      <c r="E143" s="230">
        <f t="shared" si="53"/>
        <v>15</v>
      </c>
      <c r="F143" t="s">
        <v>91</v>
      </c>
      <c r="G143" t="s">
        <v>195</v>
      </c>
      <c r="H143" t="s">
        <v>955</v>
      </c>
      <c r="I143" t="s">
        <v>107</v>
      </c>
      <c r="J143" t="s">
        <v>108</v>
      </c>
      <c r="K143" t="s">
        <v>108</v>
      </c>
      <c r="L143" t="s">
        <v>108</v>
      </c>
      <c r="O143" s="35"/>
      <c r="R143" t="str">
        <f t="shared" si="49"/>
        <v>A0141</v>
      </c>
      <c r="S143" t="s">
        <v>642</v>
      </c>
    </row>
    <row r="144" spans="1:19" x14ac:dyDescent="0.3">
      <c r="A144" s="68">
        <f t="shared" si="50"/>
        <v>142</v>
      </c>
      <c r="B144" s="31" t="s">
        <v>1146</v>
      </c>
      <c r="C144" s="230">
        <f t="shared" si="51"/>
        <v>19</v>
      </c>
      <c r="D144" s="230">
        <f t="shared" si="52"/>
        <v>17</v>
      </c>
      <c r="E144" s="230">
        <f t="shared" si="53"/>
        <v>16</v>
      </c>
      <c r="F144" t="s">
        <v>91</v>
      </c>
      <c r="G144" t="s">
        <v>195</v>
      </c>
      <c r="H144" t="s">
        <v>955</v>
      </c>
      <c r="I144" t="s">
        <v>107</v>
      </c>
      <c r="J144" t="s">
        <v>108</v>
      </c>
      <c r="K144" t="s">
        <v>108</v>
      </c>
      <c r="L144" t="s">
        <v>108</v>
      </c>
      <c r="O144" s="35"/>
      <c r="R144" t="str">
        <f t="shared" si="49"/>
        <v>A0142</v>
      </c>
      <c r="S144" t="s">
        <v>643</v>
      </c>
    </row>
    <row r="145" spans="1:19" x14ac:dyDescent="0.3">
      <c r="A145" s="68">
        <f t="shared" si="50"/>
        <v>143</v>
      </c>
      <c r="B145" s="31" t="s">
        <v>1150</v>
      </c>
      <c r="C145" s="230">
        <f t="shared" si="51"/>
        <v>20</v>
      </c>
      <c r="D145" s="230">
        <f t="shared" si="52"/>
        <v>18</v>
      </c>
      <c r="E145" s="230">
        <f t="shared" si="53"/>
        <v>17</v>
      </c>
      <c r="F145" t="s">
        <v>91</v>
      </c>
      <c r="G145" t="s">
        <v>195</v>
      </c>
      <c r="H145" t="s">
        <v>955</v>
      </c>
      <c r="I145" t="s">
        <v>107</v>
      </c>
      <c r="J145" t="s">
        <v>108</v>
      </c>
      <c r="K145" t="s">
        <v>108</v>
      </c>
      <c r="L145" t="s">
        <v>108</v>
      </c>
      <c r="O145" s="35"/>
      <c r="R145" t="str">
        <f t="shared" si="49"/>
        <v>A0143</v>
      </c>
      <c r="S145" t="s">
        <v>644</v>
      </c>
    </row>
    <row r="146" spans="1:19" x14ac:dyDescent="0.3">
      <c r="A146" s="68">
        <f t="shared" si="50"/>
        <v>144</v>
      </c>
      <c r="B146" s="31" t="s">
        <v>1151</v>
      </c>
      <c r="C146" s="230">
        <f t="shared" si="51"/>
        <v>21</v>
      </c>
      <c r="D146" s="230">
        <f t="shared" si="52"/>
        <v>19</v>
      </c>
      <c r="E146" s="230">
        <f t="shared" si="53"/>
        <v>18</v>
      </c>
      <c r="F146" t="s">
        <v>91</v>
      </c>
      <c r="G146" t="s">
        <v>195</v>
      </c>
      <c r="H146" t="s">
        <v>955</v>
      </c>
      <c r="I146" t="s">
        <v>107</v>
      </c>
      <c r="J146" t="s">
        <v>108</v>
      </c>
      <c r="K146" t="s">
        <v>108</v>
      </c>
      <c r="L146" t="s">
        <v>108</v>
      </c>
      <c r="O146" s="35"/>
      <c r="R146" t="str">
        <f t="shared" si="49"/>
        <v>A0144</v>
      </c>
      <c r="S146" t="s">
        <v>645</v>
      </c>
    </row>
    <row r="147" spans="1:19" x14ac:dyDescent="0.3">
      <c r="A147" s="68">
        <f t="shared" si="50"/>
        <v>145</v>
      </c>
      <c r="B147" s="31" t="s">
        <v>1152</v>
      </c>
      <c r="C147" s="230">
        <f t="shared" si="51"/>
        <v>22</v>
      </c>
      <c r="D147" s="230">
        <f t="shared" si="52"/>
        <v>20</v>
      </c>
      <c r="E147" s="230">
        <f t="shared" si="53"/>
        <v>19</v>
      </c>
      <c r="F147" t="s">
        <v>91</v>
      </c>
      <c r="G147" t="s">
        <v>195</v>
      </c>
      <c r="H147" t="s">
        <v>955</v>
      </c>
      <c r="I147" t="s">
        <v>107</v>
      </c>
      <c r="J147" t="s">
        <v>108</v>
      </c>
      <c r="K147" t="s">
        <v>108</v>
      </c>
      <c r="L147" t="s">
        <v>108</v>
      </c>
      <c r="O147" s="35"/>
      <c r="R147" t="str">
        <f t="shared" si="49"/>
        <v>A0145</v>
      </c>
      <c r="S147" t="s">
        <v>646</v>
      </c>
    </row>
    <row r="148" spans="1:19" x14ac:dyDescent="0.3">
      <c r="A148" s="69">
        <f t="shared" si="50"/>
        <v>146</v>
      </c>
      <c r="B148" s="50" t="s">
        <v>233</v>
      </c>
      <c r="C148" s="231">
        <f>+D148+2</f>
        <v>16</v>
      </c>
      <c r="D148" s="231">
        <f>+E148+1</f>
        <v>14</v>
      </c>
      <c r="E148" s="231">
        <f>+E139+2</f>
        <v>13</v>
      </c>
      <c r="F148" t="s">
        <v>91</v>
      </c>
      <c r="G148" t="s">
        <v>195</v>
      </c>
      <c r="H148" t="s">
        <v>955</v>
      </c>
      <c r="I148" t="s">
        <v>107</v>
      </c>
      <c r="J148" t="s">
        <v>108</v>
      </c>
      <c r="K148" t="s">
        <v>108</v>
      </c>
      <c r="L148" t="s">
        <v>108</v>
      </c>
      <c r="M148" s="33" t="s">
        <v>19</v>
      </c>
      <c r="N148" s="33" t="s">
        <v>73</v>
      </c>
      <c r="O148" s="44">
        <f>ROUND(VLOOKUP(N148,[1]INDICE!$A$5:$D$424,4,FALSE),2)</f>
        <v>10.14</v>
      </c>
      <c r="R148" t="str">
        <f t="shared" si="49"/>
        <v>A0146</v>
      </c>
      <c r="S148" t="s">
        <v>647</v>
      </c>
    </row>
    <row r="149" spans="1:19" x14ac:dyDescent="0.3">
      <c r="A149" s="69">
        <f t="shared" si="50"/>
        <v>147</v>
      </c>
      <c r="B149" s="50" t="s">
        <v>234</v>
      </c>
      <c r="C149" s="231">
        <f t="shared" si="51"/>
        <v>17</v>
      </c>
      <c r="D149" s="231">
        <f>+E149+1</f>
        <v>15</v>
      </c>
      <c r="E149" s="231">
        <f>+E148+1</f>
        <v>14</v>
      </c>
      <c r="F149" t="s">
        <v>91</v>
      </c>
      <c r="G149" t="s">
        <v>195</v>
      </c>
      <c r="H149" t="s">
        <v>955</v>
      </c>
      <c r="I149" t="s">
        <v>107</v>
      </c>
      <c r="J149" t="s">
        <v>108</v>
      </c>
      <c r="K149" t="s">
        <v>108</v>
      </c>
      <c r="L149" t="s">
        <v>108</v>
      </c>
      <c r="O149"/>
      <c r="R149" t="str">
        <f t="shared" si="49"/>
        <v>A0147</v>
      </c>
      <c r="S149" t="s">
        <v>648</v>
      </c>
    </row>
    <row r="150" spans="1:19" x14ac:dyDescent="0.3">
      <c r="A150" s="69">
        <f t="shared" si="50"/>
        <v>148</v>
      </c>
      <c r="B150" s="50" t="s">
        <v>235</v>
      </c>
      <c r="C150" s="231">
        <f t="shared" si="51"/>
        <v>18</v>
      </c>
      <c r="D150" s="231">
        <f t="shared" ref="D150:D156" si="54">+E150+1</f>
        <v>16</v>
      </c>
      <c r="E150" s="231">
        <f t="shared" ref="E150:E156" si="55">+E149+1</f>
        <v>15</v>
      </c>
      <c r="F150" t="s">
        <v>91</v>
      </c>
      <c r="G150" t="s">
        <v>195</v>
      </c>
      <c r="H150" t="s">
        <v>955</v>
      </c>
      <c r="I150" t="s">
        <v>107</v>
      </c>
      <c r="J150" t="s">
        <v>108</v>
      </c>
      <c r="K150" t="s">
        <v>108</v>
      </c>
      <c r="L150" t="s">
        <v>108</v>
      </c>
      <c r="O150"/>
      <c r="R150" t="str">
        <f t="shared" si="49"/>
        <v>A0148</v>
      </c>
      <c r="S150" t="s">
        <v>649</v>
      </c>
    </row>
    <row r="151" spans="1:19" x14ac:dyDescent="0.3">
      <c r="A151" s="69">
        <f t="shared" si="50"/>
        <v>149</v>
      </c>
      <c r="B151" s="50" t="s">
        <v>236</v>
      </c>
      <c r="C151" s="231">
        <f t="shared" si="51"/>
        <v>19</v>
      </c>
      <c r="D151" s="231">
        <f t="shared" si="54"/>
        <v>17</v>
      </c>
      <c r="E151" s="231">
        <f t="shared" si="55"/>
        <v>16</v>
      </c>
      <c r="F151" t="s">
        <v>91</v>
      </c>
      <c r="G151" t="s">
        <v>195</v>
      </c>
      <c r="H151" t="s">
        <v>955</v>
      </c>
      <c r="I151" t="s">
        <v>107</v>
      </c>
      <c r="J151" t="s">
        <v>108</v>
      </c>
      <c r="K151" t="s">
        <v>108</v>
      </c>
      <c r="L151" t="s">
        <v>108</v>
      </c>
      <c r="O151"/>
      <c r="R151" t="str">
        <f t="shared" si="49"/>
        <v>A0149</v>
      </c>
      <c r="S151" t="s">
        <v>650</v>
      </c>
    </row>
    <row r="152" spans="1:19" x14ac:dyDescent="0.3">
      <c r="A152" s="69">
        <f t="shared" si="50"/>
        <v>150</v>
      </c>
      <c r="B152" s="50" t="s">
        <v>237</v>
      </c>
      <c r="C152" s="231">
        <f t="shared" si="51"/>
        <v>20</v>
      </c>
      <c r="D152" s="231">
        <f t="shared" si="54"/>
        <v>18</v>
      </c>
      <c r="E152" s="231">
        <f t="shared" si="55"/>
        <v>17</v>
      </c>
      <c r="F152" t="s">
        <v>91</v>
      </c>
      <c r="G152" t="s">
        <v>195</v>
      </c>
      <c r="H152" t="s">
        <v>955</v>
      </c>
      <c r="I152" t="s">
        <v>107</v>
      </c>
      <c r="J152" t="s">
        <v>108</v>
      </c>
      <c r="K152" t="s">
        <v>108</v>
      </c>
      <c r="L152" t="s">
        <v>108</v>
      </c>
      <c r="O152"/>
      <c r="R152" t="str">
        <f t="shared" si="49"/>
        <v>A0150</v>
      </c>
      <c r="S152" t="s">
        <v>651</v>
      </c>
    </row>
    <row r="153" spans="1:19" x14ac:dyDescent="0.3">
      <c r="A153" s="69">
        <f t="shared" si="50"/>
        <v>151</v>
      </c>
      <c r="B153" s="50" t="s">
        <v>238</v>
      </c>
      <c r="C153" s="231">
        <f t="shared" si="51"/>
        <v>21</v>
      </c>
      <c r="D153" s="231">
        <f t="shared" si="54"/>
        <v>19</v>
      </c>
      <c r="E153" s="231">
        <f t="shared" si="55"/>
        <v>18</v>
      </c>
      <c r="F153" t="s">
        <v>91</v>
      </c>
      <c r="G153" t="s">
        <v>195</v>
      </c>
      <c r="H153" t="s">
        <v>955</v>
      </c>
      <c r="I153" t="s">
        <v>107</v>
      </c>
      <c r="J153" t="s">
        <v>108</v>
      </c>
      <c r="K153" t="s">
        <v>108</v>
      </c>
      <c r="L153" t="s">
        <v>108</v>
      </c>
      <c r="O153"/>
      <c r="R153" t="str">
        <f t="shared" si="49"/>
        <v>A0151</v>
      </c>
      <c r="S153" t="s">
        <v>652</v>
      </c>
    </row>
    <row r="154" spans="1:19" x14ac:dyDescent="0.3">
      <c r="A154" s="69">
        <f t="shared" si="50"/>
        <v>152</v>
      </c>
      <c r="B154" s="50" t="s">
        <v>239</v>
      </c>
      <c r="C154" s="231">
        <f t="shared" si="51"/>
        <v>22</v>
      </c>
      <c r="D154" s="231">
        <f t="shared" si="54"/>
        <v>20</v>
      </c>
      <c r="E154" s="231">
        <f t="shared" si="55"/>
        <v>19</v>
      </c>
      <c r="F154" t="s">
        <v>91</v>
      </c>
      <c r="G154" t="s">
        <v>195</v>
      </c>
      <c r="H154" t="s">
        <v>955</v>
      </c>
      <c r="I154" t="s">
        <v>107</v>
      </c>
      <c r="J154" t="s">
        <v>108</v>
      </c>
      <c r="K154" t="s">
        <v>108</v>
      </c>
      <c r="L154" t="s">
        <v>108</v>
      </c>
      <c r="O154"/>
      <c r="R154" t="str">
        <f t="shared" si="49"/>
        <v>A0152</v>
      </c>
      <c r="S154" t="s">
        <v>653</v>
      </c>
    </row>
    <row r="155" spans="1:19" x14ac:dyDescent="0.3">
      <c r="A155" s="69">
        <f t="shared" si="50"/>
        <v>153</v>
      </c>
      <c r="B155" s="50" t="s">
        <v>240</v>
      </c>
      <c r="C155" s="231">
        <f t="shared" si="51"/>
        <v>23</v>
      </c>
      <c r="D155" s="231">
        <f t="shared" si="54"/>
        <v>21</v>
      </c>
      <c r="E155" s="231">
        <f t="shared" si="55"/>
        <v>20</v>
      </c>
      <c r="F155" t="s">
        <v>91</v>
      </c>
      <c r="G155" t="s">
        <v>195</v>
      </c>
      <c r="H155" t="s">
        <v>955</v>
      </c>
      <c r="I155" t="s">
        <v>107</v>
      </c>
      <c r="J155" t="s">
        <v>108</v>
      </c>
      <c r="K155" t="s">
        <v>108</v>
      </c>
      <c r="L155" t="s">
        <v>108</v>
      </c>
      <c r="O155"/>
      <c r="R155" t="str">
        <f t="shared" si="49"/>
        <v>A0153</v>
      </c>
      <c r="S155" t="s">
        <v>654</v>
      </c>
    </row>
    <row r="156" spans="1:19" x14ac:dyDescent="0.3">
      <c r="A156" s="69">
        <f t="shared" si="50"/>
        <v>154</v>
      </c>
      <c r="B156" s="50" t="s">
        <v>241</v>
      </c>
      <c r="C156" s="231">
        <f t="shared" si="51"/>
        <v>24</v>
      </c>
      <c r="D156" s="231">
        <f t="shared" si="54"/>
        <v>22</v>
      </c>
      <c r="E156" s="231">
        <f t="shared" si="55"/>
        <v>21</v>
      </c>
      <c r="F156" t="s">
        <v>91</v>
      </c>
      <c r="G156" t="s">
        <v>195</v>
      </c>
      <c r="H156" t="s">
        <v>955</v>
      </c>
      <c r="I156" t="s">
        <v>107</v>
      </c>
      <c r="J156" t="s">
        <v>108</v>
      </c>
      <c r="K156" t="s">
        <v>108</v>
      </c>
      <c r="L156" t="s">
        <v>108</v>
      </c>
      <c r="O156"/>
      <c r="R156" t="str">
        <f t="shared" si="49"/>
        <v>A0154</v>
      </c>
      <c r="S156" t="s">
        <v>655</v>
      </c>
    </row>
    <row r="157" spans="1:19" x14ac:dyDescent="0.3">
      <c r="A157" s="64">
        <f t="shared" si="50"/>
        <v>155</v>
      </c>
      <c r="B157" s="26" t="s">
        <v>243</v>
      </c>
      <c r="C157" s="226">
        <f>+D157+2</f>
        <v>18</v>
      </c>
      <c r="D157" s="226">
        <f>+E157+1</f>
        <v>16</v>
      </c>
      <c r="E157" s="226">
        <f>+E148+2</f>
        <v>15</v>
      </c>
      <c r="F157" t="s">
        <v>78</v>
      </c>
      <c r="G157" t="s">
        <v>195</v>
      </c>
      <c r="H157" t="s">
        <v>955</v>
      </c>
      <c r="I157" t="s">
        <v>107</v>
      </c>
      <c r="J157" t="s">
        <v>108</v>
      </c>
      <c r="K157" t="s">
        <v>108</v>
      </c>
      <c r="L157" t="s">
        <v>108</v>
      </c>
      <c r="M157" s="33" t="s">
        <v>19</v>
      </c>
      <c r="N157" s="33" t="s">
        <v>73</v>
      </c>
      <c r="O157" s="44">
        <f>ROUND(VLOOKUP(N157,[1]INDICE!$A$5:$D$424,4,FALSE),2)</f>
        <v>10.14</v>
      </c>
      <c r="R157" t="str">
        <f t="shared" si="49"/>
        <v>A0155</v>
      </c>
      <c r="S157" t="s">
        <v>656</v>
      </c>
    </row>
    <row r="158" spans="1:19" x14ac:dyDescent="0.3">
      <c r="A158" s="64">
        <f t="shared" si="50"/>
        <v>156</v>
      </c>
      <c r="B158" s="26" t="s">
        <v>244</v>
      </c>
      <c r="C158" s="226">
        <f t="shared" si="51"/>
        <v>19</v>
      </c>
      <c r="D158" s="226">
        <f>+E158+1</f>
        <v>17</v>
      </c>
      <c r="E158" s="226">
        <f>+E157+1</f>
        <v>16</v>
      </c>
      <c r="F158" t="s">
        <v>78</v>
      </c>
      <c r="G158" t="s">
        <v>195</v>
      </c>
      <c r="H158" t="s">
        <v>955</v>
      </c>
      <c r="I158" t="s">
        <v>107</v>
      </c>
      <c r="J158" t="s">
        <v>108</v>
      </c>
      <c r="K158" t="s">
        <v>108</v>
      </c>
      <c r="L158" t="s">
        <v>108</v>
      </c>
      <c r="O158"/>
      <c r="R158" t="str">
        <f t="shared" si="49"/>
        <v>A0156</v>
      </c>
      <c r="S158" t="s">
        <v>657</v>
      </c>
    </row>
    <row r="159" spans="1:19" x14ac:dyDescent="0.3">
      <c r="A159" s="64">
        <f t="shared" si="50"/>
        <v>157</v>
      </c>
      <c r="B159" s="26" t="s">
        <v>245</v>
      </c>
      <c r="C159" s="226">
        <f t="shared" si="51"/>
        <v>20</v>
      </c>
      <c r="D159" s="226">
        <f t="shared" ref="D159:D165" si="56">+E159+1</f>
        <v>18</v>
      </c>
      <c r="E159" s="226">
        <f t="shared" ref="E159:E165" si="57">+E158+1</f>
        <v>17</v>
      </c>
      <c r="F159" t="s">
        <v>78</v>
      </c>
      <c r="G159" t="s">
        <v>195</v>
      </c>
      <c r="H159" t="s">
        <v>955</v>
      </c>
      <c r="I159" t="s">
        <v>107</v>
      </c>
      <c r="J159" t="s">
        <v>108</v>
      </c>
      <c r="K159" t="s">
        <v>108</v>
      </c>
      <c r="L159" t="s">
        <v>108</v>
      </c>
      <c r="O159"/>
      <c r="R159" t="str">
        <f t="shared" si="49"/>
        <v>A0157</v>
      </c>
      <c r="S159" t="s">
        <v>658</v>
      </c>
    </row>
    <row r="160" spans="1:19" x14ac:dyDescent="0.3">
      <c r="A160" s="64">
        <f t="shared" si="50"/>
        <v>158</v>
      </c>
      <c r="B160" s="26" t="s">
        <v>246</v>
      </c>
      <c r="C160" s="226">
        <f t="shared" si="51"/>
        <v>21</v>
      </c>
      <c r="D160" s="226">
        <f t="shared" si="56"/>
        <v>19</v>
      </c>
      <c r="E160" s="226">
        <f t="shared" si="57"/>
        <v>18</v>
      </c>
      <c r="F160" t="s">
        <v>78</v>
      </c>
      <c r="G160" t="s">
        <v>195</v>
      </c>
      <c r="H160" t="s">
        <v>955</v>
      </c>
      <c r="I160" t="s">
        <v>107</v>
      </c>
      <c r="J160" t="s">
        <v>108</v>
      </c>
      <c r="K160" t="s">
        <v>108</v>
      </c>
      <c r="L160" t="s">
        <v>108</v>
      </c>
      <c r="O160"/>
      <c r="R160" t="str">
        <f t="shared" si="49"/>
        <v>A0158</v>
      </c>
      <c r="S160" t="s">
        <v>659</v>
      </c>
    </row>
    <row r="161" spans="1:19" x14ac:dyDescent="0.3">
      <c r="A161" s="64">
        <f t="shared" si="50"/>
        <v>159</v>
      </c>
      <c r="B161" s="26" t="s">
        <v>247</v>
      </c>
      <c r="C161" s="226">
        <f t="shared" si="51"/>
        <v>22</v>
      </c>
      <c r="D161" s="226">
        <f t="shared" si="56"/>
        <v>20</v>
      </c>
      <c r="E161" s="226">
        <f t="shared" si="57"/>
        <v>19</v>
      </c>
      <c r="F161" t="s">
        <v>78</v>
      </c>
      <c r="G161" t="s">
        <v>195</v>
      </c>
      <c r="H161" t="s">
        <v>955</v>
      </c>
      <c r="I161" t="s">
        <v>107</v>
      </c>
      <c r="J161" t="s">
        <v>108</v>
      </c>
      <c r="K161" t="s">
        <v>108</v>
      </c>
      <c r="L161" t="s">
        <v>108</v>
      </c>
      <c r="O161"/>
      <c r="R161" t="str">
        <f t="shared" si="49"/>
        <v>A0159</v>
      </c>
      <c r="S161" t="s">
        <v>660</v>
      </c>
    </row>
    <row r="162" spans="1:19" x14ac:dyDescent="0.3">
      <c r="A162" s="64">
        <f t="shared" si="50"/>
        <v>160</v>
      </c>
      <c r="B162" s="26" t="s">
        <v>248</v>
      </c>
      <c r="C162" s="226">
        <f t="shared" si="51"/>
        <v>23</v>
      </c>
      <c r="D162" s="226">
        <f t="shared" si="56"/>
        <v>21</v>
      </c>
      <c r="E162" s="226">
        <f t="shared" si="57"/>
        <v>20</v>
      </c>
      <c r="F162" t="s">
        <v>78</v>
      </c>
      <c r="G162" t="s">
        <v>195</v>
      </c>
      <c r="H162" t="s">
        <v>955</v>
      </c>
      <c r="I162" t="s">
        <v>107</v>
      </c>
      <c r="J162" t="s">
        <v>108</v>
      </c>
      <c r="K162" t="s">
        <v>108</v>
      </c>
      <c r="L162" t="s">
        <v>108</v>
      </c>
      <c r="O162"/>
      <c r="R162" t="str">
        <f t="shared" si="49"/>
        <v>A0160</v>
      </c>
      <c r="S162" t="s">
        <v>661</v>
      </c>
    </row>
    <row r="163" spans="1:19" x14ac:dyDescent="0.3">
      <c r="A163" s="64">
        <f t="shared" si="50"/>
        <v>161</v>
      </c>
      <c r="B163" s="26" t="s">
        <v>249</v>
      </c>
      <c r="C163" s="226">
        <f t="shared" si="51"/>
        <v>24</v>
      </c>
      <c r="D163" s="226">
        <f t="shared" si="56"/>
        <v>22</v>
      </c>
      <c r="E163" s="226">
        <f t="shared" si="57"/>
        <v>21</v>
      </c>
      <c r="F163" t="s">
        <v>78</v>
      </c>
      <c r="G163" t="s">
        <v>195</v>
      </c>
      <c r="H163" t="s">
        <v>955</v>
      </c>
      <c r="I163" t="s">
        <v>107</v>
      </c>
      <c r="J163" t="s">
        <v>108</v>
      </c>
      <c r="K163" t="s">
        <v>108</v>
      </c>
      <c r="L163" t="s">
        <v>108</v>
      </c>
      <c r="O163"/>
      <c r="R163" t="str">
        <f t="shared" si="49"/>
        <v>A0161</v>
      </c>
      <c r="S163" t="s">
        <v>662</v>
      </c>
    </row>
    <row r="164" spans="1:19" x14ac:dyDescent="0.3">
      <c r="A164" s="64">
        <f t="shared" si="50"/>
        <v>162</v>
      </c>
      <c r="B164" s="26" t="s">
        <v>250</v>
      </c>
      <c r="C164" s="226">
        <f t="shared" si="51"/>
        <v>25</v>
      </c>
      <c r="D164" s="226">
        <f t="shared" si="56"/>
        <v>23</v>
      </c>
      <c r="E164" s="226">
        <f t="shared" si="57"/>
        <v>22</v>
      </c>
      <c r="F164" t="s">
        <v>78</v>
      </c>
      <c r="G164" t="s">
        <v>195</v>
      </c>
      <c r="H164" t="s">
        <v>955</v>
      </c>
      <c r="I164" t="s">
        <v>107</v>
      </c>
      <c r="J164" t="s">
        <v>108</v>
      </c>
      <c r="K164" t="s">
        <v>108</v>
      </c>
      <c r="L164" t="s">
        <v>108</v>
      </c>
      <c r="O164"/>
      <c r="R164" t="str">
        <f t="shared" si="49"/>
        <v>A0162</v>
      </c>
      <c r="S164" t="s">
        <v>663</v>
      </c>
    </row>
    <row r="165" spans="1:19" x14ac:dyDescent="0.3">
      <c r="A165" s="64">
        <f t="shared" si="50"/>
        <v>163</v>
      </c>
      <c r="B165" s="26" t="s">
        <v>251</v>
      </c>
      <c r="C165" s="226">
        <f t="shared" si="51"/>
        <v>26</v>
      </c>
      <c r="D165" s="226">
        <f t="shared" si="56"/>
        <v>24</v>
      </c>
      <c r="E165" s="226">
        <f t="shared" si="57"/>
        <v>23</v>
      </c>
      <c r="F165" t="s">
        <v>78</v>
      </c>
      <c r="G165" t="s">
        <v>195</v>
      </c>
      <c r="H165" t="s">
        <v>955</v>
      </c>
      <c r="I165" t="s">
        <v>107</v>
      </c>
      <c r="J165" t="s">
        <v>108</v>
      </c>
      <c r="K165" t="s">
        <v>108</v>
      </c>
      <c r="L165" t="s">
        <v>108</v>
      </c>
      <c r="O165"/>
      <c r="R165" t="str">
        <f t="shared" si="49"/>
        <v>A0163</v>
      </c>
      <c r="S165" t="s">
        <v>664</v>
      </c>
    </row>
    <row r="166" spans="1:19" x14ac:dyDescent="0.3">
      <c r="A166" s="84">
        <f t="shared" si="50"/>
        <v>164</v>
      </c>
      <c r="B166" s="56" t="s">
        <v>38</v>
      </c>
      <c r="C166" s="232">
        <f t="shared" si="51"/>
        <v>8</v>
      </c>
      <c r="D166" s="232">
        <f>+E166+1</f>
        <v>6</v>
      </c>
      <c r="E166" s="232">
        <v>5</v>
      </c>
      <c r="F166" t="s">
        <v>80</v>
      </c>
      <c r="G166" t="s">
        <v>118</v>
      </c>
      <c r="H166" t="s">
        <v>113</v>
      </c>
      <c r="I166" t="s">
        <v>108</v>
      </c>
      <c r="J166" t="s">
        <v>107</v>
      </c>
      <c r="K166" t="s">
        <v>108</v>
      </c>
      <c r="L166" t="s">
        <v>108</v>
      </c>
      <c r="M166" s="33" t="s">
        <v>19</v>
      </c>
      <c r="N166" s="33" t="s">
        <v>47</v>
      </c>
      <c r="O166" s="44">
        <f>ROUND(VLOOKUP(N166,[1]INDICE!$A$5:$D$424,4,FALSE),2)</f>
        <v>3.91</v>
      </c>
      <c r="R166" t="str">
        <f t="shared" si="49"/>
        <v>A0164</v>
      </c>
      <c r="S166" t="s">
        <v>665</v>
      </c>
    </row>
    <row r="167" spans="1:19" s="187" customFormat="1" x14ac:dyDescent="0.3">
      <c r="A167" s="57">
        <f t="shared" si="50"/>
        <v>165</v>
      </c>
      <c r="B167" s="4" t="s">
        <v>284</v>
      </c>
      <c r="C167" s="133">
        <f>+D167+0.5</f>
        <v>3</v>
      </c>
      <c r="D167" s="133">
        <f>+E167+0.6</f>
        <v>2.5</v>
      </c>
      <c r="E167" s="133">
        <v>1.9</v>
      </c>
      <c r="F167" t="s">
        <v>76</v>
      </c>
      <c r="G167" t="s">
        <v>128</v>
      </c>
      <c r="H167" t="s">
        <v>955</v>
      </c>
      <c r="I167" t="s">
        <v>108</v>
      </c>
      <c r="J167" t="s">
        <v>107</v>
      </c>
      <c r="K167" t="s">
        <v>108</v>
      </c>
      <c r="L167" t="s">
        <v>108</v>
      </c>
      <c r="M167" s="173"/>
      <c r="N167" s="173"/>
      <c r="O167" s="43"/>
      <c r="R167" t="str">
        <f t="shared" si="49"/>
        <v>A0165</v>
      </c>
      <c r="S167" s="187" t="s">
        <v>666</v>
      </c>
    </row>
    <row r="168" spans="1:19" x14ac:dyDescent="0.3">
      <c r="A168" s="70">
        <f t="shared" si="50"/>
        <v>166</v>
      </c>
      <c r="B168" s="38" t="s">
        <v>392</v>
      </c>
      <c r="C168" s="266">
        <f t="shared" ref="C168:E169" si="58">+C424+2</f>
        <v>18</v>
      </c>
      <c r="D168" s="266">
        <f t="shared" si="58"/>
        <v>15</v>
      </c>
      <c r="E168" s="266">
        <f t="shared" si="58"/>
        <v>14</v>
      </c>
      <c r="F168" t="s">
        <v>75</v>
      </c>
      <c r="G168" t="s">
        <v>92</v>
      </c>
      <c r="H168" t="s">
        <v>115</v>
      </c>
      <c r="I168" t="s">
        <v>107</v>
      </c>
      <c r="J168" t="s">
        <v>108</v>
      </c>
      <c r="K168" t="s">
        <v>108</v>
      </c>
      <c r="L168" t="s">
        <v>108</v>
      </c>
      <c r="O168" s="33"/>
      <c r="R168" t="str">
        <f t="shared" si="49"/>
        <v>A0166</v>
      </c>
      <c r="S168" t="s">
        <v>667</v>
      </c>
    </row>
    <row r="169" spans="1:19" x14ac:dyDescent="0.3">
      <c r="A169" s="60">
        <f t="shared" si="50"/>
        <v>167</v>
      </c>
      <c r="B169" s="175" t="s">
        <v>379</v>
      </c>
      <c r="C169" s="130">
        <f t="shared" si="58"/>
        <v>25.5</v>
      </c>
      <c r="D169" s="130">
        <f t="shared" si="58"/>
        <v>18</v>
      </c>
      <c r="E169" s="130">
        <f t="shared" si="58"/>
        <v>17</v>
      </c>
      <c r="F169" t="s">
        <v>75</v>
      </c>
      <c r="G169" t="s">
        <v>398</v>
      </c>
      <c r="H169" t="s">
        <v>115</v>
      </c>
      <c r="I169" t="s">
        <v>107</v>
      </c>
      <c r="J169" t="s">
        <v>108</v>
      </c>
      <c r="K169" t="s">
        <v>108</v>
      </c>
      <c r="L169" t="s">
        <v>108</v>
      </c>
      <c r="O169"/>
      <c r="R169" t="str">
        <f t="shared" si="49"/>
        <v>A0167</v>
      </c>
      <c r="S169" t="s">
        <v>668</v>
      </c>
    </row>
    <row r="170" spans="1:19" x14ac:dyDescent="0.3">
      <c r="A170" s="57">
        <f t="shared" si="50"/>
        <v>168</v>
      </c>
      <c r="B170" s="4" t="s">
        <v>4</v>
      </c>
      <c r="C170" s="133">
        <v>10</v>
      </c>
      <c r="D170" s="133">
        <v>9</v>
      </c>
      <c r="E170" s="133">
        <v>8</v>
      </c>
      <c r="F170" t="s">
        <v>81</v>
      </c>
      <c r="G170" t="s">
        <v>81</v>
      </c>
      <c r="O170"/>
      <c r="R170" t="str">
        <f t="shared" si="49"/>
        <v>A0168</v>
      </c>
      <c r="S170" t="s">
        <v>669</v>
      </c>
    </row>
    <row r="171" spans="1:19" x14ac:dyDescent="0.3">
      <c r="A171" s="71">
        <f t="shared" si="50"/>
        <v>169</v>
      </c>
      <c r="B171" s="40" t="s">
        <v>414</v>
      </c>
      <c r="C171" s="233">
        <f>+D171+2</f>
        <v>22</v>
      </c>
      <c r="D171" s="233">
        <f>+E171+1</f>
        <v>20</v>
      </c>
      <c r="E171" s="233">
        <f>+E206-1</f>
        <v>19</v>
      </c>
      <c r="F171" t="s">
        <v>75</v>
      </c>
      <c r="G171" t="s">
        <v>112</v>
      </c>
      <c r="H171" t="s">
        <v>115</v>
      </c>
      <c r="I171" t="s">
        <v>107</v>
      </c>
      <c r="J171" t="s">
        <v>108</v>
      </c>
      <c r="K171" t="s">
        <v>108</v>
      </c>
      <c r="L171" t="s">
        <v>108</v>
      </c>
      <c r="O171"/>
      <c r="R171" t="str">
        <f t="shared" si="49"/>
        <v>A0169</v>
      </c>
      <c r="S171" t="s">
        <v>670</v>
      </c>
    </row>
    <row r="172" spans="1:19" x14ac:dyDescent="0.3">
      <c r="A172" s="63">
        <f t="shared" si="50"/>
        <v>170</v>
      </c>
      <c r="B172" s="19" t="s">
        <v>1134</v>
      </c>
      <c r="C172" s="225"/>
      <c r="D172" s="225"/>
      <c r="E172" s="225"/>
      <c r="F172" t="s">
        <v>75</v>
      </c>
      <c r="G172" t="s">
        <v>92</v>
      </c>
      <c r="H172" t="s">
        <v>113</v>
      </c>
      <c r="I172" t="s">
        <v>107</v>
      </c>
      <c r="J172" t="s">
        <v>108</v>
      </c>
      <c r="K172" t="s">
        <v>108</v>
      </c>
      <c r="L172" t="s">
        <v>108</v>
      </c>
      <c r="O172"/>
      <c r="R172" t="str">
        <f t="shared" si="49"/>
        <v>A0170</v>
      </c>
      <c r="S172" t="s">
        <v>671</v>
      </c>
    </row>
    <row r="173" spans="1:19" x14ac:dyDescent="0.3">
      <c r="A173" s="63">
        <f t="shared" si="50"/>
        <v>171</v>
      </c>
      <c r="B173" s="19" t="s">
        <v>1135</v>
      </c>
      <c r="C173" s="225"/>
      <c r="D173" s="225"/>
      <c r="E173" s="225"/>
      <c r="F173" t="s">
        <v>75</v>
      </c>
      <c r="G173" t="s">
        <v>92</v>
      </c>
      <c r="H173" t="s">
        <v>113</v>
      </c>
      <c r="I173" t="s">
        <v>107</v>
      </c>
      <c r="J173" t="s">
        <v>108</v>
      </c>
      <c r="K173" t="s">
        <v>108</v>
      </c>
      <c r="L173" t="s">
        <v>108</v>
      </c>
      <c r="O173"/>
      <c r="R173" t="str">
        <f t="shared" si="49"/>
        <v>A0171</v>
      </c>
      <c r="S173" t="s">
        <v>672</v>
      </c>
    </row>
    <row r="174" spans="1:19" x14ac:dyDescent="0.3">
      <c r="A174" s="63">
        <f t="shared" si="50"/>
        <v>172</v>
      </c>
      <c r="B174" s="18" t="s">
        <v>1136</v>
      </c>
      <c r="C174" s="225"/>
      <c r="D174" s="225"/>
      <c r="E174" s="225"/>
      <c r="F174" t="s">
        <v>75</v>
      </c>
      <c r="G174" t="s">
        <v>92</v>
      </c>
      <c r="H174" t="s">
        <v>113</v>
      </c>
      <c r="I174" t="s">
        <v>107</v>
      </c>
      <c r="J174" t="s">
        <v>108</v>
      </c>
      <c r="K174" t="s">
        <v>108</v>
      </c>
      <c r="L174" t="s">
        <v>108</v>
      </c>
      <c r="O174"/>
      <c r="R174" t="str">
        <f t="shared" si="49"/>
        <v>A0172</v>
      </c>
      <c r="S174" t="s">
        <v>673</v>
      </c>
    </row>
    <row r="175" spans="1:19" x14ac:dyDescent="0.3">
      <c r="A175" s="71">
        <f t="shared" si="50"/>
        <v>173</v>
      </c>
      <c r="B175" s="40" t="s">
        <v>1137</v>
      </c>
      <c r="C175" s="233"/>
      <c r="D175" s="233"/>
      <c r="E175" s="233"/>
      <c r="F175" t="s">
        <v>75</v>
      </c>
      <c r="G175" t="s">
        <v>398</v>
      </c>
      <c r="H175" t="s">
        <v>113</v>
      </c>
      <c r="I175" t="s">
        <v>107</v>
      </c>
      <c r="J175" t="s">
        <v>108</v>
      </c>
      <c r="K175" t="s">
        <v>108</v>
      </c>
      <c r="L175" t="s">
        <v>108</v>
      </c>
      <c r="O175"/>
      <c r="R175" t="str">
        <f t="shared" si="49"/>
        <v>A0173</v>
      </c>
      <c r="S175" t="s">
        <v>674</v>
      </c>
    </row>
    <row r="176" spans="1:19" x14ac:dyDescent="0.3">
      <c r="A176" s="71">
        <f t="shared" si="50"/>
        <v>174</v>
      </c>
      <c r="B176" s="40" t="s">
        <v>1138</v>
      </c>
      <c r="C176" s="233"/>
      <c r="D176" s="233"/>
      <c r="E176" s="233"/>
      <c r="F176" t="s">
        <v>75</v>
      </c>
      <c r="G176" t="s">
        <v>398</v>
      </c>
      <c r="H176" t="s">
        <v>113</v>
      </c>
      <c r="I176" t="s">
        <v>107</v>
      </c>
      <c r="J176" t="s">
        <v>108</v>
      </c>
      <c r="K176" t="s">
        <v>108</v>
      </c>
      <c r="L176" t="s">
        <v>108</v>
      </c>
      <c r="O176"/>
      <c r="R176" t="str">
        <f t="shared" si="49"/>
        <v>A0174</v>
      </c>
      <c r="S176" t="s">
        <v>675</v>
      </c>
    </row>
    <row r="177" spans="1:19" x14ac:dyDescent="0.3">
      <c r="A177" s="71">
        <f t="shared" si="50"/>
        <v>175</v>
      </c>
      <c r="B177" s="40" t="s">
        <v>1139</v>
      </c>
      <c r="C177" s="233"/>
      <c r="D177" s="233"/>
      <c r="E177" s="233"/>
      <c r="F177" t="s">
        <v>75</v>
      </c>
      <c r="G177" t="s">
        <v>398</v>
      </c>
      <c r="H177" t="s">
        <v>113</v>
      </c>
      <c r="I177" t="s">
        <v>107</v>
      </c>
      <c r="J177" t="s">
        <v>108</v>
      </c>
      <c r="K177" t="s">
        <v>108</v>
      </c>
      <c r="L177" t="s">
        <v>108</v>
      </c>
      <c r="O177"/>
      <c r="R177" t="str">
        <f t="shared" si="49"/>
        <v>A0175</v>
      </c>
      <c r="S177" t="s">
        <v>676</v>
      </c>
    </row>
    <row r="178" spans="1:19" x14ac:dyDescent="0.3">
      <c r="A178" s="72">
        <f t="shared" si="50"/>
        <v>176</v>
      </c>
      <c r="B178" s="45" t="s">
        <v>156</v>
      </c>
      <c r="C178" s="234">
        <v>0</v>
      </c>
      <c r="D178" s="234">
        <f>+E178+1</f>
        <v>6</v>
      </c>
      <c r="E178" s="234">
        <v>5</v>
      </c>
      <c r="F178" t="s">
        <v>76</v>
      </c>
      <c r="G178" t="s">
        <v>128</v>
      </c>
      <c r="H178" t="s">
        <v>955</v>
      </c>
      <c r="I178" t="s">
        <v>108</v>
      </c>
      <c r="J178" t="s">
        <v>107</v>
      </c>
      <c r="K178" t="s">
        <v>108</v>
      </c>
      <c r="L178" t="s">
        <v>108</v>
      </c>
      <c r="M178" s="33" t="s">
        <v>19</v>
      </c>
      <c r="N178" s="33" t="s">
        <v>47</v>
      </c>
      <c r="O178" s="44">
        <f>ROUND(VLOOKUP(N178,[1]INDICE!$A$5:$D$424,4,FALSE),2)</f>
        <v>3.91</v>
      </c>
      <c r="R178" t="str">
        <f t="shared" si="49"/>
        <v>A0176</v>
      </c>
      <c r="S178" t="s">
        <v>677</v>
      </c>
    </row>
    <row r="179" spans="1:19" x14ac:dyDescent="0.3">
      <c r="A179" s="73">
        <f t="shared" si="50"/>
        <v>177</v>
      </c>
      <c r="B179" s="11" t="s">
        <v>5</v>
      </c>
      <c r="C179" s="235">
        <f>+D179+2</f>
        <v>7</v>
      </c>
      <c r="D179" s="235">
        <f>+E179+2</f>
        <v>5</v>
      </c>
      <c r="E179" s="235">
        <v>3</v>
      </c>
      <c r="F179" t="s">
        <v>82</v>
      </c>
      <c r="G179" t="s">
        <v>82</v>
      </c>
      <c r="I179" t="s">
        <v>107</v>
      </c>
      <c r="J179" t="s">
        <v>108</v>
      </c>
      <c r="K179" t="s">
        <v>108</v>
      </c>
      <c r="L179" t="s">
        <v>108</v>
      </c>
      <c r="O179"/>
      <c r="R179" t="str">
        <f t="shared" si="49"/>
        <v>A0177</v>
      </c>
      <c r="S179" t="s">
        <v>678</v>
      </c>
    </row>
    <row r="180" spans="1:19" x14ac:dyDescent="0.3">
      <c r="A180" s="74">
        <f t="shared" si="50"/>
        <v>178</v>
      </c>
      <c r="B180" s="5" t="s">
        <v>1033</v>
      </c>
      <c r="C180" s="217">
        <f>+D180+3</f>
        <v>28</v>
      </c>
      <c r="D180" s="217">
        <f>+E180+1</f>
        <v>25</v>
      </c>
      <c r="E180" s="217">
        <v>24</v>
      </c>
      <c r="F180" t="s">
        <v>80</v>
      </c>
      <c r="G180" t="s">
        <v>119</v>
      </c>
      <c r="H180" t="s">
        <v>955</v>
      </c>
      <c r="I180" t="s">
        <v>107</v>
      </c>
      <c r="J180" t="s">
        <v>108</v>
      </c>
      <c r="K180" t="s">
        <v>108</v>
      </c>
      <c r="L180" t="s">
        <v>108</v>
      </c>
      <c r="M180" s="33" t="s">
        <v>19</v>
      </c>
      <c r="N180" s="33" t="s">
        <v>986</v>
      </c>
      <c r="O180" s="44">
        <f>ROUND(VLOOKUP(N180,[1]INDICE!$A$5:$D$424,4,FALSE),2)</f>
        <v>22.21</v>
      </c>
      <c r="R180" t="str">
        <f t="shared" si="49"/>
        <v>A0178</v>
      </c>
      <c r="S180" t="s">
        <v>679</v>
      </c>
    </row>
    <row r="181" spans="1:19" x14ac:dyDescent="0.3">
      <c r="A181" s="75">
        <f t="shared" si="50"/>
        <v>179</v>
      </c>
      <c r="B181" s="12" t="s">
        <v>6</v>
      </c>
      <c r="C181" s="236">
        <v>115</v>
      </c>
      <c r="D181" s="236">
        <v>115</v>
      </c>
      <c r="E181" s="236">
        <v>115</v>
      </c>
      <c r="F181" t="s">
        <v>79</v>
      </c>
      <c r="G181" t="s">
        <v>79</v>
      </c>
      <c r="O181" s="33"/>
      <c r="R181" t="str">
        <f t="shared" si="49"/>
        <v>A0179</v>
      </c>
      <c r="S181" t="s">
        <v>680</v>
      </c>
    </row>
    <row r="182" spans="1:19" x14ac:dyDescent="0.3">
      <c r="A182" s="76">
        <f t="shared" si="50"/>
        <v>180</v>
      </c>
      <c r="B182" s="47" t="s">
        <v>196</v>
      </c>
      <c r="C182" s="237">
        <f>+D182+2</f>
        <v>11</v>
      </c>
      <c r="D182" s="237">
        <f>+E182+1</f>
        <v>9</v>
      </c>
      <c r="E182" s="237">
        <f>+E298-1</f>
        <v>8</v>
      </c>
      <c r="F182" t="s">
        <v>91</v>
      </c>
      <c r="G182" t="s">
        <v>195</v>
      </c>
      <c r="H182" t="s">
        <v>113</v>
      </c>
      <c r="I182" t="s">
        <v>107</v>
      </c>
      <c r="J182" t="s">
        <v>108</v>
      </c>
      <c r="K182" t="s">
        <v>108</v>
      </c>
      <c r="L182" t="s">
        <v>108</v>
      </c>
      <c r="M182" s="33" t="s">
        <v>19</v>
      </c>
      <c r="N182" s="33" t="s">
        <v>57</v>
      </c>
      <c r="O182" s="44">
        <f>ROUND(VLOOKUP(N182,[1]INDICE!$A$5:$D$424,4,FALSE),2)</f>
        <v>7.6</v>
      </c>
      <c r="R182" t="str">
        <f t="shared" si="49"/>
        <v>A0180</v>
      </c>
      <c r="S182" t="s">
        <v>681</v>
      </c>
    </row>
    <row r="183" spans="1:19" x14ac:dyDescent="0.3">
      <c r="A183" s="68">
        <f t="shared" si="50"/>
        <v>181</v>
      </c>
      <c r="B183" s="30" t="s">
        <v>7</v>
      </c>
      <c r="C183" s="230">
        <v>29</v>
      </c>
      <c r="D183" s="230">
        <v>28</v>
      </c>
      <c r="E183" s="230">
        <v>27</v>
      </c>
      <c r="F183" t="s">
        <v>75</v>
      </c>
      <c r="G183" t="s">
        <v>93</v>
      </c>
      <c r="H183" t="s">
        <v>955</v>
      </c>
      <c r="I183" t="s">
        <v>107</v>
      </c>
      <c r="J183" t="s">
        <v>108</v>
      </c>
      <c r="K183" t="s">
        <v>108</v>
      </c>
      <c r="L183" t="s">
        <v>108</v>
      </c>
      <c r="M183" s="33" t="s">
        <v>19</v>
      </c>
      <c r="N183" s="33" t="s">
        <v>45</v>
      </c>
      <c r="O183" s="44">
        <f>ROUND(VLOOKUP(N183,[1]INDICE!$A$5:$D$424,4,FALSE),2)</f>
        <v>15.65</v>
      </c>
      <c r="R183" t="str">
        <f t="shared" si="49"/>
        <v>A0181</v>
      </c>
      <c r="S183" t="s">
        <v>682</v>
      </c>
    </row>
    <row r="184" spans="1:19" x14ac:dyDescent="0.3">
      <c r="A184" s="57">
        <f t="shared" si="50"/>
        <v>182</v>
      </c>
      <c r="B184" s="3" t="s">
        <v>8</v>
      </c>
      <c r="C184" s="133">
        <v>30</v>
      </c>
      <c r="D184" s="133">
        <v>29</v>
      </c>
      <c r="E184" s="133">
        <v>28</v>
      </c>
      <c r="F184" t="s">
        <v>75</v>
      </c>
      <c r="G184" t="s">
        <v>93</v>
      </c>
      <c r="H184" t="s">
        <v>955</v>
      </c>
      <c r="I184" t="s">
        <v>107</v>
      </c>
      <c r="J184" t="s">
        <v>108</v>
      </c>
      <c r="K184" t="s">
        <v>108</v>
      </c>
      <c r="L184" t="s">
        <v>108</v>
      </c>
      <c r="O184"/>
      <c r="R184" t="str">
        <f t="shared" si="49"/>
        <v>A0182</v>
      </c>
      <c r="S184" t="s">
        <v>683</v>
      </c>
    </row>
    <row r="185" spans="1:19" x14ac:dyDescent="0.3">
      <c r="A185" s="57">
        <f t="shared" si="50"/>
        <v>183</v>
      </c>
      <c r="B185" s="3" t="s">
        <v>9</v>
      </c>
      <c r="C185" s="133">
        <v>31</v>
      </c>
      <c r="D185" s="133">
        <v>30</v>
      </c>
      <c r="E185" s="133">
        <v>29</v>
      </c>
      <c r="F185" t="s">
        <v>75</v>
      </c>
      <c r="G185" t="s">
        <v>93</v>
      </c>
      <c r="H185" t="s">
        <v>955</v>
      </c>
      <c r="I185" t="s">
        <v>107</v>
      </c>
      <c r="J185" t="s">
        <v>108</v>
      </c>
      <c r="K185" t="s">
        <v>108</v>
      </c>
      <c r="L185" t="s">
        <v>108</v>
      </c>
      <c r="O185"/>
      <c r="R185" t="str">
        <f t="shared" si="49"/>
        <v>A0183</v>
      </c>
      <c r="S185" t="s">
        <v>684</v>
      </c>
    </row>
    <row r="186" spans="1:19" x14ac:dyDescent="0.3">
      <c r="A186" s="57">
        <f t="shared" si="50"/>
        <v>184</v>
      </c>
      <c r="B186" s="3" t="s">
        <v>10</v>
      </c>
      <c r="C186" s="133">
        <v>32</v>
      </c>
      <c r="D186" s="133">
        <v>31</v>
      </c>
      <c r="E186" s="133">
        <v>30</v>
      </c>
      <c r="F186" t="s">
        <v>75</v>
      </c>
      <c r="G186" t="s">
        <v>93</v>
      </c>
      <c r="H186" t="s">
        <v>955</v>
      </c>
      <c r="I186" t="s">
        <v>107</v>
      </c>
      <c r="J186" t="s">
        <v>108</v>
      </c>
      <c r="K186" t="s">
        <v>108</v>
      </c>
      <c r="L186" t="s">
        <v>108</v>
      </c>
      <c r="O186"/>
      <c r="R186" t="str">
        <f t="shared" si="49"/>
        <v>A0184</v>
      </c>
      <c r="S186" t="s">
        <v>685</v>
      </c>
    </row>
    <row r="187" spans="1:19" x14ac:dyDescent="0.3">
      <c r="A187" s="77">
        <f t="shared" si="50"/>
        <v>185</v>
      </c>
      <c r="B187" s="13" t="s">
        <v>11</v>
      </c>
      <c r="C187" s="238">
        <v>34</v>
      </c>
      <c r="D187" s="238">
        <v>33</v>
      </c>
      <c r="E187" s="238">
        <v>32</v>
      </c>
      <c r="F187" t="s">
        <v>75</v>
      </c>
      <c r="G187" t="s">
        <v>93</v>
      </c>
      <c r="H187" t="s">
        <v>955</v>
      </c>
      <c r="I187" t="s">
        <v>107</v>
      </c>
      <c r="J187" t="s">
        <v>108</v>
      </c>
      <c r="K187" t="s">
        <v>108</v>
      </c>
      <c r="L187" t="s">
        <v>108</v>
      </c>
      <c r="O187"/>
      <c r="R187" t="str">
        <f t="shared" si="49"/>
        <v>A0185</v>
      </c>
      <c r="S187" t="s">
        <v>686</v>
      </c>
    </row>
    <row r="188" spans="1:19" x14ac:dyDescent="0.3">
      <c r="A188" s="57">
        <f t="shared" si="50"/>
        <v>186</v>
      </c>
      <c r="B188" s="3" t="s">
        <v>12</v>
      </c>
      <c r="C188" s="133">
        <v>35</v>
      </c>
      <c r="D188" s="133">
        <v>34</v>
      </c>
      <c r="E188" s="133">
        <v>33</v>
      </c>
      <c r="F188" t="s">
        <v>75</v>
      </c>
      <c r="G188" t="s">
        <v>93</v>
      </c>
      <c r="H188" t="s">
        <v>955</v>
      </c>
      <c r="I188" t="s">
        <v>107</v>
      </c>
      <c r="J188" t="s">
        <v>108</v>
      </c>
      <c r="K188" t="s">
        <v>108</v>
      </c>
      <c r="L188" t="s">
        <v>108</v>
      </c>
      <c r="O188"/>
      <c r="R188" t="str">
        <f t="shared" si="49"/>
        <v>A0186</v>
      </c>
      <c r="S188" t="s">
        <v>687</v>
      </c>
    </row>
    <row r="189" spans="1:19" x14ac:dyDescent="0.3">
      <c r="A189" s="57">
        <f t="shared" si="50"/>
        <v>187</v>
      </c>
      <c r="B189" s="3" t="s">
        <v>13</v>
      </c>
      <c r="C189" s="133">
        <v>36</v>
      </c>
      <c r="D189" s="133">
        <v>35</v>
      </c>
      <c r="E189" s="133">
        <v>34</v>
      </c>
      <c r="F189" t="s">
        <v>75</v>
      </c>
      <c r="G189" t="s">
        <v>93</v>
      </c>
      <c r="H189" t="s">
        <v>955</v>
      </c>
      <c r="I189" t="s">
        <v>107</v>
      </c>
      <c r="J189" t="s">
        <v>108</v>
      </c>
      <c r="K189" t="s">
        <v>108</v>
      </c>
      <c r="L189" t="s">
        <v>108</v>
      </c>
      <c r="O189"/>
      <c r="R189" t="str">
        <f t="shared" si="49"/>
        <v>A0187</v>
      </c>
      <c r="S189" t="s">
        <v>688</v>
      </c>
    </row>
    <row r="190" spans="1:19" x14ac:dyDescent="0.3">
      <c r="A190" s="57">
        <f t="shared" si="50"/>
        <v>188</v>
      </c>
      <c r="B190" s="3" t="s">
        <v>14</v>
      </c>
      <c r="C190" s="133">
        <v>37</v>
      </c>
      <c r="D190" s="133">
        <v>36</v>
      </c>
      <c r="E190" s="133">
        <v>35</v>
      </c>
      <c r="F190" t="s">
        <v>75</v>
      </c>
      <c r="G190" t="s">
        <v>93</v>
      </c>
      <c r="H190" t="s">
        <v>955</v>
      </c>
      <c r="I190" t="s">
        <v>107</v>
      </c>
      <c r="J190" t="s">
        <v>108</v>
      </c>
      <c r="K190" t="s">
        <v>108</v>
      </c>
      <c r="L190" t="s">
        <v>108</v>
      </c>
      <c r="O190"/>
      <c r="R190" t="str">
        <f t="shared" si="49"/>
        <v>A0188</v>
      </c>
      <c r="S190" t="s">
        <v>689</v>
      </c>
    </row>
    <row r="191" spans="1:19" x14ac:dyDescent="0.3">
      <c r="A191" s="78">
        <f t="shared" si="50"/>
        <v>189</v>
      </c>
      <c r="B191" s="15" t="s">
        <v>34</v>
      </c>
      <c r="C191" s="239">
        <v>40</v>
      </c>
      <c r="D191" s="239">
        <v>25</v>
      </c>
      <c r="E191" s="239">
        <v>20</v>
      </c>
      <c r="F191" t="s">
        <v>83</v>
      </c>
      <c r="G191" t="s">
        <v>83</v>
      </c>
      <c r="O191"/>
      <c r="R191" t="str">
        <f t="shared" si="49"/>
        <v>A0189</v>
      </c>
      <c r="S191" t="s">
        <v>690</v>
      </c>
    </row>
    <row r="192" spans="1:19" x14ac:dyDescent="0.3">
      <c r="A192" s="79">
        <f t="shared" si="50"/>
        <v>190</v>
      </c>
      <c r="B192" s="27" t="s">
        <v>941</v>
      </c>
      <c r="C192" s="240">
        <f>+C30+2</f>
        <v>19</v>
      </c>
      <c r="D192" s="240">
        <f>+D30+2</f>
        <v>16</v>
      </c>
      <c r="E192" s="240">
        <f>+E30+2</f>
        <v>15</v>
      </c>
      <c r="F192" t="s">
        <v>75</v>
      </c>
      <c r="G192" t="s">
        <v>92</v>
      </c>
      <c r="H192" t="s">
        <v>955</v>
      </c>
      <c r="I192" t="s">
        <v>107</v>
      </c>
      <c r="J192" t="s">
        <v>108</v>
      </c>
      <c r="K192" t="s">
        <v>108</v>
      </c>
      <c r="L192" t="s">
        <v>108</v>
      </c>
      <c r="O192" s="33"/>
      <c r="R192" t="str">
        <f t="shared" si="49"/>
        <v>A0190</v>
      </c>
      <c r="S192" t="s">
        <v>691</v>
      </c>
    </row>
    <row r="193" spans="1:19" x14ac:dyDescent="0.3">
      <c r="A193" s="57">
        <f t="shared" si="50"/>
        <v>191</v>
      </c>
      <c r="B193" s="3" t="s">
        <v>942</v>
      </c>
      <c r="C193" s="133">
        <f>+C192+1</f>
        <v>20</v>
      </c>
      <c r="D193" s="133">
        <f>+D192+1</f>
        <v>17</v>
      </c>
      <c r="E193" s="133">
        <f>+E192+1</f>
        <v>16</v>
      </c>
      <c r="F193" t="s">
        <v>75</v>
      </c>
      <c r="G193" t="s">
        <v>92</v>
      </c>
      <c r="H193" t="s">
        <v>955</v>
      </c>
      <c r="I193" t="s">
        <v>107</v>
      </c>
      <c r="J193" t="s">
        <v>108</v>
      </c>
      <c r="K193" t="s">
        <v>108</v>
      </c>
      <c r="L193" t="s">
        <v>108</v>
      </c>
      <c r="O193"/>
      <c r="R193" t="str">
        <f t="shared" si="49"/>
        <v>A0191</v>
      </c>
      <c r="S193" t="s">
        <v>692</v>
      </c>
    </row>
    <row r="194" spans="1:19" x14ac:dyDescent="0.3">
      <c r="A194" s="57">
        <f t="shared" si="50"/>
        <v>192</v>
      </c>
      <c r="B194" s="3" t="s">
        <v>943</v>
      </c>
      <c r="C194" s="133">
        <f t="shared" ref="C194:C198" si="59">+C193+1</f>
        <v>21</v>
      </c>
      <c r="D194" s="133">
        <f t="shared" ref="D194:D198" si="60">+D193+1</f>
        <v>18</v>
      </c>
      <c r="E194" s="133">
        <f t="shared" ref="E194:E198" si="61">+E193+1</f>
        <v>17</v>
      </c>
      <c r="F194" t="s">
        <v>75</v>
      </c>
      <c r="G194" t="s">
        <v>92</v>
      </c>
      <c r="H194" t="s">
        <v>955</v>
      </c>
      <c r="I194" t="s">
        <v>107</v>
      </c>
      <c r="J194" t="s">
        <v>108</v>
      </c>
      <c r="K194" t="s">
        <v>108</v>
      </c>
      <c r="L194" t="s">
        <v>108</v>
      </c>
      <c r="O194"/>
      <c r="R194" t="str">
        <f t="shared" si="49"/>
        <v>A0192</v>
      </c>
      <c r="S194" t="s">
        <v>693</v>
      </c>
    </row>
    <row r="195" spans="1:19" x14ac:dyDescent="0.3">
      <c r="A195" s="57">
        <f t="shared" si="50"/>
        <v>193</v>
      </c>
      <c r="B195" s="3" t="s">
        <v>944</v>
      </c>
      <c r="C195" s="133">
        <f t="shared" si="59"/>
        <v>22</v>
      </c>
      <c r="D195" s="133">
        <f t="shared" si="60"/>
        <v>19</v>
      </c>
      <c r="E195" s="133">
        <f t="shared" si="61"/>
        <v>18</v>
      </c>
      <c r="F195" t="s">
        <v>75</v>
      </c>
      <c r="G195" t="s">
        <v>92</v>
      </c>
      <c r="H195" t="s">
        <v>955</v>
      </c>
      <c r="I195" t="s">
        <v>107</v>
      </c>
      <c r="J195" t="s">
        <v>108</v>
      </c>
      <c r="K195" t="s">
        <v>108</v>
      </c>
      <c r="L195" t="s">
        <v>108</v>
      </c>
      <c r="O195"/>
      <c r="R195" t="str">
        <f t="shared" si="49"/>
        <v>A0193</v>
      </c>
      <c r="S195" t="s">
        <v>694</v>
      </c>
    </row>
    <row r="196" spans="1:19" x14ac:dyDescent="0.3">
      <c r="A196" s="57">
        <f t="shared" si="50"/>
        <v>194</v>
      </c>
      <c r="B196" s="3" t="s">
        <v>945</v>
      </c>
      <c r="C196" s="133">
        <f t="shared" si="59"/>
        <v>23</v>
      </c>
      <c r="D196" s="133">
        <f t="shared" si="60"/>
        <v>20</v>
      </c>
      <c r="E196" s="133">
        <f t="shared" si="61"/>
        <v>19</v>
      </c>
      <c r="F196" t="s">
        <v>75</v>
      </c>
      <c r="G196" t="s">
        <v>92</v>
      </c>
      <c r="H196" t="s">
        <v>955</v>
      </c>
      <c r="I196" t="s">
        <v>107</v>
      </c>
      <c r="J196" t="s">
        <v>108</v>
      </c>
      <c r="K196" t="s">
        <v>108</v>
      </c>
      <c r="L196" t="s">
        <v>108</v>
      </c>
      <c r="O196"/>
      <c r="R196" t="str">
        <f t="shared" ref="R196:R259" si="62">+TEXT(A196,"A000#")</f>
        <v>A0194</v>
      </c>
      <c r="S196" t="s">
        <v>695</v>
      </c>
    </row>
    <row r="197" spans="1:19" x14ac:dyDescent="0.3">
      <c r="A197" s="57">
        <f t="shared" ref="A197:A260" si="63">+A196+1</f>
        <v>195</v>
      </c>
      <c r="B197" s="3" t="s">
        <v>946</v>
      </c>
      <c r="C197" s="133">
        <f t="shared" si="59"/>
        <v>24</v>
      </c>
      <c r="D197" s="133">
        <f t="shared" si="60"/>
        <v>21</v>
      </c>
      <c r="E197" s="133">
        <f t="shared" si="61"/>
        <v>20</v>
      </c>
      <c r="F197" t="s">
        <v>75</v>
      </c>
      <c r="G197" t="s">
        <v>92</v>
      </c>
      <c r="H197" t="s">
        <v>955</v>
      </c>
      <c r="I197" t="s">
        <v>107</v>
      </c>
      <c r="J197" t="s">
        <v>108</v>
      </c>
      <c r="K197" t="s">
        <v>108</v>
      </c>
      <c r="L197" t="s">
        <v>108</v>
      </c>
      <c r="O197"/>
      <c r="R197" t="str">
        <f t="shared" si="62"/>
        <v>A0195</v>
      </c>
      <c r="S197" t="s">
        <v>696</v>
      </c>
    </row>
    <row r="198" spans="1:19" x14ac:dyDescent="0.3">
      <c r="A198" s="57">
        <f t="shared" si="63"/>
        <v>196</v>
      </c>
      <c r="B198" s="3" t="s">
        <v>947</v>
      </c>
      <c r="C198" s="133">
        <f t="shared" si="59"/>
        <v>25</v>
      </c>
      <c r="D198" s="133">
        <f t="shared" si="60"/>
        <v>22</v>
      </c>
      <c r="E198" s="133">
        <f t="shared" si="61"/>
        <v>21</v>
      </c>
      <c r="F198" t="s">
        <v>75</v>
      </c>
      <c r="G198" t="s">
        <v>92</v>
      </c>
      <c r="H198" t="s">
        <v>955</v>
      </c>
      <c r="I198" t="s">
        <v>107</v>
      </c>
      <c r="J198" t="s">
        <v>108</v>
      </c>
      <c r="K198" t="s">
        <v>108</v>
      </c>
      <c r="L198" t="s">
        <v>108</v>
      </c>
      <c r="O198"/>
      <c r="R198" t="str">
        <f t="shared" si="62"/>
        <v>A0196</v>
      </c>
      <c r="S198" t="s">
        <v>697</v>
      </c>
    </row>
    <row r="199" spans="1:19" x14ac:dyDescent="0.3">
      <c r="A199" s="60">
        <f t="shared" si="63"/>
        <v>197</v>
      </c>
      <c r="B199" s="175" t="s">
        <v>948</v>
      </c>
      <c r="C199" s="130">
        <f>+C39+2</f>
        <v>26.5</v>
      </c>
      <c r="D199" s="130">
        <f>+D39+2</f>
        <v>19</v>
      </c>
      <c r="E199" s="130">
        <f>+E39+2</f>
        <v>18</v>
      </c>
      <c r="F199" t="s">
        <v>75</v>
      </c>
      <c r="G199" t="s">
        <v>398</v>
      </c>
      <c r="H199" t="s">
        <v>955</v>
      </c>
      <c r="I199" t="s">
        <v>107</v>
      </c>
      <c r="J199" t="s">
        <v>108</v>
      </c>
      <c r="K199" t="s">
        <v>108</v>
      </c>
      <c r="L199" t="s">
        <v>108</v>
      </c>
      <c r="M199" s="174" t="s">
        <v>19</v>
      </c>
      <c r="N199" s="174" t="s">
        <v>42</v>
      </c>
      <c r="O199" s="44">
        <f>ROUND(VLOOKUP(N199,[1]INDICE!$A$5:$D$424,4,FALSE),2)</f>
        <v>14.27</v>
      </c>
      <c r="R199" t="str">
        <f t="shared" si="62"/>
        <v>A0197</v>
      </c>
      <c r="S199" t="s">
        <v>698</v>
      </c>
    </row>
    <row r="200" spans="1:19" x14ac:dyDescent="0.3">
      <c r="A200" s="60">
        <f t="shared" si="63"/>
        <v>198</v>
      </c>
      <c r="B200" s="175" t="s">
        <v>949</v>
      </c>
      <c r="C200" s="130">
        <f>+C199+1</f>
        <v>27.5</v>
      </c>
      <c r="D200" s="130">
        <f>+D199+1</f>
        <v>20</v>
      </c>
      <c r="E200" s="130">
        <f>+E199+1</f>
        <v>19</v>
      </c>
      <c r="F200" t="s">
        <v>75</v>
      </c>
      <c r="G200" t="s">
        <v>398</v>
      </c>
      <c r="H200" t="s">
        <v>955</v>
      </c>
      <c r="I200" t="s">
        <v>107</v>
      </c>
      <c r="J200" t="s">
        <v>108</v>
      </c>
      <c r="K200" t="s">
        <v>108</v>
      </c>
      <c r="L200" t="s">
        <v>108</v>
      </c>
      <c r="O200"/>
      <c r="R200" t="str">
        <f t="shared" si="62"/>
        <v>A0198</v>
      </c>
      <c r="S200" t="s">
        <v>699</v>
      </c>
    </row>
    <row r="201" spans="1:19" x14ac:dyDescent="0.3">
      <c r="A201" s="60">
        <f t="shared" si="63"/>
        <v>199</v>
      </c>
      <c r="B201" s="175" t="s">
        <v>950</v>
      </c>
      <c r="C201" s="130">
        <f t="shared" ref="C201:C205" si="64">+C200+1</f>
        <v>28.5</v>
      </c>
      <c r="D201" s="130">
        <f>+D200+1</f>
        <v>21</v>
      </c>
      <c r="E201" s="130">
        <f t="shared" ref="E201:E205" si="65">+E200+1</f>
        <v>20</v>
      </c>
      <c r="F201" t="s">
        <v>75</v>
      </c>
      <c r="G201" t="s">
        <v>398</v>
      </c>
      <c r="H201" t="s">
        <v>955</v>
      </c>
      <c r="I201" t="s">
        <v>107</v>
      </c>
      <c r="J201" t="s">
        <v>108</v>
      </c>
      <c r="K201" t="s">
        <v>108</v>
      </c>
      <c r="L201" t="s">
        <v>108</v>
      </c>
      <c r="O201"/>
      <c r="R201" t="str">
        <f t="shared" si="62"/>
        <v>A0199</v>
      </c>
      <c r="S201" t="s">
        <v>700</v>
      </c>
    </row>
    <row r="202" spans="1:19" x14ac:dyDescent="0.3">
      <c r="A202" s="60">
        <f t="shared" si="63"/>
        <v>200</v>
      </c>
      <c r="B202" s="175" t="s">
        <v>951</v>
      </c>
      <c r="C202" s="130">
        <f t="shared" si="64"/>
        <v>29.5</v>
      </c>
      <c r="D202" s="130">
        <f t="shared" ref="D202:D205" si="66">+D201+1</f>
        <v>22</v>
      </c>
      <c r="E202" s="130">
        <f t="shared" si="65"/>
        <v>21</v>
      </c>
      <c r="F202" t="s">
        <v>75</v>
      </c>
      <c r="G202" t="s">
        <v>398</v>
      </c>
      <c r="H202" t="s">
        <v>955</v>
      </c>
      <c r="I202" t="s">
        <v>107</v>
      </c>
      <c r="J202" t="s">
        <v>108</v>
      </c>
      <c r="K202" t="s">
        <v>108</v>
      </c>
      <c r="L202" t="s">
        <v>108</v>
      </c>
      <c r="O202"/>
      <c r="R202" t="str">
        <f t="shared" si="62"/>
        <v>A0200</v>
      </c>
      <c r="S202" t="s">
        <v>701</v>
      </c>
    </row>
    <row r="203" spans="1:19" x14ac:dyDescent="0.3">
      <c r="A203" s="60">
        <f t="shared" si="63"/>
        <v>201</v>
      </c>
      <c r="B203" s="175" t="s">
        <v>952</v>
      </c>
      <c r="C203" s="130">
        <f t="shared" si="64"/>
        <v>30.5</v>
      </c>
      <c r="D203" s="130">
        <f t="shared" si="66"/>
        <v>23</v>
      </c>
      <c r="E203" s="130">
        <f t="shared" si="65"/>
        <v>22</v>
      </c>
      <c r="F203" t="s">
        <v>75</v>
      </c>
      <c r="G203" t="s">
        <v>398</v>
      </c>
      <c r="H203" t="s">
        <v>955</v>
      </c>
      <c r="I203" t="s">
        <v>107</v>
      </c>
      <c r="J203" t="s">
        <v>108</v>
      </c>
      <c r="K203" t="s">
        <v>108</v>
      </c>
      <c r="L203" t="s">
        <v>108</v>
      </c>
      <c r="O203"/>
      <c r="R203" t="str">
        <f t="shared" si="62"/>
        <v>A0201</v>
      </c>
      <c r="S203" t="s">
        <v>702</v>
      </c>
    </row>
    <row r="204" spans="1:19" x14ac:dyDescent="0.3">
      <c r="A204" s="60">
        <f t="shared" si="63"/>
        <v>202</v>
      </c>
      <c r="B204" s="175" t="s">
        <v>953</v>
      </c>
      <c r="C204" s="130">
        <f t="shared" si="64"/>
        <v>31.5</v>
      </c>
      <c r="D204" s="130">
        <f t="shared" si="66"/>
        <v>24</v>
      </c>
      <c r="E204" s="130">
        <f t="shared" si="65"/>
        <v>23</v>
      </c>
      <c r="F204" t="s">
        <v>75</v>
      </c>
      <c r="G204" t="s">
        <v>398</v>
      </c>
      <c r="H204" t="s">
        <v>955</v>
      </c>
      <c r="I204" t="s">
        <v>107</v>
      </c>
      <c r="J204" t="s">
        <v>108</v>
      </c>
      <c r="K204" t="s">
        <v>108</v>
      </c>
      <c r="L204" t="s">
        <v>108</v>
      </c>
      <c r="O204"/>
      <c r="R204" t="str">
        <f t="shared" si="62"/>
        <v>A0202</v>
      </c>
      <c r="S204" t="s">
        <v>703</v>
      </c>
    </row>
    <row r="205" spans="1:19" x14ac:dyDescent="0.3">
      <c r="A205" s="60">
        <f t="shared" si="63"/>
        <v>203</v>
      </c>
      <c r="B205" s="175" t="s">
        <v>954</v>
      </c>
      <c r="C205" s="130">
        <f t="shared" si="64"/>
        <v>32.5</v>
      </c>
      <c r="D205" s="130">
        <f t="shared" si="66"/>
        <v>25</v>
      </c>
      <c r="E205" s="130">
        <f t="shared" si="65"/>
        <v>24</v>
      </c>
      <c r="F205" t="s">
        <v>75</v>
      </c>
      <c r="G205" t="s">
        <v>398</v>
      </c>
      <c r="H205" t="s">
        <v>955</v>
      </c>
      <c r="I205" t="s">
        <v>107</v>
      </c>
      <c r="J205" t="s">
        <v>108</v>
      </c>
      <c r="K205" t="s">
        <v>108</v>
      </c>
      <c r="L205" t="s">
        <v>108</v>
      </c>
      <c r="O205"/>
      <c r="R205" t="str">
        <f t="shared" si="62"/>
        <v>A0203</v>
      </c>
      <c r="S205" t="s">
        <v>704</v>
      </c>
    </row>
    <row r="206" spans="1:19" x14ac:dyDescent="0.3">
      <c r="A206" s="79">
        <f t="shared" si="63"/>
        <v>204</v>
      </c>
      <c r="B206" s="27" t="s">
        <v>956</v>
      </c>
      <c r="C206" s="240">
        <v>21</v>
      </c>
      <c r="D206" s="240">
        <v>19</v>
      </c>
      <c r="E206" s="240">
        <f>+E48+2</f>
        <v>20</v>
      </c>
      <c r="F206" t="s">
        <v>75</v>
      </c>
      <c r="G206" t="s">
        <v>112</v>
      </c>
      <c r="H206" t="s">
        <v>955</v>
      </c>
      <c r="I206" t="s">
        <v>107</v>
      </c>
      <c r="J206" t="s">
        <v>108</v>
      </c>
      <c r="K206" t="s">
        <v>108</v>
      </c>
      <c r="L206" t="s">
        <v>108</v>
      </c>
      <c r="M206" s="33" t="s">
        <v>19</v>
      </c>
      <c r="O206"/>
      <c r="R206" t="str">
        <f t="shared" si="62"/>
        <v>A0204</v>
      </c>
      <c r="S206" t="s">
        <v>705</v>
      </c>
    </row>
    <row r="207" spans="1:19" x14ac:dyDescent="0.3">
      <c r="A207" s="57">
        <f t="shared" si="63"/>
        <v>205</v>
      </c>
      <c r="B207" s="3" t="s">
        <v>957</v>
      </c>
      <c r="C207" s="133">
        <v>22</v>
      </c>
      <c r="D207" s="133">
        <v>20</v>
      </c>
      <c r="E207" s="133">
        <f>+E206+1</f>
        <v>21</v>
      </c>
      <c r="F207" t="s">
        <v>75</v>
      </c>
      <c r="G207" t="s">
        <v>112</v>
      </c>
      <c r="H207" t="s">
        <v>955</v>
      </c>
      <c r="I207" t="s">
        <v>107</v>
      </c>
      <c r="J207" t="s">
        <v>108</v>
      </c>
      <c r="K207" t="s">
        <v>108</v>
      </c>
      <c r="L207" t="s">
        <v>108</v>
      </c>
      <c r="O207"/>
      <c r="R207" t="str">
        <f t="shared" si="62"/>
        <v>A0205</v>
      </c>
      <c r="S207" t="s">
        <v>706</v>
      </c>
    </row>
    <row r="208" spans="1:19" x14ac:dyDescent="0.3">
      <c r="A208" s="57">
        <f t="shared" si="63"/>
        <v>206</v>
      </c>
      <c r="B208" s="3" t="s">
        <v>958</v>
      </c>
      <c r="C208" s="133">
        <f t="shared" ref="C208:C213" si="67">+D208+2</f>
        <v>23</v>
      </c>
      <c r="D208" s="133">
        <f t="shared" ref="D208:E212" si="68">+D207+1</f>
        <v>21</v>
      </c>
      <c r="E208" s="133">
        <f t="shared" si="68"/>
        <v>22</v>
      </c>
      <c r="F208" t="s">
        <v>75</v>
      </c>
      <c r="G208" t="s">
        <v>112</v>
      </c>
      <c r="H208" t="s">
        <v>955</v>
      </c>
      <c r="I208" t="s">
        <v>107</v>
      </c>
      <c r="J208" t="s">
        <v>108</v>
      </c>
      <c r="K208" t="s">
        <v>108</v>
      </c>
      <c r="L208" t="s">
        <v>108</v>
      </c>
      <c r="O208"/>
      <c r="R208" t="str">
        <f t="shared" si="62"/>
        <v>A0206</v>
      </c>
      <c r="S208" t="s">
        <v>707</v>
      </c>
    </row>
    <row r="209" spans="1:19" x14ac:dyDescent="0.3">
      <c r="A209" s="57">
        <f t="shared" si="63"/>
        <v>207</v>
      </c>
      <c r="B209" s="3" t="s">
        <v>959</v>
      </c>
      <c r="C209" s="133">
        <f t="shared" si="67"/>
        <v>24</v>
      </c>
      <c r="D209" s="133">
        <f t="shared" si="68"/>
        <v>22</v>
      </c>
      <c r="E209" s="133">
        <f t="shared" si="68"/>
        <v>23</v>
      </c>
      <c r="F209" t="s">
        <v>75</v>
      </c>
      <c r="G209" t="s">
        <v>112</v>
      </c>
      <c r="H209" t="s">
        <v>955</v>
      </c>
      <c r="I209" t="s">
        <v>107</v>
      </c>
      <c r="J209" t="s">
        <v>108</v>
      </c>
      <c r="K209" t="s">
        <v>108</v>
      </c>
      <c r="L209" t="s">
        <v>108</v>
      </c>
      <c r="O209"/>
      <c r="R209" t="str">
        <f t="shared" si="62"/>
        <v>A0207</v>
      </c>
      <c r="S209" t="s">
        <v>708</v>
      </c>
    </row>
    <row r="210" spans="1:19" x14ac:dyDescent="0.3">
      <c r="A210" s="57">
        <f t="shared" si="63"/>
        <v>208</v>
      </c>
      <c r="B210" s="3" t="s">
        <v>960</v>
      </c>
      <c r="C210" s="133">
        <f t="shared" si="67"/>
        <v>25</v>
      </c>
      <c r="D210" s="133">
        <f t="shared" si="68"/>
        <v>23</v>
      </c>
      <c r="E210" s="133">
        <f t="shared" si="68"/>
        <v>24</v>
      </c>
      <c r="F210" t="s">
        <v>75</v>
      </c>
      <c r="G210" t="s">
        <v>112</v>
      </c>
      <c r="H210" t="s">
        <v>955</v>
      </c>
      <c r="I210" t="s">
        <v>107</v>
      </c>
      <c r="J210" t="s">
        <v>108</v>
      </c>
      <c r="K210" t="s">
        <v>108</v>
      </c>
      <c r="L210" t="s">
        <v>108</v>
      </c>
      <c r="O210"/>
      <c r="R210" t="str">
        <f t="shared" si="62"/>
        <v>A0208</v>
      </c>
      <c r="S210" t="s">
        <v>709</v>
      </c>
    </row>
    <row r="211" spans="1:19" x14ac:dyDescent="0.3">
      <c r="A211" s="57">
        <f t="shared" si="63"/>
        <v>209</v>
      </c>
      <c r="B211" s="3" t="s">
        <v>961</v>
      </c>
      <c r="C211" s="133">
        <f t="shared" si="67"/>
        <v>26</v>
      </c>
      <c r="D211" s="133">
        <f t="shared" si="68"/>
        <v>24</v>
      </c>
      <c r="E211" s="133">
        <f t="shared" si="68"/>
        <v>25</v>
      </c>
      <c r="F211" t="s">
        <v>75</v>
      </c>
      <c r="G211" t="s">
        <v>112</v>
      </c>
      <c r="H211" t="s">
        <v>955</v>
      </c>
      <c r="I211" t="s">
        <v>107</v>
      </c>
      <c r="J211" t="s">
        <v>108</v>
      </c>
      <c r="K211" t="s">
        <v>108</v>
      </c>
      <c r="L211" t="s">
        <v>108</v>
      </c>
      <c r="O211"/>
      <c r="R211" t="str">
        <f t="shared" si="62"/>
        <v>A0209</v>
      </c>
      <c r="S211" t="s">
        <v>710</v>
      </c>
    </row>
    <row r="212" spans="1:19" x14ac:dyDescent="0.3">
      <c r="A212" s="57">
        <f t="shared" si="63"/>
        <v>210</v>
      </c>
      <c r="B212" s="3" t="s">
        <v>962</v>
      </c>
      <c r="C212" s="133">
        <f t="shared" si="67"/>
        <v>27</v>
      </c>
      <c r="D212" s="133">
        <f t="shared" si="68"/>
        <v>25</v>
      </c>
      <c r="E212" s="133">
        <f t="shared" si="68"/>
        <v>26</v>
      </c>
      <c r="F212" t="s">
        <v>75</v>
      </c>
      <c r="G212" t="s">
        <v>112</v>
      </c>
      <c r="H212" t="s">
        <v>955</v>
      </c>
      <c r="I212" t="s">
        <v>107</v>
      </c>
      <c r="J212" t="s">
        <v>108</v>
      </c>
      <c r="K212" t="s">
        <v>108</v>
      </c>
      <c r="L212" t="s">
        <v>108</v>
      </c>
      <c r="O212"/>
      <c r="R212" t="str">
        <f t="shared" si="62"/>
        <v>A0210</v>
      </c>
      <c r="S212" t="s">
        <v>711</v>
      </c>
    </row>
    <row r="213" spans="1:19" x14ac:dyDescent="0.3">
      <c r="A213" s="80">
        <f t="shared" si="63"/>
        <v>211</v>
      </c>
      <c r="B213" s="28" t="s">
        <v>1020</v>
      </c>
      <c r="C213" s="241">
        <f t="shared" si="67"/>
        <v>29</v>
      </c>
      <c r="D213" s="241">
        <f>+E213+1</f>
        <v>27</v>
      </c>
      <c r="E213" s="241">
        <v>26</v>
      </c>
      <c r="F213" t="s">
        <v>84</v>
      </c>
      <c r="G213" t="s">
        <v>112</v>
      </c>
      <c r="H213" t="s">
        <v>955</v>
      </c>
      <c r="I213" t="s">
        <v>107</v>
      </c>
      <c r="J213" t="s">
        <v>108</v>
      </c>
      <c r="K213" t="s">
        <v>108</v>
      </c>
      <c r="L213" t="s">
        <v>108</v>
      </c>
      <c r="M213" s="33" t="s">
        <v>19</v>
      </c>
      <c r="N213" s="33" t="s">
        <v>1007</v>
      </c>
      <c r="O213" s="44">
        <f>ROUND(VLOOKUP(N213,[1]INDICE!$A$5:$D$424,4,FALSE),2)</f>
        <v>21.08</v>
      </c>
      <c r="R213" t="str">
        <f t="shared" si="62"/>
        <v>A0211</v>
      </c>
      <c r="S213" t="s">
        <v>712</v>
      </c>
    </row>
    <row r="214" spans="1:19" x14ac:dyDescent="0.3">
      <c r="A214" s="57">
        <f t="shared" si="63"/>
        <v>212</v>
      </c>
      <c r="B214" s="3" t="s">
        <v>15</v>
      </c>
      <c r="C214" s="133">
        <v>25</v>
      </c>
      <c r="D214" s="133">
        <v>24</v>
      </c>
      <c r="E214" s="133">
        <v>24</v>
      </c>
      <c r="F214" t="s">
        <v>85</v>
      </c>
      <c r="G214" t="s">
        <v>112</v>
      </c>
      <c r="H214" t="s">
        <v>955</v>
      </c>
      <c r="I214" t="s">
        <v>107</v>
      </c>
      <c r="J214" t="s">
        <v>108</v>
      </c>
      <c r="K214" t="s">
        <v>108</v>
      </c>
      <c r="L214" t="s">
        <v>108</v>
      </c>
      <c r="O214"/>
      <c r="R214" t="str">
        <f t="shared" si="62"/>
        <v>A0212</v>
      </c>
      <c r="S214" t="s">
        <v>713</v>
      </c>
    </row>
    <row r="215" spans="1:19" x14ac:dyDescent="0.3">
      <c r="A215" s="61">
        <f t="shared" si="63"/>
        <v>213</v>
      </c>
      <c r="B215" s="16" t="s">
        <v>16</v>
      </c>
      <c r="C215" s="191">
        <v>17</v>
      </c>
      <c r="D215" s="191">
        <v>16</v>
      </c>
      <c r="E215" s="191">
        <v>15</v>
      </c>
      <c r="F215" t="s">
        <v>86</v>
      </c>
      <c r="G215" t="s">
        <v>112</v>
      </c>
      <c r="H215" t="s">
        <v>113</v>
      </c>
      <c r="I215" t="s">
        <v>107</v>
      </c>
      <c r="J215" t="s">
        <v>108</v>
      </c>
      <c r="K215" t="s">
        <v>108</v>
      </c>
      <c r="L215" t="s">
        <v>108</v>
      </c>
      <c r="M215" s="33" t="s">
        <v>19</v>
      </c>
      <c r="N215" s="33" t="s">
        <v>23</v>
      </c>
      <c r="O215" s="44">
        <f>ROUND(VLOOKUP(N215,[1]INDICE!$A$5:$D$424,4,FALSE),2)</f>
        <v>5.63</v>
      </c>
      <c r="R215" t="str">
        <f t="shared" si="62"/>
        <v>A0213</v>
      </c>
      <c r="S215" t="s">
        <v>714</v>
      </c>
    </row>
    <row r="216" spans="1:19" x14ac:dyDescent="0.3">
      <c r="A216" s="92">
        <f t="shared" si="63"/>
        <v>214</v>
      </c>
      <c r="B216" s="93" t="s">
        <v>17</v>
      </c>
      <c r="C216" s="242">
        <f>+D216+0.5</f>
        <v>20.5</v>
      </c>
      <c r="D216" s="242">
        <v>20</v>
      </c>
      <c r="E216" s="242">
        <f>+D216-0.5</f>
        <v>19.5</v>
      </c>
      <c r="F216" t="s">
        <v>87</v>
      </c>
      <c r="G216" t="s">
        <v>131</v>
      </c>
      <c r="H216" t="s">
        <v>132</v>
      </c>
      <c r="I216" t="s">
        <v>107</v>
      </c>
      <c r="J216" t="s">
        <v>108</v>
      </c>
      <c r="K216" t="s">
        <v>108</v>
      </c>
      <c r="L216" t="s">
        <v>108</v>
      </c>
      <c r="O216"/>
      <c r="R216" t="str">
        <f t="shared" si="62"/>
        <v>A0214</v>
      </c>
      <c r="S216" t="s">
        <v>715</v>
      </c>
    </row>
    <row r="217" spans="1:19" x14ac:dyDescent="0.3">
      <c r="A217" s="77">
        <f t="shared" si="63"/>
        <v>215</v>
      </c>
      <c r="B217" s="13" t="s">
        <v>18</v>
      </c>
      <c r="C217" s="238">
        <v>15</v>
      </c>
      <c r="D217" s="238">
        <f>+E217+1</f>
        <v>13</v>
      </c>
      <c r="E217" s="238">
        <v>12</v>
      </c>
      <c r="F217" t="s">
        <v>88</v>
      </c>
      <c r="G217" t="s">
        <v>88</v>
      </c>
      <c r="I217" t="s">
        <v>107</v>
      </c>
      <c r="J217" t="s">
        <v>108</v>
      </c>
      <c r="K217" t="s">
        <v>108</v>
      </c>
      <c r="L217" t="s">
        <v>108</v>
      </c>
      <c r="M217" s="33" t="s">
        <v>19</v>
      </c>
      <c r="N217" s="33" t="s">
        <v>24</v>
      </c>
      <c r="O217" s="44">
        <f>ROUND(VLOOKUP(N217,[1]INDICE!$A$5:$D$424,4,FALSE),2)</f>
        <v>8.7200000000000006</v>
      </c>
      <c r="R217" t="str">
        <f t="shared" si="62"/>
        <v>A0215</v>
      </c>
      <c r="S217" t="s">
        <v>716</v>
      </c>
    </row>
    <row r="218" spans="1:19" x14ac:dyDescent="0.3">
      <c r="A218" s="81">
        <f t="shared" si="63"/>
        <v>216</v>
      </c>
      <c r="B218" s="20" t="s">
        <v>94</v>
      </c>
      <c r="C218" s="243">
        <f>+D218+2</f>
        <v>15</v>
      </c>
      <c r="D218" s="243">
        <f>+E218+1</f>
        <v>13</v>
      </c>
      <c r="E218" s="243">
        <f>+E239+2</f>
        <v>12</v>
      </c>
      <c r="F218" t="s">
        <v>78</v>
      </c>
      <c r="G218" t="s">
        <v>347</v>
      </c>
      <c r="H218" t="s">
        <v>955</v>
      </c>
      <c r="I218" t="s">
        <v>107</v>
      </c>
      <c r="J218" t="s">
        <v>108</v>
      </c>
      <c r="K218" t="s">
        <v>108</v>
      </c>
      <c r="L218" t="s">
        <v>108</v>
      </c>
      <c r="O218"/>
      <c r="R218" t="str">
        <f t="shared" si="62"/>
        <v>A0216</v>
      </c>
      <c r="S218" t="s">
        <v>717</v>
      </c>
    </row>
    <row r="219" spans="1:19" x14ac:dyDescent="0.3">
      <c r="A219" s="81">
        <f t="shared" si="63"/>
        <v>217</v>
      </c>
      <c r="B219" s="20" t="s">
        <v>95</v>
      </c>
      <c r="C219" s="243">
        <f>+D219+2</f>
        <v>16</v>
      </c>
      <c r="D219" s="243">
        <f>+E219+1</f>
        <v>14</v>
      </c>
      <c r="E219" s="243">
        <f>+E218+1</f>
        <v>13</v>
      </c>
      <c r="F219" t="s">
        <v>78</v>
      </c>
      <c r="G219" t="s">
        <v>347</v>
      </c>
      <c r="H219" t="s">
        <v>955</v>
      </c>
      <c r="I219" t="s">
        <v>107</v>
      </c>
      <c r="J219" t="s">
        <v>108</v>
      </c>
      <c r="K219" t="s">
        <v>108</v>
      </c>
      <c r="L219" t="s">
        <v>108</v>
      </c>
      <c r="O219"/>
      <c r="R219" t="str">
        <f t="shared" si="62"/>
        <v>A0217</v>
      </c>
      <c r="S219" t="s">
        <v>718</v>
      </c>
    </row>
    <row r="220" spans="1:19" x14ac:dyDescent="0.3">
      <c r="A220" s="81">
        <f t="shared" si="63"/>
        <v>218</v>
      </c>
      <c r="B220" s="20" t="s">
        <v>96</v>
      </c>
      <c r="C220" s="243">
        <f t="shared" ref="C220:C224" si="69">+D220+2</f>
        <v>17</v>
      </c>
      <c r="D220" s="243">
        <f t="shared" ref="D220:D224" si="70">+E220+1</f>
        <v>15</v>
      </c>
      <c r="E220" s="243">
        <f t="shared" ref="E220:E224" si="71">+E219+1</f>
        <v>14</v>
      </c>
      <c r="F220" t="s">
        <v>78</v>
      </c>
      <c r="G220" t="s">
        <v>347</v>
      </c>
      <c r="H220" t="s">
        <v>955</v>
      </c>
      <c r="I220" t="s">
        <v>107</v>
      </c>
      <c r="J220" t="s">
        <v>108</v>
      </c>
      <c r="K220" t="s">
        <v>108</v>
      </c>
      <c r="L220" t="s">
        <v>108</v>
      </c>
      <c r="O220"/>
      <c r="R220" t="str">
        <f t="shared" si="62"/>
        <v>A0218</v>
      </c>
      <c r="S220" t="s">
        <v>719</v>
      </c>
    </row>
    <row r="221" spans="1:19" x14ac:dyDescent="0.3">
      <c r="A221" s="81">
        <f t="shared" si="63"/>
        <v>219</v>
      </c>
      <c r="B221" s="20" t="s">
        <v>97</v>
      </c>
      <c r="C221" s="243">
        <f t="shared" si="69"/>
        <v>18</v>
      </c>
      <c r="D221" s="243">
        <f t="shared" si="70"/>
        <v>16</v>
      </c>
      <c r="E221" s="243">
        <f t="shared" si="71"/>
        <v>15</v>
      </c>
      <c r="F221" t="s">
        <v>78</v>
      </c>
      <c r="G221" t="s">
        <v>347</v>
      </c>
      <c r="H221" t="s">
        <v>955</v>
      </c>
      <c r="I221" t="s">
        <v>107</v>
      </c>
      <c r="J221" t="s">
        <v>108</v>
      </c>
      <c r="K221" t="s">
        <v>108</v>
      </c>
      <c r="L221" t="s">
        <v>108</v>
      </c>
      <c r="O221"/>
      <c r="R221" t="str">
        <f t="shared" si="62"/>
        <v>A0219</v>
      </c>
      <c r="S221" t="s">
        <v>720</v>
      </c>
    </row>
    <row r="222" spans="1:19" x14ac:dyDescent="0.3">
      <c r="A222" s="81">
        <f t="shared" si="63"/>
        <v>220</v>
      </c>
      <c r="B222" s="20" t="s">
        <v>98</v>
      </c>
      <c r="C222" s="243">
        <f t="shared" si="69"/>
        <v>19</v>
      </c>
      <c r="D222" s="243">
        <f t="shared" si="70"/>
        <v>17</v>
      </c>
      <c r="E222" s="243">
        <f t="shared" si="71"/>
        <v>16</v>
      </c>
      <c r="F222" t="s">
        <v>78</v>
      </c>
      <c r="G222" t="s">
        <v>347</v>
      </c>
      <c r="H222" t="s">
        <v>955</v>
      </c>
      <c r="I222" t="s">
        <v>107</v>
      </c>
      <c r="J222" t="s">
        <v>108</v>
      </c>
      <c r="K222" t="s">
        <v>108</v>
      </c>
      <c r="L222" t="s">
        <v>108</v>
      </c>
      <c r="O222"/>
      <c r="R222" t="str">
        <f t="shared" si="62"/>
        <v>A0220</v>
      </c>
      <c r="S222" t="s">
        <v>721</v>
      </c>
    </row>
    <row r="223" spans="1:19" x14ac:dyDescent="0.3">
      <c r="A223" s="81">
        <f t="shared" si="63"/>
        <v>221</v>
      </c>
      <c r="B223" s="20" t="s">
        <v>99</v>
      </c>
      <c r="C223" s="243">
        <f t="shared" si="69"/>
        <v>20</v>
      </c>
      <c r="D223" s="243">
        <f t="shared" si="70"/>
        <v>18</v>
      </c>
      <c r="E223" s="243">
        <f t="shared" si="71"/>
        <v>17</v>
      </c>
      <c r="F223" t="s">
        <v>78</v>
      </c>
      <c r="G223" t="s">
        <v>347</v>
      </c>
      <c r="H223" t="s">
        <v>955</v>
      </c>
      <c r="I223" t="s">
        <v>107</v>
      </c>
      <c r="J223" t="s">
        <v>108</v>
      </c>
      <c r="K223" t="s">
        <v>108</v>
      </c>
      <c r="L223" t="s">
        <v>108</v>
      </c>
      <c r="O223"/>
      <c r="R223" t="str">
        <f t="shared" si="62"/>
        <v>A0221</v>
      </c>
      <c r="S223" t="s">
        <v>722</v>
      </c>
    </row>
    <row r="224" spans="1:19" x14ac:dyDescent="0.3">
      <c r="A224" s="81">
        <f t="shared" si="63"/>
        <v>222</v>
      </c>
      <c r="B224" s="20" t="s">
        <v>100</v>
      </c>
      <c r="C224" s="243">
        <f t="shared" si="69"/>
        <v>21</v>
      </c>
      <c r="D224" s="243">
        <f t="shared" si="70"/>
        <v>19</v>
      </c>
      <c r="E224" s="243">
        <f t="shared" si="71"/>
        <v>18</v>
      </c>
      <c r="F224" t="s">
        <v>78</v>
      </c>
      <c r="G224" t="s">
        <v>347</v>
      </c>
      <c r="H224" t="s">
        <v>955</v>
      </c>
      <c r="I224" t="s">
        <v>107</v>
      </c>
      <c r="J224" t="s">
        <v>108</v>
      </c>
      <c r="K224" t="s">
        <v>108</v>
      </c>
      <c r="L224" t="s">
        <v>108</v>
      </c>
      <c r="O224"/>
      <c r="R224" t="str">
        <f t="shared" si="62"/>
        <v>A0222</v>
      </c>
      <c r="S224" t="s">
        <v>723</v>
      </c>
    </row>
    <row r="225" spans="1:19" x14ac:dyDescent="0.3">
      <c r="A225" s="82">
        <f t="shared" si="63"/>
        <v>223</v>
      </c>
      <c r="B225" s="21" t="s">
        <v>137</v>
      </c>
      <c r="C225" s="244">
        <f t="shared" ref="C225:C232" si="72">+D225+2</f>
        <v>17</v>
      </c>
      <c r="D225" s="244">
        <f t="shared" ref="D225:D232" si="73">+E225+1</f>
        <v>15</v>
      </c>
      <c r="E225" s="244">
        <f>+E271+2</f>
        <v>14</v>
      </c>
      <c r="F225" t="s">
        <v>91</v>
      </c>
      <c r="G225" t="s">
        <v>106</v>
      </c>
      <c r="H225" t="s">
        <v>955</v>
      </c>
      <c r="I225" t="s">
        <v>108</v>
      </c>
      <c r="J225" t="s">
        <v>108</v>
      </c>
      <c r="K225" t="s">
        <v>108</v>
      </c>
      <c r="L225" t="s">
        <v>107</v>
      </c>
      <c r="O225"/>
      <c r="R225" t="str">
        <f t="shared" si="62"/>
        <v>A0223</v>
      </c>
      <c r="S225" t="s">
        <v>724</v>
      </c>
    </row>
    <row r="226" spans="1:19" x14ac:dyDescent="0.3">
      <c r="A226" s="82">
        <f t="shared" si="63"/>
        <v>224</v>
      </c>
      <c r="B226" s="21" t="s">
        <v>138</v>
      </c>
      <c r="C226" s="244">
        <f t="shared" si="72"/>
        <v>18</v>
      </c>
      <c r="D226" s="244">
        <f t="shared" si="73"/>
        <v>16</v>
      </c>
      <c r="E226" s="244">
        <f t="shared" ref="E226:E231" si="74">+E225+1</f>
        <v>15</v>
      </c>
      <c r="F226" t="s">
        <v>91</v>
      </c>
      <c r="G226" t="s">
        <v>106</v>
      </c>
      <c r="H226" t="s">
        <v>955</v>
      </c>
      <c r="I226" t="s">
        <v>108</v>
      </c>
      <c r="J226" t="s">
        <v>108</v>
      </c>
      <c r="K226" t="s">
        <v>108</v>
      </c>
      <c r="L226" t="s">
        <v>107</v>
      </c>
      <c r="O226"/>
      <c r="R226" t="str">
        <f t="shared" si="62"/>
        <v>A0224</v>
      </c>
      <c r="S226" t="s">
        <v>725</v>
      </c>
    </row>
    <row r="227" spans="1:19" x14ac:dyDescent="0.3">
      <c r="A227" s="82">
        <f t="shared" si="63"/>
        <v>225</v>
      </c>
      <c r="B227" s="21" t="s">
        <v>139</v>
      </c>
      <c r="C227" s="244">
        <f t="shared" si="72"/>
        <v>19</v>
      </c>
      <c r="D227" s="244">
        <f t="shared" si="73"/>
        <v>17</v>
      </c>
      <c r="E227" s="244">
        <f t="shared" si="74"/>
        <v>16</v>
      </c>
      <c r="F227" t="s">
        <v>91</v>
      </c>
      <c r="G227" t="s">
        <v>106</v>
      </c>
      <c r="H227" t="s">
        <v>955</v>
      </c>
      <c r="I227" t="s">
        <v>108</v>
      </c>
      <c r="J227" t="s">
        <v>108</v>
      </c>
      <c r="K227" t="s">
        <v>108</v>
      </c>
      <c r="L227" t="s">
        <v>107</v>
      </c>
      <c r="O227"/>
      <c r="R227" t="str">
        <f t="shared" si="62"/>
        <v>A0225</v>
      </c>
      <c r="S227" t="s">
        <v>726</v>
      </c>
    </row>
    <row r="228" spans="1:19" x14ac:dyDescent="0.3">
      <c r="A228" s="82">
        <f t="shared" si="63"/>
        <v>226</v>
      </c>
      <c r="B228" s="21" t="s">
        <v>140</v>
      </c>
      <c r="C228" s="244">
        <f t="shared" si="72"/>
        <v>20</v>
      </c>
      <c r="D228" s="244">
        <f t="shared" si="73"/>
        <v>18</v>
      </c>
      <c r="E228" s="244">
        <f t="shared" si="74"/>
        <v>17</v>
      </c>
      <c r="F228" t="s">
        <v>91</v>
      </c>
      <c r="G228" t="s">
        <v>106</v>
      </c>
      <c r="H228" t="s">
        <v>955</v>
      </c>
      <c r="I228" t="s">
        <v>108</v>
      </c>
      <c r="J228" t="s">
        <v>108</v>
      </c>
      <c r="K228" t="s">
        <v>108</v>
      </c>
      <c r="L228" t="s">
        <v>107</v>
      </c>
      <c r="O228"/>
      <c r="R228" t="str">
        <f t="shared" si="62"/>
        <v>A0226</v>
      </c>
      <c r="S228" t="s">
        <v>727</v>
      </c>
    </row>
    <row r="229" spans="1:19" x14ac:dyDescent="0.3">
      <c r="A229" s="82">
        <f t="shared" si="63"/>
        <v>227</v>
      </c>
      <c r="B229" s="21" t="s">
        <v>141</v>
      </c>
      <c r="C229" s="244">
        <f t="shared" si="72"/>
        <v>21</v>
      </c>
      <c r="D229" s="244">
        <f t="shared" si="73"/>
        <v>19</v>
      </c>
      <c r="E229" s="244">
        <f t="shared" si="74"/>
        <v>18</v>
      </c>
      <c r="F229" t="s">
        <v>91</v>
      </c>
      <c r="G229" t="s">
        <v>106</v>
      </c>
      <c r="H229" t="s">
        <v>955</v>
      </c>
      <c r="I229" t="s">
        <v>108</v>
      </c>
      <c r="J229" t="s">
        <v>108</v>
      </c>
      <c r="K229" t="s">
        <v>108</v>
      </c>
      <c r="L229" t="s">
        <v>107</v>
      </c>
      <c r="O229"/>
      <c r="R229" t="str">
        <f t="shared" si="62"/>
        <v>A0227</v>
      </c>
      <c r="S229" t="s">
        <v>728</v>
      </c>
    </row>
    <row r="230" spans="1:19" x14ac:dyDescent="0.3">
      <c r="A230" s="82">
        <f t="shared" si="63"/>
        <v>228</v>
      </c>
      <c r="B230" s="21" t="s">
        <v>142</v>
      </c>
      <c r="C230" s="244">
        <f t="shared" si="72"/>
        <v>22</v>
      </c>
      <c r="D230" s="244">
        <f t="shared" si="73"/>
        <v>20</v>
      </c>
      <c r="E230" s="244">
        <f t="shared" si="74"/>
        <v>19</v>
      </c>
      <c r="F230" t="s">
        <v>91</v>
      </c>
      <c r="G230" t="s">
        <v>106</v>
      </c>
      <c r="H230" t="s">
        <v>955</v>
      </c>
      <c r="I230" t="s">
        <v>108</v>
      </c>
      <c r="J230" t="s">
        <v>108</v>
      </c>
      <c r="K230" t="s">
        <v>108</v>
      </c>
      <c r="L230" t="s">
        <v>107</v>
      </c>
      <c r="O230"/>
      <c r="R230" t="str">
        <f t="shared" si="62"/>
        <v>A0228</v>
      </c>
      <c r="S230" t="s">
        <v>729</v>
      </c>
    </row>
    <row r="231" spans="1:19" x14ac:dyDescent="0.3">
      <c r="A231" s="82">
        <f t="shared" si="63"/>
        <v>229</v>
      </c>
      <c r="B231" s="21" t="s">
        <v>143</v>
      </c>
      <c r="C231" s="244">
        <f t="shared" si="72"/>
        <v>23</v>
      </c>
      <c r="D231" s="244">
        <f t="shared" si="73"/>
        <v>21</v>
      </c>
      <c r="E231" s="244">
        <f t="shared" si="74"/>
        <v>20</v>
      </c>
      <c r="F231" t="s">
        <v>91</v>
      </c>
      <c r="G231" t="s">
        <v>106</v>
      </c>
      <c r="H231" t="s">
        <v>955</v>
      </c>
      <c r="I231" t="s">
        <v>108</v>
      </c>
      <c r="J231" t="s">
        <v>108</v>
      </c>
      <c r="K231" t="s">
        <v>108</v>
      </c>
      <c r="L231" t="s">
        <v>107</v>
      </c>
      <c r="R231" t="str">
        <f t="shared" si="62"/>
        <v>A0229</v>
      </c>
      <c r="S231" t="s">
        <v>730</v>
      </c>
    </row>
    <row r="232" spans="1:19" x14ac:dyDescent="0.3">
      <c r="A232" s="85">
        <f>+A231+1</f>
        <v>230</v>
      </c>
      <c r="B232" s="32" t="s">
        <v>210</v>
      </c>
      <c r="C232" s="245">
        <f t="shared" si="72"/>
        <v>13</v>
      </c>
      <c r="D232" s="245">
        <f t="shared" si="73"/>
        <v>11</v>
      </c>
      <c r="E232" s="245">
        <v>10</v>
      </c>
      <c r="F232" t="s">
        <v>91</v>
      </c>
      <c r="G232" t="s">
        <v>106</v>
      </c>
      <c r="H232" t="s">
        <v>955</v>
      </c>
      <c r="I232" t="s">
        <v>108</v>
      </c>
      <c r="J232" t="s">
        <v>108</v>
      </c>
      <c r="K232" t="s">
        <v>107</v>
      </c>
      <c r="L232" t="s">
        <v>108</v>
      </c>
      <c r="M232" s="33" t="s">
        <v>19</v>
      </c>
      <c r="N232" s="33" t="s">
        <v>58</v>
      </c>
      <c r="O232" s="44">
        <f>ROUND(VLOOKUP(N232,[1]INDICE!$A$5:$D$424,4,FALSE),2)</f>
        <v>8.59</v>
      </c>
      <c r="R232" t="str">
        <f t="shared" si="62"/>
        <v>A0230</v>
      </c>
      <c r="S232" t="s">
        <v>731</v>
      </c>
    </row>
    <row r="233" spans="1:19" x14ac:dyDescent="0.3">
      <c r="A233" s="85">
        <f t="shared" si="63"/>
        <v>231</v>
      </c>
      <c r="B233" s="32" t="s">
        <v>209</v>
      </c>
      <c r="C233" s="245">
        <v>17</v>
      </c>
      <c r="D233" s="245">
        <v>15</v>
      </c>
      <c r="E233" s="245">
        <v>14</v>
      </c>
      <c r="F233" t="s">
        <v>91</v>
      </c>
      <c r="G233" t="s">
        <v>106</v>
      </c>
      <c r="H233" t="s">
        <v>955</v>
      </c>
      <c r="I233" t="s">
        <v>108</v>
      </c>
      <c r="J233" t="s">
        <v>108</v>
      </c>
      <c r="K233" t="s">
        <v>107</v>
      </c>
      <c r="L233" t="s">
        <v>108</v>
      </c>
      <c r="N233" s="34"/>
      <c r="O233"/>
      <c r="R233" t="str">
        <f t="shared" si="62"/>
        <v>A0231</v>
      </c>
      <c r="S233" t="s">
        <v>732</v>
      </c>
    </row>
    <row r="234" spans="1:19" x14ac:dyDescent="0.3">
      <c r="A234" s="85">
        <f t="shared" si="63"/>
        <v>232</v>
      </c>
      <c r="B234" s="32" t="s">
        <v>208</v>
      </c>
      <c r="C234" s="245">
        <v>18</v>
      </c>
      <c r="D234" s="245">
        <v>16</v>
      </c>
      <c r="E234" s="245">
        <v>15</v>
      </c>
      <c r="F234" t="s">
        <v>91</v>
      </c>
      <c r="G234" t="s">
        <v>106</v>
      </c>
      <c r="H234" t="s">
        <v>955</v>
      </c>
      <c r="I234" t="s">
        <v>108</v>
      </c>
      <c r="J234" t="s">
        <v>108</v>
      </c>
      <c r="K234" t="s">
        <v>107</v>
      </c>
      <c r="L234" t="s">
        <v>108</v>
      </c>
      <c r="O234"/>
      <c r="R234" t="str">
        <f t="shared" si="62"/>
        <v>A0232</v>
      </c>
      <c r="S234" t="s">
        <v>733</v>
      </c>
    </row>
    <row r="235" spans="1:19" x14ac:dyDescent="0.3">
      <c r="A235" s="85">
        <f t="shared" si="63"/>
        <v>233</v>
      </c>
      <c r="B235" s="32" t="s">
        <v>207</v>
      </c>
      <c r="C235" s="245">
        <v>19</v>
      </c>
      <c r="D235" s="245">
        <v>17</v>
      </c>
      <c r="E235" s="245">
        <v>16</v>
      </c>
      <c r="F235" t="s">
        <v>91</v>
      </c>
      <c r="G235" t="s">
        <v>106</v>
      </c>
      <c r="H235" t="s">
        <v>955</v>
      </c>
      <c r="I235" t="s">
        <v>108</v>
      </c>
      <c r="J235" t="s">
        <v>108</v>
      </c>
      <c r="K235" t="s">
        <v>107</v>
      </c>
      <c r="L235" t="s">
        <v>108</v>
      </c>
      <c r="O235"/>
      <c r="R235" t="str">
        <f t="shared" si="62"/>
        <v>A0233</v>
      </c>
      <c r="S235" t="s">
        <v>734</v>
      </c>
    </row>
    <row r="236" spans="1:19" x14ac:dyDescent="0.3">
      <c r="A236" s="85">
        <f t="shared" si="63"/>
        <v>234</v>
      </c>
      <c r="B236" s="32" t="s">
        <v>206</v>
      </c>
      <c r="C236" s="245">
        <v>20</v>
      </c>
      <c r="D236" s="245">
        <v>18</v>
      </c>
      <c r="E236" s="245">
        <v>17</v>
      </c>
      <c r="F236" t="s">
        <v>91</v>
      </c>
      <c r="G236" t="s">
        <v>106</v>
      </c>
      <c r="H236" t="s">
        <v>955</v>
      </c>
      <c r="I236" t="s">
        <v>108</v>
      </c>
      <c r="J236" t="s">
        <v>108</v>
      </c>
      <c r="K236" t="s">
        <v>107</v>
      </c>
      <c r="L236" t="s">
        <v>108</v>
      </c>
      <c r="O236"/>
      <c r="R236" t="str">
        <f t="shared" si="62"/>
        <v>A0234</v>
      </c>
      <c r="S236" t="s">
        <v>735</v>
      </c>
    </row>
    <row r="237" spans="1:19" x14ac:dyDescent="0.3">
      <c r="A237" s="85">
        <f t="shared" si="63"/>
        <v>235</v>
      </c>
      <c r="B237" s="32" t="s">
        <v>205</v>
      </c>
      <c r="C237" s="246">
        <v>21</v>
      </c>
      <c r="D237" s="246">
        <v>19</v>
      </c>
      <c r="E237" s="245">
        <v>18</v>
      </c>
      <c r="F237" t="s">
        <v>91</v>
      </c>
      <c r="G237" t="s">
        <v>106</v>
      </c>
      <c r="H237" t="s">
        <v>955</v>
      </c>
      <c r="I237" t="s">
        <v>108</v>
      </c>
      <c r="J237" t="s">
        <v>108</v>
      </c>
      <c r="K237" t="s">
        <v>107</v>
      </c>
      <c r="L237" t="s">
        <v>108</v>
      </c>
      <c r="O237"/>
      <c r="R237" t="str">
        <f t="shared" si="62"/>
        <v>A0235</v>
      </c>
      <c r="S237" t="s">
        <v>736</v>
      </c>
    </row>
    <row r="238" spans="1:19" x14ac:dyDescent="0.3">
      <c r="A238" s="85">
        <f t="shared" si="63"/>
        <v>236</v>
      </c>
      <c r="B238" s="32" t="s">
        <v>204</v>
      </c>
      <c r="C238" s="245">
        <v>22</v>
      </c>
      <c r="D238" s="245">
        <v>18</v>
      </c>
      <c r="E238" s="245">
        <v>17</v>
      </c>
      <c r="F238" t="s">
        <v>91</v>
      </c>
      <c r="G238" t="s">
        <v>106</v>
      </c>
      <c r="H238" t="s">
        <v>955</v>
      </c>
      <c r="I238" t="s">
        <v>108</v>
      </c>
      <c r="J238" t="s">
        <v>108</v>
      </c>
      <c r="K238" t="s">
        <v>107</v>
      </c>
      <c r="L238" t="s">
        <v>108</v>
      </c>
      <c r="O238"/>
      <c r="R238" t="str">
        <f t="shared" si="62"/>
        <v>A0236</v>
      </c>
      <c r="S238" t="s">
        <v>737</v>
      </c>
    </row>
    <row r="239" spans="1:19" x14ac:dyDescent="0.3">
      <c r="A239" s="59">
        <f t="shared" si="63"/>
        <v>237</v>
      </c>
      <c r="B239" s="29" t="s">
        <v>358</v>
      </c>
      <c r="C239" s="219">
        <f>+D239+2</f>
        <v>13</v>
      </c>
      <c r="D239" s="219">
        <f>+E239+1</f>
        <v>11</v>
      </c>
      <c r="E239" s="219">
        <v>10</v>
      </c>
      <c r="F239" t="s">
        <v>76</v>
      </c>
      <c r="G239" t="s">
        <v>347</v>
      </c>
      <c r="H239" t="s">
        <v>955</v>
      </c>
      <c r="I239" t="s">
        <v>107</v>
      </c>
      <c r="J239" t="s">
        <v>108</v>
      </c>
      <c r="K239" t="s">
        <v>108</v>
      </c>
      <c r="L239" t="s">
        <v>108</v>
      </c>
      <c r="M239" s="33" t="s">
        <v>19</v>
      </c>
      <c r="N239" s="33" t="s">
        <v>101</v>
      </c>
      <c r="O239" s="44">
        <f>ROUND(VLOOKUP(N239,[1]INDICE!$A$5:$D$424,4,FALSE),2)</f>
        <v>7.89</v>
      </c>
      <c r="R239" t="str">
        <f t="shared" si="62"/>
        <v>A0237</v>
      </c>
      <c r="S239" t="s">
        <v>738</v>
      </c>
    </row>
    <row r="240" spans="1:19" x14ac:dyDescent="0.3">
      <c r="A240" s="57">
        <f t="shared" si="63"/>
        <v>238</v>
      </c>
      <c r="B240" s="53" t="s">
        <v>25</v>
      </c>
      <c r="C240" s="247">
        <f>+D240+2</f>
        <v>51</v>
      </c>
      <c r="D240" s="247">
        <f>+E240+1</f>
        <v>49</v>
      </c>
      <c r="E240" s="247">
        <v>48</v>
      </c>
      <c r="F240" t="s">
        <v>89</v>
      </c>
      <c r="G240" t="s">
        <v>112</v>
      </c>
      <c r="H240" t="s">
        <v>955</v>
      </c>
      <c r="I240" t="s">
        <v>107</v>
      </c>
      <c r="J240" t="s">
        <v>108</v>
      </c>
      <c r="K240" t="s">
        <v>108</v>
      </c>
      <c r="L240" t="s">
        <v>108</v>
      </c>
      <c r="M240" s="33" t="s">
        <v>19</v>
      </c>
      <c r="O240"/>
      <c r="R240" t="str">
        <f t="shared" si="62"/>
        <v>A0238</v>
      </c>
      <c r="S240" t="s">
        <v>739</v>
      </c>
    </row>
    <row r="241" spans="1:19" x14ac:dyDescent="0.3">
      <c r="A241" s="146">
        <f t="shared" si="63"/>
        <v>239</v>
      </c>
      <c r="B241" s="147" t="s">
        <v>61</v>
      </c>
      <c r="C241" s="127">
        <f>+D241+2</f>
        <v>50</v>
      </c>
      <c r="D241" s="127">
        <f>+E241+1</f>
        <v>48</v>
      </c>
      <c r="E241" s="127">
        <f>+E240-1</f>
        <v>47</v>
      </c>
      <c r="F241" t="s">
        <v>89</v>
      </c>
      <c r="G241" t="s">
        <v>112</v>
      </c>
      <c r="H241" t="s">
        <v>113</v>
      </c>
      <c r="I241" t="s">
        <v>107</v>
      </c>
      <c r="J241" t="s">
        <v>108</v>
      </c>
      <c r="K241" t="s">
        <v>108</v>
      </c>
      <c r="L241" t="s">
        <v>108</v>
      </c>
      <c r="O241"/>
      <c r="R241" t="str">
        <f t="shared" si="62"/>
        <v>A0239</v>
      </c>
      <c r="S241" t="s">
        <v>740</v>
      </c>
    </row>
    <row r="242" spans="1:19" x14ac:dyDescent="0.3">
      <c r="A242" s="57">
        <f t="shared" si="63"/>
        <v>240</v>
      </c>
      <c r="B242" s="53" t="s">
        <v>26</v>
      </c>
      <c r="C242" s="247">
        <f>+D242+2</f>
        <v>54</v>
      </c>
      <c r="D242" s="247">
        <f>+E242+1</f>
        <v>52</v>
      </c>
      <c r="E242" s="247">
        <f>+$E$240+3</f>
        <v>51</v>
      </c>
      <c r="F242" t="s">
        <v>89</v>
      </c>
      <c r="G242" t="s">
        <v>112</v>
      </c>
      <c r="H242" t="s">
        <v>955</v>
      </c>
      <c r="I242" t="s">
        <v>107</v>
      </c>
      <c r="J242" t="s">
        <v>108</v>
      </c>
      <c r="K242" t="s">
        <v>108</v>
      </c>
      <c r="L242" t="s">
        <v>108</v>
      </c>
      <c r="O242"/>
      <c r="R242" t="str">
        <f t="shared" si="62"/>
        <v>A0240</v>
      </c>
      <c r="S242" t="s">
        <v>741</v>
      </c>
    </row>
    <row r="243" spans="1:19" x14ac:dyDescent="0.3">
      <c r="A243" s="57">
        <f t="shared" si="63"/>
        <v>241</v>
      </c>
      <c r="B243" s="53" t="s">
        <v>27</v>
      </c>
      <c r="C243" s="247">
        <f>+D243+2</f>
        <v>57</v>
      </c>
      <c r="D243" s="247">
        <f>+E243+1</f>
        <v>55</v>
      </c>
      <c r="E243" s="247">
        <f>+E242+3</f>
        <v>54</v>
      </c>
      <c r="F243" t="s">
        <v>89</v>
      </c>
      <c r="G243" t="s">
        <v>112</v>
      </c>
      <c r="H243" t="s">
        <v>955</v>
      </c>
      <c r="I243" t="s">
        <v>107</v>
      </c>
      <c r="J243" t="s">
        <v>108</v>
      </c>
      <c r="K243" t="s">
        <v>108</v>
      </c>
      <c r="L243" t="s">
        <v>108</v>
      </c>
      <c r="O243"/>
      <c r="R243" t="str">
        <f t="shared" si="62"/>
        <v>A0241</v>
      </c>
      <c r="S243" t="s">
        <v>742</v>
      </c>
    </row>
    <row r="244" spans="1:19" x14ac:dyDescent="0.3">
      <c r="A244" s="57">
        <f t="shared" si="63"/>
        <v>242</v>
      </c>
      <c r="B244" s="53" t="s">
        <v>28</v>
      </c>
      <c r="C244" s="247">
        <f t="shared" ref="C244:C251" si="75">+D244+2</f>
        <v>60</v>
      </c>
      <c r="D244" s="247">
        <f t="shared" ref="D244:D251" si="76">+E244+1</f>
        <v>58</v>
      </c>
      <c r="E244" s="247">
        <f t="shared" ref="E244:E249" si="77">+E243+3</f>
        <v>57</v>
      </c>
      <c r="F244" t="s">
        <v>89</v>
      </c>
      <c r="G244" t="s">
        <v>112</v>
      </c>
      <c r="H244" t="s">
        <v>955</v>
      </c>
      <c r="I244" t="s">
        <v>107</v>
      </c>
      <c r="J244" t="s">
        <v>108</v>
      </c>
      <c r="K244" t="s">
        <v>108</v>
      </c>
      <c r="L244" t="s">
        <v>108</v>
      </c>
      <c r="O244"/>
      <c r="R244" t="str">
        <f t="shared" si="62"/>
        <v>A0242</v>
      </c>
      <c r="S244" t="s">
        <v>743</v>
      </c>
    </row>
    <row r="245" spans="1:19" x14ac:dyDescent="0.3">
      <c r="A245" s="57">
        <f t="shared" si="63"/>
        <v>243</v>
      </c>
      <c r="B245" s="53" t="s">
        <v>29</v>
      </c>
      <c r="C245" s="247">
        <f t="shared" si="75"/>
        <v>63</v>
      </c>
      <c r="D245" s="247">
        <f t="shared" si="76"/>
        <v>61</v>
      </c>
      <c r="E245" s="247">
        <f t="shared" si="77"/>
        <v>60</v>
      </c>
      <c r="F245" t="s">
        <v>89</v>
      </c>
      <c r="G245" t="s">
        <v>112</v>
      </c>
      <c r="H245" t="s">
        <v>955</v>
      </c>
      <c r="I245" t="s">
        <v>107</v>
      </c>
      <c r="J245" t="s">
        <v>108</v>
      </c>
      <c r="K245" t="s">
        <v>108</v>
      </c>
      <c r="L245" t="s">
        <v>108</v>
      </c>
      <c r="O245"/>
      <c r="R245" t="str">
        <f t="shared" si="62"/>
        <v>A0243</v>
      </c>
      <c r="S245" t="s">
        <v>744</v>
      </c>
    </row>
    <row r="246" spans="1:19" x14ac:dyDescent="0.3">
      <c r="A246" s="57">
        <f t="shared" si="63"/>
        <v>244</v>
      </c>
      <c r="B246" s="53" t="s">
        <v>30</v>
      </c>
      <c r="C246" s="247">
        <f t="shared" si="75"/>
        <v>66</v>
      </c>
      <c r="D246" s="247">
        <f t="shared" si="76"/>
        <v>64</v>
      </c>
      <c r="E246" s="247">
        <f t="shared" si="77"/>
        <v>63</v>
      </c>
      <c r="F246" t="s">
        <v>89</v>
      </c>
      <c r="G246" t="s">
        <v>112</v>
      </c>
      <c r="H246" t="s">
        <v>955</v>
      </c>
      <c r="I246" t="s">
        <v>107</v>
      </c>
      <c r="J246" t="s">
        <v>108</v>
      </c>
      <c r="K246" t="s">
        <v>108</v>
      </c>
      <c r="L246" t="s">
        <v>108</v>
      </c>
      <c r="O246"/>
      <c r="R246" t="str">
        <f t="shared" si="62"/>
        <v>A0244</v>
      </c>
      <c r="S246" t="s">
        <v>745</v>
      </c>
    </row>
    <row r="247" spans="1:19" x14ac:dyDescent="0.3">
      <c r="A247" s="57">
        <f t="shared" si="63"/>
        <v>245</v>
      </c>
      <c r="B247" s="53" t="s">
        <v>31</v>
      </c>
      <c r="C247" s="247">
        <f t="shared" si="75"/>
        <v>69</v>
      </c>
      <c r="D247" s="247">
        <f t="shared" si="76"/>
        <v>67</v>
      </c>
      <c r="E247" s="247">
        <f t="shared" si="77"/>
        <v>66</v>
      </c>
      <c r="F247" t="s">
        <v>89</v>
      </c>
      <c r="G247" t="s">
        <v>112</v>
      </c>
      <c r="H247" t="s">
        <v>955</v>
      </c>
      <c r="I247" t="s">
        <v>107</v>
      </c>
      <c r="J247" t="s">
        <v>108</v>
      </c>
      <c r="K247" t="s">
        <v>108</v>
      </c>
      <c r="L247" t="s">
        <v>108</v>
      </c>
      <c r="O247"/>
      <c r="R247" t="str">
        <f t="shared" si="62"/>
        <v>A0245</v>
      </c>
      <c r="S247" t="s">
        <v>746</v>
      </c>
    </row>
    <row r="248" spans="1:19" x14ac:dyDescent="0.3">
      <c r="A248" s="57">
        <f t="shared" si="63"/>
        <v>246</v>
      </c>
      <c r="B248" s="53" t="s">
        <v>32</v>
      </c>
      <c r="C248" s="247">
        <f t="shared" si="75"/>
        <v>72</v>
      </c>
      <c r="D248" s="247">
        <f t="shared" si="76"/>
        <v>70</v>
      </c>
      <c r="E248" s="247">
        <f t="shared" si="77"/>
        <v>69</v>
      </c>
      <c r="F248" t="s">
        <v>89</v>
      </c>
      <c r="G248" t="s">
        <v>112</v>
      </c>
      <c r="H248" t="s">
        <v>955</v>
      </c>
      <c r="I248" t="s">
        <v>107</v>
      </c>
      <c r="J248" t="s">
        <v>108</v>
      </c>
      <c r="K248" t="s">
        <v>108</v>
      </c>
      <c r="L248" t="s">
        <v>108</v>
      </c>
      <c r="O248"/>
      <c r="R248" t="str">
        <f t="shared" si="62"/>
        <v>A0246</v>
      </c>
      <c r="S248" t="s">
        <v>747</v>
      </c>
    </row>
    <row r="249" spans="1:19" x14ac:dyDescent="0.3">
      <c r="A249" s="57">
        <f t="shared" si="63"/>
        <v>247</v>
      </c>
      <c r="B249" s="53" t="s">
        <v>33</v>
      </c>
      <c r="C249" s="247">
        <f t="shared" si="75"/>
        <v>75</v>
      </c>
      <c r="D249" s="247">
        <f t="shared" si="76"/>
        <v>73</v>
      </c>
      <c r="E249" s="247">
        <f t="shared" si="77"/>
        <v>72</v>
      </c>
      <c r="F249" t="s">
        <v>89</v>
      </c>
      <c r="G249" t="s">
        <v>112</v>
      </c>
      <c r="H249" t="s">
        <v>955</v>
      </c>
      <c r="I249" t="s">
        <v>107</v>
      </c>
      <c r="J249" t="s">
        <v>108</v>
      </c>
      <c r="K249" t="s">
        <v>108</v>
      </c>
      <c r="L249" t="s">
        <v>108</v>
      </c>
      <c r="O249"/>
      <c r="R249" t="str">
        <f t="shared" si="62"/>
        <v>A0247</v>
      </c>
      <c r="S249" t="s">
        <v>748</v>
      </c>
    </row>
    <row r="250" spans="1:19" x14ac:dyDescent="0.3">
      <c r="A250" s="57">
        <f t="shared" si="63"/>
        <v>248</v>
      </c>
      <c r="B250" s="54" t="s">
        <v>62</v>
      </c>
      <c r="C250" s="226">
        <f t="shared" si="75"/>
        <v>49</v>
      </c>
      <c r="D250" s="226">
        <f t="shared" si="76"/>
        <v>47</v>
      </c>
      <c r="E250" s="226">
        <f>+E241-1</f>
        <v>46</v>
      </c>
      <c r="F250" t="s">
        <v>89</v>
      </c>
      <c r="G250" t="s">
        <v>112</v>
      </c>
      <c r="H250" t="s">
        <v>113</v>
      </c>
      <c r="I250" t="s">
        <v>107</v>
      </c>
      <c r="J250" t="s">
        <v>108</v>
      </c>
      <c r="K250" t="s">
        <v>108</v>
      </c>
      <c r="L250" t="s">
        <v>108</v>
      </c>
      <c r="O250"/>
      <c r="R250" t="str">
        <f t="shared" si="62"/>
        <v>A0248</v>
      </c>
      <c r="S250" t="s">
        <v>749</v>
      </c>
    </row>
    <row r="251" spans="1:19" x14ac:dyDescent="0.3">
      <c r="A251" s="57">
        <f t="shared" si="63"/>
        <v>249</v>
      </c>
      <c r="B251" s="54" t="s">
        <v>63</v>
      </c>
      <c r="C251" s="226">
        <f t="shared" si="75"/>
        <v>48</v>
      </c>
      <c r="D251" s="226">
        <f t="shared" si="76"/>
        <v>46</v>
      </c>
      <c r="E251" s="226">
        <f>+E250-1</f>
        <v>45</v>
      </c>
      <c r="F251" t="s">
        <v>89</v>
      </c>
      <c r="G251" t="s">
        <v>112</v>
      </c>
      <c r="H251" t="s">
        <v>113</v>
      </c>
      <c r="I251" t="s">
        <v>107</v>
      </c>
      <c r="J251" t="s">
        <v>108</v>
      </c>
      <c r="K251" t="s">
        <v>108</v>
      </c>
      <c r="L251" t="s">
        <v>108</v>
      </c>
      <c r="O251"/>
      <c r="R251" t="str">
        <f t="shared" si="62"/>
        <v>A0249</v>
      </c>
      <c r="S251" t="s">
        <v>750</v>
      </c>
    </row>
    <row r="252" spans="1:19" x14ac:dyDescent="0.3">
      <c r="A252" s="79">
        <f t="shared" si="63"/>
        <v>250</v>
      </c>
      <c r="B252" s="37" t="s">
        <v>48</v>
      </c>
      <c r="C252" s="240">
        <f>+D252+2</f>
        <v>20</v>
      </c>
      <c r="D252" s="240">
        <f>+E252+1</f>
        <v>18</v>
      </c>
      <c r="E252" s="240">
        <v>17</v>
      </c>
      <c r="F252" t="s">
        <v>78</v>
      </c>
      <c r="G252" t="s">
        <v>347</v>
      </c>
      <c r="H252" t="s">
        <v>955</v>
      </c>
      <c r="I252" t="s">
        <v>108</v>
      </c>
      <c r="J252" t="s">
        <v>108</v>
      </c>
      <c r="K252" t="s">
        <v>107</v>
      </c>
      <c r="L252" t="s">
        <v>108</v>
      </c>
      <c r="O252"/>
      <c r="R252" t="str">
        <f t="shared" si="62"/>
        <v>A0250</v>
      </c>
      <c r="S252" t="s">
        <v>751</v>
      </c>
    </row>
    <row r="253" spans="1:19" x14ac:dyDescent="0.3">
      <c r="A253" s="79">
        <f t="shared" si="63"/>
        <v>251</v>
      </c>
      <c r="B253" s="37" t="s">
        <v>64</v>
      </c>
      <c r="C253" s="240">
        <f>+D253+2</f>
        <v>21</v>
      </c>
      <c r="D253" s="240">
        <f>+E253+1</f>
        <v>19</v>
      </c>
      <c r="E253" s="240">
        <f>+E252+1</f>
        <v>18</v>
      </c>
      <c r="F253" t="s">
        <v>78</v>
      </c>
      <c r="G253" t="s">
        <v>347</v>
      </c>
      <c r="H253" t="s">
        <v>955</v>
      </c>
      <c r="I253" t="s">
        <v>108</v>
      </c>
      <c r="J253" t="s">
        <v>108</v>
      </c>
      <c r="K253" t="s">
        <v>107</v>
      </c>
      <c r="L253" t="s">
        <v>108</v>
      </c>
      <c r="O253"/>
      <c r="R253" t="str">
        <f t="shared" si="62"/>
        <v>A0251</v>
      </c>
      <c r="S253" t="s">
        <v>752</v>
      </c>
    </row>
    <row r="254" spans="1:19" x14ac:dyDescent="0.3">
      <c r="A254" s="79">
        <f t="shared" si="63"/>
        <v>252</v>
      </c>
      <c r="B254" s="37" t="s">
        <v>65</v>
      </c>
      <c r="C254" s="240">
        <f t="shared" ref="C254:C260" si="78">+D254+2</f>
        <v>22</v>
      </c>
      <c r="D254" s="240">
        <f t="shared" ref="D254:D260" si="79">+E254+1</f>
        <v>20</v>
      </c>
      <c r="E254" s="240">
        <f t="shared" ref="E254:E260" si="80">+E253+1</f>
        <v>19</v>
      </c>
      <c r="F254" t="s">
        <v>78</v>
      </c>
      <c r="G254" t="s">
        <v>347</v>
      </c>
      <c r="H254" t="s">
        <v>955</v>
      </c>
      <c r="I254" t="s">
        <v>108</v>
      </c>
      <c r="J254" t="s">
        <v>108</v>
      </c>
      <c r="K254" t="s">
        <v>107</v>
      </c>
      <c r="L254" t="s">
        <v>108</v>
      </c>
      <c r="O254"/>
      <c r="R254" t="str">
        <f t="shared" si="62"/>
        <v>A0252</v>
      </c>
      <c r="S254" t="s">
        <v>753</v>
      </c>
    </row>
    <row r="255" spans="1:19" x14ac:dyDescent="0.3">
      <c r="A255" s="79">
        <f t="shared" si="63"/>
        <v>253</v>
      </c>
      <c r="B255" s="37" t="s">
        <v>66</v>
      </c>
      <c r="C255" s="240">
        <f t="shared" si="78"/>
        <v>23</v>
      </c>
      <c r="D255" s="240">
        <f t="shared" si="79"/>
        <v>21</v>
      </c>
      <c r="E255" s="240">
        <f t="shared" si="80"/>
        <v>20</v>
      </c>
      <c r="F255" t="s">
        <v>78</v>
      </c>
      <c r="G255" t="s">
        <v>347</v>
      </c>
      <c r="H255" t="s">
        <v>955</v>
      </c>
      <c r="I255" t="s">
        <v>108</v>
      </c>
      <c r="J255" t="s">
        <v>108</v>
      </c>
      <c r="K255" t="s">
        <v>107</v>
      </c>
      <c r="L255" t="s">
        <v>108</v>
      </c>
      <c r="O255"/>
      <c r="R255" t="str">
        <f t="shared" si="62"/>
        <v>A0253</v>
      </c>
      <c r="S255" t="s">
        <v>754</v>
      </c>
    </row>
    <row r="256" spans="1:19" x14ac:dyDescent="0.3">
      <c r="A256" s="79">
        <f t="shared" si="63"/>
        <v>254</v>
      </c>
      <c r="B256" s="37" t="s">
        <v>67</v>
      </c>
      <c r="C256" s="240">
        <f t="shared" si="78"/>
        <v>24</v>
      </c>
      <c r="D256" s="240">
        <f t="shared" si="79"/>
        <v>22</v>
      </c>
      <c r="E256" s="240">
        <f t="shared" si="80"/>
        <v>21</v>
      </c>
      <c r="F256" t="s">
        <v>78</v>
      </c>
      <c r="G256" t="s">
        <v>347</v>
      </c>
      <c r="H256" t="s">
        <v>955</v>
      </c>
      <c r="I256" t="s">
        <v>108</v>
      </c>
      <c r="J256" t="s">
        <v>108</v>
      </c>
      <c r="K256" t="s">
        <v>107</v>
      </c>
      <c r="L256" t="s">
        <v>108</v>
      </c>
      <c r="O256"/>
      <c r="R256" t="str">
        <f t="shared" si="62"/>
        <v>A0254</v>
      </c>
      <c r="S256" t="s">
        <v>755</v>
      </c>
    </row>
    <row r="257" spans="1:19" x14ac:dyDescent="0.3">
      <c r="A257" s="79">
        <f t="shared" si="63"/>
        <v>255</v>
      </c>
      <c r="B257" s="37" t="s">
        <v>68</v>
      </c>
      <c r="C257" s="240">
        <f t="shared" si="78"/>
        <v>25</v>
      </c>
      <c r="D257" s="240">
        <f t="shared" si="79"/>
        <v>23</v>
      </c>
      <c r="E257" s="240">
        <f t="shared" si="80"/>
        <v>22</v>
      </c>
      <c r="F257" t="s">
        <v>78</v>
      </c>
      <c r="G257" t="s">
        <v>347</v>
      </c>
      <c r="H257" t="s">
        <v>955</v>
      </c>
      <c r="I257" t="s">
        <v>108</v>
      </c>
      <c r="J257" t="s">
        <v>108</v>
      </c>
      <c r="K257" t="s">
        <v>107</v>
      </c>
      <c r="L257" t="s">
        <v>108</v>
      </c>
      <c r="O257"/>
      <c r="R257" t="str">
        <f t="shared" si="62"/>
        <v>A0255</v>
      </c>
      <c r="S257" t="s">
        <v>756</v>
      </c>
    </row>
    <row r="258" spans="1:19" x14ac:dyDescent="0.3">
      <c r="A258" s="79">
        <f t="shared" si="63"/>
        <v>256</v>
      </c>
      <c r="B258" s="37" t="s">
        <v>69</v>
      </c>
      <c r="C258" s="240">
        <f t="shared" si="78"/>
        <v>26</v>
      </c>
      <c r="D258" s="240">
        <f t="shared" si="79"/>
        <v>24</v>
      </c>
      <c r="E258" s="240">
        <f t="shared" si="80"/>
        <v>23</v>
      </c>
      <c r="F258" t="s">
        <v>78</v>
      </c>
      <c r="G258" t="s">
        <v>347</v>
      </c>
      <c r="H258" t="s">
        <v>955</v>
      </c>
      <c r="I258" t="s">
        <v>108</v>
      </c>
      <c r="J258" t="s">
        <v>108</v>
      </c>
      <c r="K258" t="s">
        <v>107</v>
      </c>
      <c r="L258" t="s">
        <v>108</v>
      </c>
      <c r="O258"/>
      <c r="R258" t="str">
        <f t="shared" si="62"/>
        <v>A0256</v>
      </c>
      <c r="S258" t="s">
        <v>757</v>
      </c>
    </row>
    <row r="259" spans="1:19" x14ac:dyDescent="0.3">
      <c r="A259" s="79">
        <f t="shared" si="63"/>
        <v>257</v>
      </c>
      <c r="B259" s="37" t="s">
        <v>70</v>
      </c>
      <c r="C259" s="240">
        <f t="shared" si="78"/>
        <v>27</v>
      </c>
      <c r="D259" s="240">
        <f t="shared" si="79"/>
        <v>25</v>
      </c>
      <c r="E259" s="240">
        <f t="shared" si="80"/>
        <v>24</v>
      </c>
      <c r="F259" t="s">
        <v>78</v>
      </c>
      <c r="G259" t="s">
        <v>347</v>
      </c>
      <c r="H259" t="s">
        <v>955</v>
      </c>
      <c r="I259" t="s">
        <v>108</v>
      </c>
      <c r="J259" t="s">
        <v>108</v>
      </c>
      <c r="K259" t="s">
        <v>107</v>
      </c>
      <c r="L259" t="s">
        <v>108</v>
      </c>
      <c r="O259"/>
      <c r="R259" t="str">
        <f t="shared" si="62"/>
        <v>A0257</v>
      </c>
      <c r="S259" t="s">
        <v>758</v>
      </c>
    </row>
    <row r="260" spans="1:19" x14ac:dyDescent="0.3">
      <c r="A260" s="79">
        <f t="shared" si="63"/>
        <v>258</v>
      </c>
      <c r="B260" s="37" t="s">
        <v>71</v>
      </c>
      <c r="C260" s="240">
        <f t="shared" si="78"/>
        <v>28</v>
      </c>
      <c r="D260" s="240">
        <f t="shared" si="79"/>
        <v>26</v>
      </c>
      <c r="E260" s="240">
        <f t="shared" si="80"/>
        <v>25</v>
      </c>
      <c r="F260" t="s">
        <v>78</v>
      </c>
      <c r="G260" t="s">
        <v>347</v>
      </c>
      <c r="H260" t="s">
        <v>955</v>
      </c>
      <c r="I260" t="s">
        <v>108</v>
      </c>
      <c r="J260" t="s">
        <v>108</v>
      </c>
      <c r="K260" t="s">
        <v>107</v>
      </c>
      <c r="L260" t="s">
        <v>108</v>
      </c>
      <c r="O260"/>
      <c r="R260" t="str">
        <f t="shared" ref="R260:R323" si="81">+TEXT(A260,"A000#")</f>
        <v>A0258</v>
      </c>
      <c r="S260" t="s">
        <v>759</v>
      </c>
    </row>
    <row r="261" spans="1:19" x14ac:dyDescent="0.3">
      <c r="A261" s="82">
        <f t="shared" ref="A261:A262" si="82">+A260+1</f>
        <v>259</v>
      </c>
      <c r="B261" s="21" t="s">
        <v>252</v>
      </c>
      <c r="C261" s="244">
        <f>+D261+2</f>
        <v>24</v>
      </c>
      <c r="D261" s="244">
        <f>+E261+1</f>
        <v>22</v>
      </c>
      <c r="E261" s="244">
        <f>+E231+1</f>
        <v>21</v>
      </c>
      <c r="F261" t="s">
        <v>91</v>
      </c>
      <c r="G261" t="s">
        <v>106</v>
      </c>
      <c r="H261" t="s">
        <v>955</v>
      </c>
      <c r="I261" t="s">
        <v>108</v>
      </c>
      <c r="J261" t="s">
        <v>108</v>
      </c>
      <c r="K261" t="s">
        <v>108</v>
      </c>
      <c r="L261" t="s">
        <v>107</v>
      </c>
      <c r="O261"/>
      <c r="R261" t="str">
        <f t="shared" si="81"/>
        <v>A0259</v>
      </c>
      <c r="S261" t="s">
        <v>760</v>
      </c>
    </row>
    <row r="262" spans="1:19" x14ac:dyDescent="0.3">
      <c r="A262" s="82">
        <f t="shared" si="82"/>
        <v>260</v>
      </c>
      <c r="B262" s="21" t="s">
        <v>253</v>
      </c>
      <c r="C262" s="244">
        <f>+D262+2</f>
        <v>25</v>
      </c>
      <c r="D262" s="244">
        <f>+E262+1</f>
        <v>23</v>
      </c>
      <c r="E262" s="244">
        <f>+E261+1</f>
        <v>22</v>
      </c>
      <c r="F262" t="s">
        <v>91</v>
      </c>
      <c r="G262" t="s">
        <v>106</v>
      </c>
      <c r="H262" t="s">
        <v>955</v>
      </c>
      <c r="I262" t="s">
        <v>108</v>
      </c>
      <c r="J262" t="s">
        <v>108</v>
      </c>
      <c r="K262" t="s">
        <v>108</v>
      </c>
      <c r="L262" t="s">
        <v>107</v>
      </c>
      <c r="R262" t="str">
        <f t="shared" si="81"/>
        <v>A0260</v>
      </c>
      <c r="S262" t="s">
        <v>761</v>
      </c>
    </row>
    <row r="263" spans="1:19" x14ac:dyDescent="0.3">
      <c r="A263" s="84">
        <f>+A262+1</f>
        <v>261</v>
      </c>
      <c r="B263" s="56" t="s">
        <v>40</v>
      </c>
      <c r="C263" s="232">
        <f>+D263+2</f>
        <v>9</v>
      </c>
      <c r="D263" s="232">
        <f>+E263+1</f>
        <v>7</v>
      </c>
      <c r="E263" s="232">
        <f>+E166+1</f>
        <v>6</v>
      </c>
      <c r="F263" t="s">
        <v>80</v>
      </c>
      <c r="G263" t="s">
        <v>118</v>
      </c>
      <c r="H263" t="s">
        <v>955</v>
      </c>
      <c r="I263" t="s">
        <v>108</v>
      </c>
      <c r="J263" t="s">
        <v>107</v>
      </c>
      <c r="K263" t="s">
        <v>108</v>
      </c>
      <c r="L263" t="s">
        <v>108</v>
      </c>
      <c r="O263" s="33"/>
      <c r="R263" t="str">
        <f t="shared" si="81"/>
        <v>A0261</v>
      </c>
      <c r="S263" t="s">
        <v>762</v>
      </c>
    </row>
    <row r="264" spans="1:19" x14ac:dyDescent="0.3">
      <c r="A264" s="84">
        <f t="shared" ref="A264:A326" si="83">+A263+1</f>
        <v>262</v>
      </c>
      <c r="B264" s="56" t="s">
        <v>39</v>
      </c>
      <c r="C264" s="232">
        <f>+D264+2</f>
        <v>8</v>
      </c>
      <c r="D264" s="232">
        <f>+E264+1</f>
        <v>6</v>
      </c>
      <c r="E264" s="232">
        <f>+E265-1</f>
        <v>5</v>
      </c>
      <c r="F264" t="s">
        <v>80</v>
      </c>
      <c r="G264" t="s">
        <v>118</v>
      </c>
      <c r="H264" t="s">
        <v>113</v>
      </c>
      <c r="I264" t="s">
        <v>108</v>
      </c>
      <c r="J264" t="s">
        <v>107</v>
      </c>
      <c r="K264" t="s">
        <v>108</v>
      </c>
      <c r="L264" t="s">
        <v>108</v>
      </c>
      <c r="M264" s="33" t="s">
        <v>19</v>
      </c>
      <c r="N264" s="33" t="s">
        <v>36</v>
      </c>
      <c r="O264" s="44">
        <f>ROUND(VLOOKUP(N264,[1]INDICE!$A$5:$D$424,4,FALSE),2)</f>
        <v>5.81</v>
      </c>
      <c r="R264" t="str">
        <f t="shared" si="81"/>
        <v>A0262</v>
      </c>
      <c r="S264" t="s">
        <v>763</v>
      </c>
    </row>
    <row r="265" spans="1:19" x14ac:dyDescent="0.3">
      <c r="A265" s="84">
        <f t="shared" si="83"/>
        <v>263</v>
      </c>
      <c r="B265" s="56" t="s">
        <v>37</v>
      </c>
      <c r="C265" s="232">
        <f>+D265+2</f>
        <v>9</v>
      </c>
      <c r="D265" s="232">
        <f>+E265+1</f>
        <v>7</v>
      </c>
      <c r="E265" s="232">
        <f>+E263</f>
        <v>6</v>
      </c>
      <c r="F265" t="s">
        <v>80</v>
      </c>
      <c r="G265" t="s">
        <v>118</v>
      </c>
      <c r="H265" t="s">
        <v>955</v>
      </c>
      <c r="I265" t="s">
        <v>108</v>
      </c>
      <c r="J265" t="s">
        <v>107</v>
      </c>
      <c r="K265" t="s">
        <v>108</v>
      </c>
      <c r="L265" t="s">
        <v>108</v>
      </c>
      <c r="O265" s="35"/>
      <c r="R265" t="str">
        <f t="shared" si="81"/>
        <v>A0263</v>
      </c>
      <c r="S265" t="s">
        <v>764</v>
      </c>
    </row>
    <row r="266" spans="1:19" x14ac:dyDescent="0.3">
      <c r="A266" s="85">
        <f t="shared" si="83"/>
        <v>264</v>
      </c>
      <c r="B266" s="32" t="s">
        <v>203</v>
      </c>
      <c r="C266" s="245">
        <v>22</v>
      </c>
      <c r="D266" s="245">
        <v>18</v>
      </c>
      <c r="E266" s="245">
        <v>17</v>
      </c>
      <c r="F266" t="s">
        <v>91</v>
      </c>
      <c r="G266" t="s">
        <v>106</v>
      </c>
      <c r="H266" t="s">
        <v>955</v>
      </c>
      <c r="I266" t="s">
        <v>108</v>
      </c>
      <c r="J266" t="s">
        <v>108</v>
      </c>
      <c r="K266" t="s">
        <v>107</v>
      </c>
      <c r="L266" t="s">
        <v>108</v>
      </c>
      <c r="O266" s="35"/>
      <c r="R266" t="str">
        <f t="shared" si="81"/>
        <v>A0264</v>
      </c>
      <c r="S266" t="s">
        <v>765</v>
      </c>
    </row>
    <row r="267" spans="1:19" x14ac:dyDescent="0.3">
      <c r="A267" s="85">
        <f t="shared" si="83"/>
        <v>265</v>
      </c>
      <c r="B267" s="32" t="s">
        <v>202</v>
      </c>
      <c r="C267" s="245">
        <v>22</v>
      </c>
      <c r="D267" s="245">
        <v>18</v>
      </c>
      <c r="E267" s="245">
        <v>17</v>
      </c>
      <c r="F267" t="s">
        <v>91</v>
      </c>
      <c r="G267" t="s">
        <v>106</v>
      </c>
      <c r="H267" t="s">
        <v>955</v>
      </c>
      <c r="I267" t="s">
        <v>108</v>
      </c>
      <c r="J267" t="s">
        <v>108</v>
      </c>
      <c r="K267" t="s">
        <v>107</v>
      </c>
      <c r="L267" t="s">
        <v>108</v>
      </c>
      <c r="O267" s="35"/>
      <c r="R267" t="str">
        <f t="shared" si="81"/>
        <v>A0265</v>
      </c>
      <c r="S267" t="s">
        <v>766</v>
      </c>
    </row>
    <row r="268" spans="1:19" x14ac:dyDescent="0.3">
      <c r="A268" s="66">
        <f t="shared" si="83"/>
        <v>266</v>
      </c>
      <c r="B268" s="52" t="s">
        <v>201</v>
      </c>
      <c r="C268" s="229">
        <f>+D268+2</f>
        <v>10</v>
      </c>
      <c r="D268" s="229">
        <f>+E268+1</f>
        <v>8</v>
      </c>
      <c r="E268" s="229">
        <f>+E269-1</f>
        <v>7</v>
      </c>
      <c r="F268" t="s">
        <v>91</v>
      </c>
      <c r="G268" t="s">
        <v>195</v>
      </c>
      <c r="H268" t="s">
        <v>113</v>
      </c>
      <c r="I268" t="s">
        <v>108</v>
      </c>
      <c r="J268" t="s">
        <v>108</v>
      </c>
      <c r="K268" t="s">
        <v>107</v>
      </c>
      <c r="L268" t="s">
        <v>108</v>
      </c>
      <c r="O268" s="35"/>
      <c r="R268" t="str">
        <f t="shared" si="81"/>
        <v>A0266</v>
      </c>
      <c r="S268" t="s">
        <v>767</v>
      </c>
    </row>
    <row r="269" spans="1:19" x14ac:dyDescent="0.3">
      <c r="A269" s="66">
        <f t="shared" si="83"/>
        <v>267</v>
      </c>
      <c r="B269" s="52" t="s">
        <v>200</v>
      </c>
      <c r="C269" s="229">
        <f>+D269+2</f>
        <v>11</v>
      </c>
      <c r="D269" s="229">
        <f>+E269+1</f>
        <v>9</v>
      </c>
      <c r="E269" s="229">
        <f>+E270-1</f>
        <v>8</v>
      </c>
      <c r="F269" t="s">
        <v>91</v>
      </c>
      <c r="G269" t="s">
        <v>195</v>
      </c>
      <c r="H269" t="s">
        <v>113</v>
      </c>
      <c r="I269" t="s">
        <v>108</v>
      </c>
      <c r="J269" t="s">
        <v>108</v>
      </c>
      <c r="K269" t="s">
        <v>107</v>
      </c>
      <c r="L269" t="s">
        <v>108</v>
      </c>
      <c r="O269" s="35"/>
      <c r="R269" t="str">
        <f t="shared" si="81"/>
        <v>A0267</v>
      </c>
      <c r="S269" t="s">
        <v>768</v>
      </c>
    </row>
    <row r="270" spans="1:19" x14ac:dyDescent="0.3">
      <c r="A270" s="66">
        <f t="shared" si="83"/>
        <v>268</v>
      </c>
      <c r="B270" s="52" t="s">
        <v>199</v>
      </c>
      <c r="C270" s="229">
        <f>+D270+2</f>
        <v>12</v>
      </c>
      <c r="D270" s="229">
        <f>+E270+1</f>
        <v>10</v>
      </c>
      <c r="E270" s="229">
        <f>+E232-1</f>
        <v>9</v>
      </c>
      <c r="F270" t="s">
        <v>91</v>
      </c>
      <c r="G270" t="s">
        <v>195</v>
      </c>
      <c r="H270" t="s">
        <v>115</v>
      </c>
      <c r="I270" t="s">
        <v>108</v>
      </c>
      <c r="J270" t="s">
        <v>108</v>
      </c>
      <c r="K270" t="s">
        <v>107</v>
      </c>
      <c r="L270" t="s">
        <v>108</v>
      </c>
      <c r="R270" t="str">
        <f t="shared" si="81"/>
        <v>A0268</v>
      </c>
      <c r="S270" t="s">
        <v>769</v>
      </c>
    </row>
    <row r="271" spans="1:19" x14ac:dyDescent="0.3">
      <c r="A271" s="86">
        <f t="shared" si="83"/>
        <v>269</v>
      </c>
      <c r="B271" s="48" t="s">
        <v>221</v>
      </c>
      <c r="C271" s="248">
        <f>+D271+2</f>
        <v>15</v>
      </c>
      <c r="D271" s="248">
        <f>+E271+1</f>
        <v>13</v>
      </c>
      <c r="E271" s="248">
        <v>12</v>
      </c>
      <c r="F271" t="s">
        <v>91</v>
      </c>
      <c r="G271" t="s">
        <v>106</v>
      </c>
      <c r="H271" t="s">
        <v>955</v>
      </c>
      <c r="I271" t="s">
        <v>108</v>
      </c>
      <c r="J271" t="s">
        <v>108</v>
      </c>
      <c r="K271" t="s">
        <v>108</v>
      </c>
      <c r="L271" t="s">
        <v>107</v>
      </c>
      <c r="M271" s="33" t="s">
        <v>19</v>
      </c>
      <c r="N271" s="33" t="s">
        <v>59</v>
      </c>
      <c r="O271" s="44">
        <f>ROUND(VLOOKUP(N271,[1]INDICE!$A$5:$D$424,4,FALSE),2)</f>
        <v>11.55</v>
      </c>
      <c r="R271" t="str">
        <f t="shared" si="81"/>
        <v>A0269</v>
      </c>
      <c r="S271" t="s">
        <v>770</v>
      </c>
    </row>
    <row r="272" spans="1:19" x14ac:dyDescent="0.3">
      <c r="A272" s="86">
        <f t="shared" si="83"/>
        <v>270</v>
      </c>
      <c r="B272" s="48" t="s">
        <v>222</v>
      </c>
      <c r="C272" s="248">
        <f t="shared" ref="C272:C279" si="84">+D272+2</f>
        <v>16</v>
      </c>
      <c r="D272" s="248">
        <f t="shared" ref="D272:D281" si="85">+E272+1</f>
        <v>14</v>
      </c>
      <c r="E272" s="248">
        <f>+E271+1</f>
        <v>13</v>
      </c>
      <c r="F272" t="s">
        <v>91</v>
      </c>
      <c r="G272" t="s">
        <v>106</v>
      </c>
      <c r="H272" t="s">
        <v>955</v>
      </c>
      <c r="I272" t="s">
        <v>108</v>
      </c>
      <c r="J272" t="s">
        <v>108</v>
      </c>
      <c r="K272" t="s">
        <v>108</v>
      </c>
      <c r="L272" t="s">
        <v>107</v>
      </c>
      <c r="R272" t="str">
        <f t="shared" si="81"/>
        <v>A0270</v>
      </c>
      <c r="S272" t="s">
        <v>771</v>
      </c>
    </row>
    <row r="273" spans="1:19" x14ac:dyDescent="0.3">
      <c r="A273" s="86">
        <f t="shared" si="83"/>
        <v>271</v>
      </c>
      <c r="B273" s="48" t="s">
        <v>223</v>
      </c>
      <c r="C273" s="248">
        <f t="shared" si="84"/>
        <v>17</v>
      </c>
      <c r="D273" s="248">
        <f t="shared" si="85"/>
        <v>15</v>
      </c>
      <c r="E273" s="248">
        <f t="shared" ref="E273:E279" si="86">+E272+1</f>
        <v>14</v>
      </c>
      <c r="F273" t="s">
        <v>91</v>
      </c>
      <c r="G273" t="s">
        <v>106</v>
      </c>
      <c r="H273" t="s">
        <v>955</v>
      </c>
      <c r="I273" t="s">
        <v>108</v>
      </c>
      <c r="J273" t="s">
        <v>108</v>
      </c>
      <c r="K273" t="s">
        <v>108</v>
      </c>
      <c r="L273" t="s">
        <v>107</v>
      </c>
      <c r="R273" t="str">
        <f t="shared" si="81"/>
        <v>A0271</v>
      </c>
      <c r="S273" t="s">
        <v>772</v>
      </c>
    </row>
    <row r="274" spans="1:19" x14ac:dyDescent="0.3">
      <c r="A274" s="86">
        <f t="shared" si="83"/>
        <v>272</v>
      </c>
      <c r="B274" s="48" t="s">
        <v>224</v>
      </c>
      <c r="C274" s="248">
        <f t="shared" si="84"/>
        <v>18</v>
      </c>
      <c r="D274" s="248">
        <f t="shared" si="85"/>
        <v>16</v>
      </c>
      <c r="E274" s="248">
        <f t="shared" si="86"/>
        <v>15</v>
      </c>
      <c r="F274" t="s">
        <v>91</v>
      </c>
      <c r="G274" t="s">
        <v>106</v>
      </c>
      <c r="H274" t="s">
        <v>955</v>
      </c>
      <c r="I274" t="s">
        <v>108</v>
      </c>
      <c r="J274" t="s">
        <v>108</v>
      </c>
      <c r="K274" t="s">
        <v>108</v>
      </c>
      <c r="L274" t="s">
        <v>107</v>
      </c>
      <c r="R274" t="str">
        <f t="shared" si="81"/>
        <v>A0272</v>
      </c>
      <c r="S274" t="s">
        <v>773</v>
      </c>
    </row>
    <row r="275" spans="1:19" x14ac:dyDescent="0.3">
      <c r="A275" s="86">
        <f t="shared" si="83"/>
        <v>273</v>
      </c>
      <c r="B275" s="48" t="s">
        <v>225</v>
      </c>
      <c r="C275" s="248">
        <f t="shared" si="84"/>
        <v>19</v>
      </c>
      <c r="D275" s="248">
        <f t="shared" si="85"/>
        <v>17</v>
      </c>
      <c r="E275" s="248">
        <f t="shared" si="86"/>
        <v>16</v>
      </c>
      <c r="F275" t="s">
        <v>91</v>
      </c>
      <c r="G275" t="s">
        <v>106</v>
      </c>
      <c r="H275" t="s">
        <v>955</v>
      </c>
      <c r="I275" t="s">
        <v>108</v>
      </c>
      <c r="J275" t="s">
        <v>108</v>
      </c>
      <c r="K275" t="s">
        <v>108</v>
      </c>
      <c r="L275" t="s">
        <v>107</v>
      </c>
      <c r="R275" t="str">
        <f t="shared" si="81"/>
        <v>A0273</v>
      </c>
      <c r="S275" t="s">
        <v>774</v>
      </c>
    </row>
    <row r="276" spans="1:19" x14ac:dyDescent="0.3">
      <c r="A276" s="86">
        <f t="shared" si="83"/>
        <v>274</v>
      </c>
      <c r="B276" s="48" t="s">
        <v>226</v>
      </c>
      <c r="C276" s="248">
        <f t="shared" si="84"/>
        <v>20</v>
      </c>
      <c r="D276" s="248">
        <f t="shared" si="85"/>
        <v>18</v>
      </c>
      <c r="E276" s="248">
        <f t="shared" si="86"/>
        <v>17</v>
      </c>
      <c r="F276" t="s">
        <v>91</v>
      </c>
      <c r="G276" t="s">
        <v>106</v>
      </c>
      <c r="H276" t="s">
        <v>955</v>
      </c>
      <c r="I276" t="s">
        <v>108</v>
      </c>
      <c r="J276" t="s">
        <v>108</v>
      </c>
      <c r="K276" t="s">
        <v>108</v>
      </c>
      <c r="L276" t="s">
        <v>107</v>
      </c>
      <c r="R276" t="str">
        <f t="shared" si="81"/>
        <v>A0274</v>
      </c>
      <c r="S276" t="s">
        <v>775</v>
      </c>
    </row>
    <row r="277" spans="1:19" x14ac:dyDescent="0.3">
      <c r="A277" s="86">
        <f t="shared" si="83"/>
        <v>275</v>
      </c>
      <c r="B277" s="48" t="s">
        <v>227</v>
      </c>
      <c r="C277" s="248">
        <f t="shared" si="84"/>
        <v>21</v>
      </c>
      <c r="D277" s="248">
        <f t="shared" si="85"/>
        <v>19</v>
      </c>
      <c r="E277" s="248">
        <f t="shared" si="86"/>
        <v>18</v>
      </c>
      <c r="F277" t="s">
        <v>91</v>
      </c>
      <c r="G277" t="s">
        <v>106</v>
      </c>
      <c r="H277" t="s">
        <v>955</v>
      </c>
      <c r="I277" t="s">
        <v>108</v>
      </c>
      <c r="J277" t="s">
        <v>108</v>
      </c>
      <c r="K277" t="s">
        <v>108</v>
      </c>
      <c r="L277" t="s">
        <v>107</v>
      </c>
      <c r="R277" t="str">
        <f t="shared" si="81"/>
        <v>A0275</v>
      </c>
      <c r="S277" t="s">
        <v>776</v>
      </c>
    </row>
    <row r="278" spans="1:19" x14ac:dyDescent="0.3">
      <c r="A278" s="86">
        <f t="shared" si="83"/>
        <v>276</v>
      </c>
      <c r="B278" s="48" t="s">
        <v>228</v>
      </c>
      <c r="C278" s="248">
        <f t="shared" si="84"/>
        <v>22</v>
      </c>
      <c r="D278" s="248">
        <f t="shared" si="85"/>
        <v>20</v>
      </c>
      <c r="E278" s="248">
        <f t="shared" si="86"/>
        <v>19</v>
      </c>
      <c r="F278" t="s">
        <v>91</v>
      </c>
      <c r="G278" t="s">
        <v>106</v>
      </c>
      <c r="H278" t="s">
        <v>955</v>
      </c>
      <c r="I278" t="s">
        <v>108</v>
      </c>
      <c r="J278" t="s">
        <v>108</v>
      </c>
      <c r="K278" t="s">
        <v>108</v>
      </c>
      <c r="L278" t="s">
        <v>107</v>
      </c>
      <c r="R278" t="str">
        <f t="shared" si="81"/>
        <v>A0276</v>
      </c>
      <c r="S278" t="s">
        <v>777</v>
      </c>
    </row>
    <row r="279" spans="1:19" x14ac:dyDescent="0.3">
      <c r="A279" s="86">
        <f t="shared" si="83"/>
        <v>277</v>
      </c>
      <c r="B279" s="48" t="s">
        <v>229</v>
      </c>
      <c r="C279" s="248">
        <f t="shared" si="84"/>
        <v>23</v>
      </c>
      <c r="D279" s="248">
        <f t="shared" si="85"/>
        <v>21</v>
      </c>
      <c r="E279" s="248">
        <f t="shared" si="86"/>
        <v>20</v>
      </c>
      <c r="F279" t="s">
        <v>91</v>
      </c>
      <c r="G279" t="s">
        <v>106</v>
      </c>
      <c r="H279" t="s">
        <v>955</v>
      </c>
      <c r="I279" t="s">
        <v>108</v>
      </c>
      <c r="J279" t="s">
        <v>108</v>
      </c>
      <c r="K279" t="s">
        <v>108</v>
      </c>
      <c r="L279" t="s">
        <v>107</v>
      </c>
      <c r="R279" t="str">
        <f t="shared" si="81"/>
        <v>A0277</v>
      </c>
      <c r="S279" t="s">
        <v>778</v>
      </c>
    </row>
    <row r="280" spans="1:19" x14ac:dyDescent="0.3">
      <c r="A280" s="69">
        <f t="shared" si="83"/>
        <v>278</v>
      </c>
      <c r="B280" s="50" t="s">
        <v>230</v>
      </c>
      <c r="C280" s="231">
        <f t="shared" ref="C280:C281" si="87">+E280+2</f>
        <v>11</v>
      </c>
      <c r="D280" s="231">
        <f t="shared" si="85"/>
        <v>10</v>
      </c>
      <c r="E280" s="231">
        <f>+E281-1</f>
        <v>9</v>
      </c>
      <c r="F280" t="s">
        <v>91</v>
      </c>
      <c r="G280" t="s">
        <v>106</v>
      </c>
      <c r="H280" t="s">
        <v>113</v>
      </c>
      <c r="I280" t="s">
        <v>108</v>
      </c>
      <c r="J280" t="s">
        <v>108</v>
      </c>
      <c r="K280" t="s">
        <v>108</v>
      </c>
      <c r="L280" t="s">
        <v>107</v>
      </c>
      <c r="R280" t="str">
        <f t="shared" si="81"/>
        <v>A0278</v>
      </c>
      <c r="S280" t="s">
        <v>779</v>
      </c>
    </row>
    <row r="281" spans="1:19" x14ac:dyDescent="0.3">
      <c r="A281" s="69">
        <f t="shared" si="83"/>
        <v>279</v>
      </c>
      <c r="B281" s="50" t="s">
        <v>231</v>
      </c>
      <c r="C281" s="231">
        <f t="shared" si="87"/>
        <v>12</v>
      </c>
      <c r="D281" s="231">
        <f t="shared" si="85"/>
        <v>11</v>
      </c>
      <c r="E281" s="231">
        <f>+E282-1</f>
        <v>10</v>
      </c>
      <c r="F281" t="s">
        <v>91</v>
      </c>
      <c r="G281" t="s">
        <v>106</v>
      </c>
      <c r="H281" t="s">
        <v>113</v>
      </c>
      <c r="I281" t="s">
        <v>108</v>
      </c>
      <c r="J281" t="s">
        <v>108</v>
      </c>
      <c r="K281" t="s">
        <v>108</v>
      </c>
      <c r="L281" t="s">
        <v>107</v>
      </c>
      <c r="R281" t="str">
        <f t="shared" si="81"/>
        <v>A0279</v>
      </c>
      <c r="S281" t="s">
        <v>780</v>
      </c>
    </row>
    <row r="282" spans="1:19" x14ac:dyDescent="0.3">
      <c r="A282" s="69">
        <f t="shared" si="83"/>
        <v>280</v>
      </c>
      <c r="B282" s="50" t="s">
        <v>232</v>
      </c>
      <c r="C282" s="231">
        <f>+E282+2</f>
        <v>13</v>
      </c>
      <c r="D282" s="231">
        <f>+E282+1</f>
        <v>12</v>
      </c>
      <c r="E282" s="231">
        <f>+E271-1</f>
        <v>11</v>
      </c>
      <c r="F282" t="s">
        <v>91</v>
      </c>
      <c r="G282" t="s">
        <v>106</v>
      </c>
      <c r="H282" t="s">
        <v>115</v>
      </c>
      <c r="I282" t="s">
        <v>108</v>
      </c>
      <c r="J282" t="s">
        <v>108</v>
      </c>
      <c r="K282" t="s">
        <v>108</v>
      </c>
      <c r="L282" t="s">
        <v>107</v>
      </c>
      <c r="R282" t="str">
        <f t="shared" si="81"/>
        <v>A0280</v>
      </c>
      <c r="S282" t="s">
        <v>781</v>
      </c>
    </row>
    <row r="283" spans="1:19" x14ac:dyDescent="0.3">
      <c r="A283" s="87">
        <f t="shared" si="83"/>
        <v>281</v>
      </c>
      <c r="B283" s="49" t="s">
        <v>346</v>
      </c>
      <c r="C283" s="249">
        <f>+D283+2</f>
        <v>15</v>
      </c>
      <c r="D283" s="249">
        <f>+E283+1</f>
        <v>13</v>
      </c>
      <c r="E283" s="249">
        <v>12</v>
      </c>
      <c r="F283" t="s">
        <v>91</v>
      </c>
      <c r="G283" t="s">
        <v>347</v>
      </c>
      <c r="H283" t="s">
        <v>955</v>
      </c>
      <c r="I283" t="s">
        <v>108</v>
      </c>
      <c r="J283" t="s">
        <v>108</v>
      </c>
      <c r="K283" t="s">
        <v>108</v>
      </c>
      <c r="L283" t="s">
        <v>107</v>
      </c>
      <c r="M283" s="33" t="s">
        <v>19</v>
      </c>
      <c r="N283" s="33" t="s">
        <v>60</v>
      </c>
      <c r="O283" s="44">
        <f>ROUND(VLOOKUP(N283,[1]INDICE!$A$5:$D$424,4,FALSE),2)</f>
        <v>11.03</v>
      </c>
      <c r="R283" t="str">
        <f t="shared" si="81"/>
        <v>A0281</v>
      </c>
      <c r="S283" t="s">
        <v>782</v>
      </c>
    </row>
    <row r="284" spans="1:19" x14ac:dyDescent="0.3">
      <c r="A284" s="87">
        <f t="shared" si="83"/>
        <v>282</v>
      </c>
      <c r="B284" s="49" t="s">
        <v>348</v>
      </c>
      <c r="C284" s="249">
        <f t="shared" ref="C284:C293" si="88">+D284+2</f>
        <v>16</v>
      </c>
      <c r="D284" s="249">
        <f t="shared" ref="D284:D293" si="89">+E284+1</f>
        <v>14</v>
      </c>
      <c r="E284" s="249">
        <f>+E283+1</f>
        <v>13</v>
      </c>
      <c r="F284" t="s">
        <v>91</v>
      </c>
      <c r="G284" t="s">
        <v>347</v>
      </c>
      <c r="H284" t="s">
        <v>955</v>
      </c>
      <c r="I284" t="s">
        <v>108</v>
      </c>
      <c r="J284" t="s">
        <v>108</v>
      </c>
      <c r="K284" t="s">
        <v>108</v>
      </c>
      <c r="L284" t="s">
        <v>107</v>
      </c>
      <c r="O284" s="35"/>
      <c r="R284" t="str">
        <f t="shared" si="81"/>
        <v>A0282</v>
      </c>
      <c r="S284" t="s">
        <v>783</v>
      </c>
    </row>
    <row r="285" spans="1:19" x14ac:dyDescent="0.3">
      <c r="A285" s="87">
        <f t="shared" si="83"/>
        <v>283</v>
      </c>
      <c r="B285" s="49" t="s">
        <v>211</v>
      </c>
      <c r="C285" s="249">
        <f t="shared" si="88"/>
        <v>17</v>
      </c>
      <c r="D285" s="249">
        <f t="shared" si="89"/>
        <v>15</v>
      </c>
      <c r="E285" s="249">
        <f t="shared" ref="E285:E291" si="90">+E284+1</f>
        <v>14</v>
      </c>
      <c r="F285" t="s">
        <v>91</v>
      </c>
      <c r="G285" t="s">
        <v>347</v>
      </c>
      <c r="H285" t="s">
        <v>955</v>
      </c>
      <c r="I285" t="s">
        <v>108</v>
      </c>
      <c r="J285" t="s">
        <v>108</v>
      </c>
      <c r="K285" t="s">
        <v>108</v>
      </c>
      <c r="L285" t="s">
        <v>107</v>
      </c>
      <c r="O285" s="35"/>
      <c r="R285" t="str">
        <f t="shared" si="81"/>
        <v>A0283</v>
      </c>
      <c r="S285" t="s">
        <v>784</v>
      </c>
    </row>
    <row r="286" spans="1:19" x14ac:dyDescent="0.3">
      <c r="A286" s="87">
        <f t="shared" si="83"/>
        <v>284</v>
      </c>
      <c r="B286" s="49" t="s">
        <v>212</v>
      </c>
      <c r="C286" s="249">
        <f t="shared" si="88"/>
        <v>18</v>
      </c>
      <c r="D286" s="249">
        <f t="shared" si="89"/>
        <v>16</v>
      </c>
      <c r="E286" s="249">
        <f t="shared" si="90"/>
        <v>15</v>
      </c>
      <c r="F286" t="s">
        <v>91</v>
      </c>
      <c r="G286" t="s">
        <v>347</v>
      </c>
      <c r="H286" t="s">
        <v>955</v>
      </c>
      <c r="I286" t="s">
        <v>108</v>
      </c>
      <c r="J286" t="s">
        <v>108</v>
      </c>
      <c r="K286" t="s">
        <v>108</v>
      </c>
      <c r="L286" t="s">
        <v>107</v>
      </c>
      <c r="O286" s="35"/>
      <c r="R286" t="str">
        <f t="shared" si="81"/>
        <v>A0284</v>
      </c>
      <c r="S286" t="s">
        <v>785</v>
      </c>
    </row>
    <row r="287" spans="1:19" x14ac:dyDescent="0.3">
      <c r="A287" s="87">
        <f t="shared" si="83"/>
        <v>285</v>
      </c>
      <c r="B287" s="49" t="s">
        <v>213</v>
      </c>
      <c r="C287" s="249">
        <f t="shared" si="88"/>
        <v>19</v>
      </c>
      <c r="D287" s="249">
        <f t="shared" si="89"/>
        <v>17</v>
      </c>
      <c r="E287" s="249">
        <f t="shared" si="90"/>
        <v>16</v>
      </c>
      <c r="F287" t="s">
        <v>91</v>
      </c>
      <c r="G287" t="s">
        <v>347</v>
      </c>
      <c r="H287" t="s">
        <v>955</v>
      </c>
      <c r="I287" t="s">
        <v>108</v>
      </c>
      <c r="J287" t="s">
        <v>108</v>
      </c>
      <c r="K287" t="s">
        <v>108</v>
      </c>
      <c r="L287" t="s">
        <v>107</v>
      </c>
      <c r="O287" s="35"/>
      <c r="R287" t="str">
        <f t="shared" si="81"/>
        <v>A0285</v>
      </c>
      <c r="S287" t="s">
        <v>786</v>
      </c>
    </row>
    <row r="288" spans="1:19" x14ac:dyDescent="0.3">
      <c r="A288" s="87">
        <f t="shared" si="83"/>
        <v>286</v>
      </c>
      <c r="B288" s="49" t="s">
        <v>214</v>
      </c>
      <c r="C288" s="249">
        <f t="shared" si="88"/>
        <v>20</v>
      </c>
      <c r="D288" s="249">
        <f t="shared" si="89"/>
        <v>18</v>
      </c>
      <c r="E288" s="249">
        <f t="shared" si="90"/>
        <v>17</v>
      </c>
      <c r="F288" t="s">
        <v>91</v>
      </c>
      <c r="G288" t="s">
        <v>347</v>
      </c>
      <c r="H288" t="s">
        <v>955</v>
      </c>
      <c r="I288" t="s">
        <v>108</v>
      </c>
      <c r="J288" t="s">
        <v>108</v>
      </c>
      <c r="K288" t="s">
        <v>108</v>
      </c>
      <c r="L288" t="s">
        <v>107</v>
      </c>
      <c r="O288" s="35"/>
      <c r="R288" t="str">
        <f t="shared" si="81"/>
        <v>A0286</v>
      </c>
      <c r="S288" t="s">
        <v>787</v>
      </c>
    </row>
    <row r="289" spans="1:19" x14ac:dyDescent="0.3">
      <c r="A289" s="87">
        <f t="shared" si="83"/>
        <v>287</v>
      </c>
      <c r="B289" s="49" t="s">
        <v>215</v>
      </c>
      <c r="C289" s="249">
        <f t="shared" si="88"/>
        <v>21</v>
      </c>
      <c r="D289" s="249">
        <f t="shared" si="89"/>
        <v>19</v>
      </c>
      <c r="E289" s="249">
        <f t="shared" si="90"/>
        <v>18</v>
      </c>
      <c r="F289" t="s">
        <v>91</v>
      </c>
      <c r="G289" t="s">
        <v>347</v>
      </c>
      <c r="H289" t="s">
        <v>955</v>
      </c>
      <c r="I289" t="s">
        <v>108</v>
      </c>
      <c r="J289" t="s">
        <v>108</v>
      </c>
      <c r="K289" t="s">
        <v>108</v>
      </c>
      <c r="L289" t="s">
        <v>107</v>
      </c>
      <c r="O289" s="35"/>
      <c r="R289" t="str">
        <f t="shared" si="81"/>
        <v>A0287</v>
      </c>
      <c r="S289" t="s">
        <v>788</v>
      </c>
    </row>
    <row r="290" spans="1:19" x14ac:dyDescent="0.3">
      <c r="A290" s="87">
        <f t="shared" si="83"/>
        <v>288</v>
      </c>
      <c r="B290" s="49" t="s">
        <v>216</v>
      </c>
      <c r="C290" s="249">
        <f t="shared" si="88"/>
        <v>22</v>
      </c>
      <c r="D290" s="249">
        <f t="shared" si="89"/>
        <v>20</v>
      </c>
      <c r="E290" s="249">
        <f t="shared" si="90"/>
        <v>19</v>
      </c>
      <c r="F290" t="s">
        <v>91</v>
      </c>
      <c r="G290" t="s">
        <v>347</v>
      </c>
      <c r="H290" t="s">
        <v>955</v>
      </c>
      <c r="I290" t="s">
        <v>108</v>
      </c>
      <c r="J290" t="s">
        <v>108</v>
      </c>
      <c r="K290" t="s">
        <v>108</v>
      </c>
      <c r="L290" t="s">
        <v>107</v>
      </c>
      <c r="O290" s="35"/>
      <c r="R290" t="str">
        <f t="shared" si="81"/>
        <v>A0288</v>
      </c>
      <c r="S290" t="s">
        <v>789</v>
      </c>
    </row>
    <row r="291" spans="1:19" x14ac:dyDescent="0.3">
      <c r="A291" s="87">
        <f t="shared" si="83"/>
        <v>289</v>
      </c>
      <c r="B291" s="49" t="s">
        <v>217</v>
      </c>
      <c r="C291" s="249">
        <f t="shared" si="88"/>
        <v>23</v>
      </c>
      <c r="D291" s="249">
        <f t="shared" si="89"/>
        <v>21</v>
      </c>
      <c r="E291" s="249">
        <f t="shared" si="90"/>
        <v>20</v>
      </c>
      <c r="F291" t="s">
        <v>91</v>
      </c>
      <c r="G291" t="s">
        <v>347</v>
      </c>
      <c r="H291" t="s">
        <v>955</v>
      </c>
      <c r="I291" t="s">
        <v>108</v>
      </c>
      <c r="J291" t="s">
        <v>108</v>
      </c>
      <c r="K291" t="s">
        <v>108</v>
      </c>
      <c r="L291" t="s">
        <v>107</v>
      </c>
      <c r="O291" s="35"/>
      <c r="R291" t="str">
        <f t="shared" si="81"/>
        <v>A0289</v>
      </c>
      <c r="S291" t="s">
        <v>790</v>
      </c>
    </row>
    <row r="292" spans="1:19" x14ac:dyDescent="0.3">
      <c r="A292" s="88">
        <f t="shared" si="83"/>
        <v>290</v>
      </c>
      <c r="B292" s="51" t="s">
        <v>218</v>
      </c>
      <c r="C292" s="247">
        <f t="shared" si="88"/>
        <v>12</v>
      </c>
      <c r="D292" s="247">
        <f t="shared" si="89"/>
        <v>10</v>
      </c>
      <c r="E292" s="247">
        <f>+E293-1</f>
        <v>9</v>
      </c>
      <c r="F292" t="s">
        <v>91</v>
      </c>
      <c r="G292" t="s">
        <v>347</v>
      </c>
      <c r="H292" t="s">
        <v>113</v>
      </c>
      <c r="I292" t="s">
        <v>108</v>
      </c>
      <c r="J292" t="s">
        <v>108</v>
      </c>
      <c r="K292" t="s">
        <v>108</v>
      </c>
      <c r="L292" t="s">
        <v>107</v>
      </c>
      <c r="O292" s="35"/>
      <c r="R292" t="str">
        <f t="shared" si="81"/>
        <v>A0290</v>
      </c>
      <c r="S292" t="s">
        <v>791</v>
      </c>
    </row>
    <row r="293" spans="1:19" x14ac:dyDescent="0.3">
      <c r="A293" s="88">
        <f t="shared" si="83"/>
        <v>291</v>
      </c>
      <c r="B293" s="51" t="s">
        <v>219</v>
      </c>
      <c r="C293" s="247">
        <f t="shared" si="88"/>
        <v>13</v>
      </c>
      <c r="D293" s="247">
        <f t="shared" si="89"/>
        <v>11</v>
      </c>
      <c r="E293" s="247">
        <f>+E294-1</f>
        <v>10</v>
      </c>
      <c r="F293" t="s">
        <v>91</v>
      </c>
      <c r="G293" t="s">
        <v>347</v>
      </c>
      <c r="H293" t="s">
        <v>113</v>
      </c>
      <c r="I293" t="s">
        <v>108</v>
      </c>
      <c r="J293" t="s">
        <v>108</v>
      </c>
      <c r="K293" t="s">
        <v>108</v>
      </c>
      <c r="L293" t="s">
        <v>107</v>
      </c>
      <c r="O293" s="35"/>
      <c r="R293" t="str">
        <f t="shared" si="81"/>
        <v>A0291</v>
      </c>
      <c r="S293" t="s">
        <v>792</v>
      </c>
    </row>
    <row r="294" spans="1:19" x14ac:dyDescent="0.3">
      <c r="A294" s="88">
        <f t="shared" si="83"/>
        <v>292</v>
      </c>
      <c r="B294" s="51" t="s">
        <v>220</v>
      </c>
      <c r="C294" s="247">
        <f t="shared" ref="C294:C299" si="91">+D294+2</f>
        <v>14</v>
      </c>
      <c r="D294" s="247">
        <f>+E294+1</f>
        <v>12</v>
      </c>
      <c r="E294" s="247">
        <f>+E283-1</f>
        <v>11</v>
      </c>
      <c r="F294" t="s">
        <v>91</v>
      </c>
      <c r="G294" t="s">
        <v>347</v>
      </c>
      <c r="H294" t="s">
        <v>115</v>
      </c>
      <c r="I294" t="s">
        <v>108</v>
      </c>
      <c r="J294" t="s">
        <v>108</v>
      </c>
      <c r="K294" t="s">
        <v>108</v>
      </c>
      <c r="L294" t="s">
        <v>107</v>
      </c>
      <c r="O294"/>
      <c r="R294" t="str">
        <f t="shared" si="81"/>
        <v>A0292</v>
      </c>
      <c r="S294" t="s">
        <v>793</v>
      </c>
    </row>
    <row r="295" spans="1:19" x14ac:dyDescent="0.3">
      <c r="A295" s="71">
        <f t="shared" si="83"/>
        <v>293</v>
      </c>
      <c r="B295" s="41" t="s">
        <v>461</v>
      </c>
      <c r="C295" s="233">
        <f t="shared" si="91"/>
        <v>10</v>
      </c>
      <c r="D295" s="233">
        <f t="shared" ref="D295:D297" si="92">+E295+1</f>
        <v>8</v>
      </c>
      <c r="E295" s="233">
        <f>+E57-1</f>
        <v>7</v>
      </c>
      <c r="F295" t="s">
        <v>76</v>
      </c>
      <c r="G295" t="s">
        <v>92</v>
      </c>
      <c r="H295" t="s">
        <v>115</v>
      </c>
      <c r="I295" t="s">
        <v>107</v>
      </c>
      <c r="J295" t="s">
        <v>108</v>
      </c>
      <c r="K295" t="s">
        <v>108</v>
      </c>
      <c r="L295" t="s">
        <v>108</v>
      </c>
      <c r="M295" s="33" t="s">
        <v>19</v>
      </c>
      <c r="N295" s="33" t="s">
        <v>51</v>
      </c>
      <c r="O295" s="44">
        <f>ROUND(VLOOKUP(N295,[1]INDICE!$A$5:$D$424,4,FALSE),2)</f>
        <v>5.68</v>
      </c>
      <c r="R295" t="str">
        <f t="shared" si="81"/>
        <v>A0293</v>
      </c>
      <c r="S295" t="s">
        <v>794</v>
      </c>
    </row>
    <row r="296" spans="1:19" x14ac:dyDescent="0.3">
      <c r="A296" s="71">
        <f t="shared" si="83"/>
        <v>294</v>
      </c>
      <c r="B296" s="41" t="s">
        <v>331</v>
      </c>
      <c r="C296" s="233">
        <f t="shared" si="91"/>
        <v>11</v>
      </c>
      <c r="D296" s="233">
        <f t="shared" si="92"/>
        <v>9</v>
      </c>
      <c r="E296" s="233">
        <f>+E295+1</f>
        <v>8</v>
      </c>
      <c r="F296" t="s">
        <v>76</v>
      </c>
      <c r="G296" t="s">
        <v>398</v>
      </c>
      <c r="H296" t="s">
        <v>115</v>
      </c>
      <c r="I296" t="s">
        <v>107</v>
      </c>
      <c r="J296" t="s">
        <v>108</v>
      </c>
      <c r="K296" t="s">
        <v>108</v>
      </c>
      <c r="L296" t="s">
        <v>108</v>
      </c>
      <c r="O296"/>
      <c r="R296" t="str">
        <f t="shared" si="81"/>
        <v>A0294</v>
      </c>
      <c r="S296" t="s">
        <v>795</v>
      </c>
    </row>
    <row r="297" spans="1:19" x14ac:dyDescent="0.3">
      <c r="A297" s="71">
        <f t="shared" si="83"/>
        <v>295</v>
      </c>
      <c r="B297" s="41" t="s">
        <v>497</v>
      </c>
      <c r="C297" s="233">
        <f t="shared" si="91"/>
        <v>12</v>
      </c>
      <c r="D297" s="233">
        <f t="shared" si="92"/>
        <v>10</v>
      </c>
      <c r="E297" s="233">
        <f>+E296+1</f>
        <v>9</v>
      </c>
      <c r="F297" t="s">
        <v>76</v>
      </c>
      <c r="G297" t="s">
        <v>112</v>
      </c>
      <c r="H297" t="s">
        <v>115</v>
      </c>
      <c r="I297" t="s">
        <v>107</v>
      </c>
      <c r="J297" t="s">
        <v>108</v>
      </c>
      <c r="K297" t="s">
        <v>108</v>
      </c>
      <c r="L297" t="s">
        <v>108</v>
      </c>
      <c r="O297"/>
      <c r="R297" t="str">
        <f t="shared" si="81"/>
        <v>A0295</v>
      </c>
      <c r="S297" t="s">
        <v>796</v>
      </c>
    </row>
    <row r="298" spans="1:19" x14ac:dyDescent="0.3">
      <c r="A298" s="76">
        <f t="shared" si="83"/>
        <v>296</v>
      </c>
      <c r="B298" s="47" t="s">
        <v>197</v>
      </c>
      <c r="C298" s="237">
        <f t="shared" si="91"/>
        <v>12</v>
      </c>
      <c r="D298" s="237">
        <f t="shared" ref="D298:D303" si="93">+E298+1</f>
        <v>10</v>
      </c>
      <c r="E298" s="237">
        <f>+E299-1</f>
        <v>9</v>
      </c>
      <c r="F298" t="s">
        <v>91</v>
      </c>
      <c r="G298" t="s">
        <v>195</v>
      </c>
      <c r="H298" t="s">
        <v>113</v>
      </c>
      <c r="I298" t="s">
        <v>107</v>
      </c>
      <c r="J298" t="s">
        <v>108</v>
      </c>
      <c r="K298" t="s">
        <v>108</v>
      </c>
      <c r="L298" t="s">
        <v>108</v>
      </c>
      <c r="N298" s="34"/>
      <c r="O298"/>
      <c r="R298" t="str">
        <f t="shared" si="81"/>
        <v>A0296</v>
      </c>
      <c r="S298" t="s">
        <v>797</v>
      </c>
    </row>
    <row r="299" spans="1:19" x14ac:dyDescent="0.3">
      <c r="A299" s="76">
        <f t="shared" si="83"/>
        <v>297</v>
      </c>
      <c r="B299" s="47" t="s">
        <v>198</v>
      </c>
      <c r="C299" s="237">
        <f t="shared" si="91"/>
        <v>13</v>
      </c>
      <c r="D299" s="237">
        <f t="shared" si="93"/>
        <v>11</v>
      </c>
      <c r="E299" s="237">
        <f>+E139-1</f>
        <v>10</v>
      </c>
      <c r="F299" t="s">
        <v>91</v>
      </c>
      <c r="G299" t="s">
        <v>195</v>
      </c>
      <c r="H299" t="s">
        <v>115</v>
      </c>
      <c r="I299" t="s">
        <v>107</v>
      </c>
      <c r="J299" t="s">
        <v>108</v>
      </c>
      <c r="K299" t="s">
        <v>108</v>
      </c>
      <c r="L299" t="s">
        <v>108</v>
      </c>
      <c r="M299" s="33" t="s">
        <v>19</v>
      </c>
      <c r="N299" s="33" t="s">
        <v>56</v>
      </c>
      <c r="O299" s="44">
        <f>ROUND(VLOOKUP(N299,[1]INDICE!$A$5:$D$424,4,FALSE),2)</f>
        <v>8.2899999999999991</v>
      </c>
      <c r="R299" t="str">
        <f t="shared" si="81"/>
        <v>A0297</v>
      </c>
      <c r="S299" t="s">
        <v>798</v>
      </c>
    </row>
    <row r="300" spans="1:19" x14ac:dyDescent="0.3">
      <c r="A300" s="72">
        <f t="shared" si="83"/>
        <v>298</v>
      </c>
      <c r="B300" s="45" t="s">
        <v>462</v>
      </c>
      <c r="C300" s="234">
        <v>0</v>
      </c>
      <c r="D300" s="234">
        <f t="shared" si="93"/>
        <v>7</v>
      </c>
      <c r="E300" s="234">
        <f>+E178+1</f>
        <v>6</v>
      </c>
      <c r="F300" s="33" t="s">
        <v>76</v>
      </c>
      <c r="G300" t="s">
        <v>128</v>
      </c>
      <c r="H300" t="s">
        <v>955</v>
      </c>
      <c r="I300" t="s">
        <v>108</v>
      </c>
      <c r="J300" t="s">
        <v>107</v>
      </c>
      <c r="K300" t="s">
        <v>108</v>
      </c>
      <c r="L300" t="s">
        <v>108</v>
      </c>
      <c r="M300" s="33" t="s">
        <v>19</v>
      </c>
      <c r="N300" s="33" t="s">
        <v>55</v>
      </c>
      <c r="O300" s="44">
        <f>ROUND(VLOOKUP(N300,[1]INDICE!$A$5:$D$424,4,FALSE),2)</f>
        <v>2.59</v>
      </c>
      <c r="R300" t="str">
        <f t="shared" si="81"/>
        <v>A0298</v>
      </c>
      <c r="S300" t="s">
        <v>799</v>
      </c>
    </row>
    <row r="301" spans="1:19" x14ac:dyDescent="0.3">
      <c r="A301" s="72">
        <f t="shared" si="83"/>
        <v>299</v>
      </c>
      <c r="B301" s="46" t="s">
        <v>144</v>
      </c>
      <c r="C301" s="234">
        <v>0</v>
      </c>
      <c r="D301" s="234">
        <f t="shared" si="93"/>
        <v>4.25</v>
      </c>
      <c r="E301" s="234">
        <f>+E302-0.25</f>
        <v>3.25</v>
      </c>
      <c r="F301" s="33" t="s">
        <v>76</v>
      </c>
      <c r="G301" t="s">
        <v>128</v>
      </c>
      <c r="H301" s="33" t="s">
        <v>113</v>
      </c>
      <c r="I301" t="s">
        <v>108</v>
      </c>
      <c r="J301" t="s">
        <v>107</v>
      </c>
      <c r="K301" t="s">
        <v>108</v>
      </c>
      <c r="L301" t="s">
        <v>108</v>
      </c>
      <c r="M301" s="33" t="s">
        <v>19</v>
      </c>
      <c r="N301" s="33" t="s">
        <v>55</v>
      </c>
      <c r="O301" s="44">
        <f>ROUND(VLOOKUP(N301,[1]INDICE!$A$5:$D$424,4,FALSE),2)</f>
        <v>2.59</v>
      </c>
      <c r="R301" t="str">
        <f t="shared" si="81"/>
        <v>A0299</v>
      </c>
      <c r="S301" t="s">
        <v>800</v>
      </c>
    </row>
    <row r="302" spans="1:19" x14ac:dyDescent="0.3">
      <c r="A302" s="72">
        <f t="shared" si="83"/>
        <v>300</v>
      </c>
      <c r="B302" s="46" t="s">
        <v>145</v>
      </c>
      <c r="C302" s="234">
        <v>0</v>
      </c>
      <c r="D302" s="234">
        <f t="shared" si="93"/>
        <v>4.5</v>
      </c>
      <c r="E302" s="234">
        <v>3.5</v>
      </c>
      <c r="F302" s="33" t="s">
        <v>76</v>
      </c>
      <c r="G302" t="s">
        <v>128</v>
      </c>
      <c r="H302" s="33" t="s">
        <v>113</v>
      </c>
      <c r="I302" t="s">
        <v>108</v>
      </c>
      <c r="J302" t="s">
        <v>107</v>
      </c>
      <c r="K302" t="s">
        <v>108</v>
      </c>
      <c r="L302" t="s">
        <v>108</v>
      </c>
      <c r="M302" s="33" t="s">
        <v>19</v>
      </c>
      <c r="N302" s="33" t="s">
        <v>54</v>
      </c>
      <c r="O302" s="44">
        <f>ROUND(VLOOKUP(N302,[1]INDICE!$A$5:$D$424,4,FALSE),2)</f>
        <v>3.24</v>
      </c>
      <c r="R302" t="str">
        <f t="shared" si="81"/>
        <v>A0300</v>
      </c>
      <c r="S302" t="s">
        <v>801</v>
      </c>
    </row>
    <row r="303" spans="1:19" x14ac:dyDescent="0.3">
      <c r="A303" s="72">
        <f t="shared" si="83"/>
        <v>301</v>
      </c>
      <c r="B303" s="46" t="s">
        <v>146</v>
      </c>
      <c r="C303" s="234">
        <v>0</v>
      </c>
      <c r="D303" s="234">
        <f t="shared" si="93"/>
        <v>5</v>
      </c>
      <c r="E303" s="234">
        <f>+E302+0.5</f>
        <v>4</v>
      </c>
      <c r="F303" s="1" t="s">
        <v>76</v>
      </c>
      <c r="G303" t="s">
        <v>128</v>
      </c>
      <c r="H303" s="1" t="s">
        <v>115</v>
      </c>
      <c r="I303" t="s">
        <v>108</v>
      </c>
      <c r="J303" t="s">
        <v>107</v>
      </c>
      <c r="K303" t="s">
        <v>108</v>
      </c>
      <c r="L303" t="s">
        <v>108</v>
      </c>
      <c r="O303"/>
      <c r="R303" t="str">
        <f t="shared" si="81"/>
        <v>A0301</v>
      </c>
      <c r="S303" t="s">
        <v>802</v>
      </c>
    </row>
    <row r="304" spans="1:19" x14ac:dyDescent="0.3">
      <c r="A304" s="81">
        <f t="shared" si="83"/>
        <v>302</v>
      </c>
      <c r="B304" s="20" t="s">
        <v>147</v>
      </c>
      <c r="C304" s="243">
        <v>16</v>
      </c>
      <c r="D304" s="243">
        <v>14</v>
      </c>
      <c r="E304" s="243">
        <v>13</v>
      </c>
      <c r="F304" s="89" t="s">
        <v>78</v>
      </c>
      <c r="G304" s="89" t="s">
        <v>106</v>
      </c>
      <c r="H304" s="89" t="s">
        <v>955</v>
      </c>
      <c r="I304" s="89" t="s">
        <v>108</v>
      </c>
      <c r="J304" s="89" t="s">
        <v>108</v>
      </c>
      <c r="K304" s="89" t="s">
        <v>108</v>
      </c>
      <c r="L304" s="89" t="s">
        <v>107</v>
      </c>
      <c r="O304"/>
      <c r="R304" t="str">
        <f t="shared" si="81"/>
        <v>A0302</v>
      </c>
      <c r="S304" t="s">
        <v>803</v>
      </c>
    </row>
    <row r="305" spans="1:19" x14ac:dyDescent="0.3">
      <c r="A305" s="81">
        <f t="shared" si="83"/>
        <v>303</v>
      </c>
      <c r="B305" s="20" t="s">
        <v>148</v>
      </c>
      <c r="C305" s="250">
        <v>17</v>
      </c>
      <c r="D305" s="250">
        <v>15</v>
      </c>
      <c r="E305" s="250">
        <v>14</v>
      </c>
      <c r="F305" s="89" t="s">
        <v>78</v>
      </c>
      <c r="G305" s="89" t="s">
        <v>106</v>
      </c>
      <c r="H305" s="89" t="s">
        <v>955</v>
      </c>
      <c r="I305" s="89" t="s">
        <v>108</v>
      </c>
      <c r="J305" s="89" t="s">
        <v>108</v>
      </c>
      <c r="K305" s="89" t="s">
        <v>108</v>
      </c>
      <c r="L305" s="89" t="s">
        <v>107</v>
      </c>
      <c r="O305"/>
      <c r="R305" t="str">
        <f t="shared" si="81"/>
        <v>A0303</v>
      </c>
      <c r="S305" t="s">
        <v>804</v>
      </c>
    </row>
    <row r="306" spans="1:19" x14ac:dyDescent="0.3">
      <c r="A306" s="81">
        <f t="shared" si="83"/>
        <v>304</v>
      </c>
      <c r="B306" s="20" t="s">
        <v>149</v>
      </c>
      <c r="C306" s="250">
        <v>18</v>
      </c>
      <c r="D306" s="250">
        <v>16</v>
      </c>
      <c r="E306" s="250">
        <v>15</v>
      </c>
      <c r="F306" s="89" t="s">
        <v>78</v>
      </c>
      <c r="G306" s="89" t="s">
        <v>106</v>
      </c>
      <c r="H306" s="89" t="s">
        <v>955</v>
      </c>
      <c r="I306" s="89" t="s">
        <v>108</v>
      </c>
      <c r="J306" s="89" t="s">
        <v>108</v>
      </c>
      <c r="K306" s="89" t="s">
        <v>108</v>
      </c>
      <c r="L306" s="89" t="s">
        <v>107</v>
      </c>
      <c r="O306"/>
      <c r="R306" t="str">
        <f t="shared" si="81"/>
        <v>A0304</v>
      </c>
      <c r="S306" t="s">
        <v>805</v>
      </c>
    </row>
    <row r="307" spans="1:19" x14ac:dyDescent="0.3">
      <c r="A307" s="81">
        <f t="shared" si="83"/>
        <v>305</v>
      </c>
      <c r="B307" s="20" t="s">
        <v>150</v>
      </c>
      <c r="C307" s="250">
        <v>19</v>
      </c>
      <c r="D307" s="250">
        <v>17</v>
      </c>
      <c r="E307" s="250">
        <v>16</v>
      </c>
      <c r="F307" s="89" t="s">
        <v>78</v>
      </c>
      <c r="G307" s="89" t="s">
        <v>106</v>
      </c>
      <c r="H307" s="89" t="s">
        <v>955</v>
      </c>
      <c r="I307" s="89" t="s">
        <v>108</v>
      </c>
      <c r="J307" s="89" t="s">
        <v>108</v>
      </c>
      <c r="K307" s="89" t="s">
        <v>108</v>
      </c>
      <c r="L307" s="89" t="s">
        <v>107</v>
      </c>
      <c r="O307"/>
      <c r="R307" t="str">
        <f t="shared" si="81"/>
        <v>A0305</v>
      </c>
      <c r="S307" t="s">
        <v>806</v>
      </c>
    </row>
    <row r="308" spans="1:19" x14ac:dyDescent="0.3">
      <c r="A308" s="81">
        <f t="shared" si="83"/>
        <v>306</v>
      </c>
      <c r="B308" s="20" t="s">
        <v>151</v>
      </c>
      <c r="C308" s="250">
        <v>20</v>
      </c>
      <c r="D308" s="250">
        <v>18</v>
      </c>
      <c r="E308" s="250">
        <v>17</v>
      </c>
      <c r="F308" s="89" t="s">
        <v>78</v>
      </c>
      <c r="G308" s="89" t="s">
        <v>106</v>
      </c>
      <c r="H308" s="89" t="s">
        <v>955</v>
      </c>
      <c r="I308" s="89" t="s">
        <v>108</v>
      </c>
      <c r="J308" s="89" t="s">
        <v>108</v>
      </c>
      <c r="K308" s="89" t="s">
        <v>108</v>
      </c>
      <c r="L308" s="89" t="s">
        <v>107</v>
      </c>
      <c r="O308"/>
      <c r="R308" t="str">
        <f t="shared" si="81"/>
        <v>A0306</v>
      </c>
      <c r="S308" t="s">
        <v>807</v>
      </c>
    </row>
    <row r="309" spans="1:19" x14ac:dyDescent="0.3">
      <c r="A309" s="81">
        <f t="shared" si="83"/>
        <v>307</v>
      </c>
      <c r="B309" s="20" t="s">
        <v>152</v>
      </c>
      <c r="C309" s="250">
        <v>21</v>
      </c>
      <c r="D309" s="250">
        <v>19</v>
      </c>
      <c r="E309" s="250">
        <v>18</v>
      </c>
      <c r="F309" s="89" t="s">
        <v>78</v>
      </c>
      <c r="G309" s="89" t="s">
        <v>106</v>
      </c>
      <c r="H309" s="89" t="s">
        <v>955</v>
      </c>
      <c r="I309" s="89" t="s">
        <v>108</v>
      </c>
      <c r="J309" s="89" t="s">
        <v>108</v>
      </c>
      <c r="K309" s="89" t="s">
        <v>108</v>
      </c>
      <c r="L309" s="89" t="s">
        <v>107</v>
      </c>
      <c r="O309"/>
      <c r="R309" t="str">
        <f t="shared" si="81"/>
        <v>A0307</v>
      </c>
      <c r="S309" t="s">
        <v>808</v>
      </c>
    </row>
    <row r="310" spans="1:19" x14ac:dyDescent="0.3">
      <c r="A310" s="81">
        <f t="shared" si="83"/>
        <v>308</v>
      </c>
      <c r="B310" s="20" t="s">
        <v>153</v>
      </c>
      <c r="C310" s="250">
        <v>22</v>
      </c>
      <c r="D310" s="250">
        <v>20</v>
      </c>
      <c r="E310" s="250">
        <v>19</v>
      </c>
      <c r="F310" s="89" t="s">
        <v>78</v>
      </c>
      <c r="G310" s="89" t="s">
        <v>106</v>
      </c>
      <c r="H310" s="89" t="s">
        <v>955</v>
      </c>
      <c r="I310" s="89" t="s">
        <v>108</v>
      </c>
      <c r="J310" s="89" t="s">
        <v>108</v>
      </c>
      <c r="K310" s="89" t="s">
        <v>108</v>
      </c>
      <c r="L310" s="89" t="s">
        <v>107</v>
      </c>
      <c r="O310" s="35"/>
      <c r="R310" t="str">
        <f t="shared" si="81"/>
        <v>A0308</v>
      </c>
      <c r="S310" t="s">
        <v>809</v>
      </c>
    </row>
    <row r="311" spans="1:19" x14ac:dyDescent="0.3">
      <c r="A311" s="81">
        <f t="shared" si="83"/>
        <v>309</v>
      </c>
      <c r="B311" s="20" t="s">
        <v>154</v>
      </c>
      <c r="C311" s="250">
        <v>22</v>
      </c>
      <c r="D311" s="250">
        <v>20</v>
      </c>
      <c r="E311" s="250">
        <v>19</v>
      </c>
      <c r="F311" s="89" t="s">
        <v>78</v>
      </c>
      <c r="G311" s="89" t="s">
        <v>106</v>
      </c>
      <c r="H311" s="89" t="s">
        <v>955</v>
      </c>
      <c r="I311" s="89" t="s">
        <v>108</v>
      </c>
      <c r="J311" s="89" t="s">
        <v>108</v>
      </c>
      <c r="K311" s="89" t="s">
        <v>108</v>
      </c>
      <c r="L311" s="89" t="s">
        <v>107</v>
      </c>
      <c r="O311" s="35"/>
      <c r="R311" t="str">
        <f t="shared" si="81"/>
        <v>A0309</v>
      </c>
      <c r="S311" t="s">
        <v>810</v>
      </c>
    </row>
    <row r="312" spans="1:19" x14ac:dyDescent="0.3">
      <c r="A312" s="81">
        <f t="shared" si="83"/>
        <v>310</v>
      </c>
      <c r="B312" s="20" t="s">
        <v>155</v>
      </c>
      <c r="C312" s="250">
        <v>22</v>
      </c>
      <c r="D312" s="250">
        <v>20</v>
      </c>
      <c r="E312" s="250">
        <v>19</v>
      </c>
      <c r="F312" t="s">
        <v>78</v>
      </c>
      <c r="G312" t="s">
        <v>106</v>
      </c>
      <c r="H312" t="s">
        <v>955</v>
      </c>
      <c r="I312" s="89" t="s">
        <v>108</v>
      </c>
      <c r="J312" s="89" t="s">
        <v>108</v>
      </c>
      <c r="K312" s="89" t="s">
        <v>108</v>
      </c>
      <c r="L312" s="89" t="s">
        <v>107</v>
      </c>
      <c r="O312" s="35"/>
      <c r="R312" t="str">
        <f t="shared" si="81"/>
        <v>A0310</v>
      </c>
      <c r="S312" t="s">
        <v>811</v>
      </c>
    </row>
    <row r="313" spans="1:19" x14ac:dyDescent="0.3">
      <c r="A313" s="62">
        <f t="shared" si="83"/>
        <v>311</v>
      </c>
      <c r="B313" s="23" t="s">
        <v>463</v>
      </c>
      <c r="C313" s="222">
        <f t="shared" ref="C313:C315" si="94">+D313+2</f>
        <v>12</v>
      </c>
      <c r="D313" s="222">
        <f t="shared" ref="D313:D315" si="95">+E313+1</f>
        <v>10</v>
      </c>
      <c r="E313" s="222">
        <f>+E111-1</f>
        <v>9</v>
      </c>
      <c r="F313" s="33" t="s">
        <v>78</v>
      </c>
      <c r="G313" t="s">
        <v>92</v>
      </c>
      <c r="H313" t="s">
        <v>115</v>
      </c>
      <c r="I313" t="s">
        <v>107</v>
      </c>
      <c r="J313" t="s">
        <v>108</v>
      </c>
      <c r="K313" t="s">
        <v>108</v>
      </c>
      <c r="L313" t="s">
        <v>108</v>
      </c>
      <c r="O313" s="35"/>
      <c r="R313" t="str">
        <f t="shared" si="81"/>
        <v>A0311</v>
      </c>
      <c r="S313" t="s">
        <v>812</v>
      </c>
    </row>
    <row r="314" spans="1:19" x14ac:dyDescent="0.3">
      <c r="A314" s="62">
        <f t="shared" si="83"/>
        <v>312</v>
      </c>
      <c r="B314" s="96" t="s">
        <v>974</v>
      </c>
      <c r="C314" s="224">
        <f t="shared" si="94"/>
        <v>13</v>
      </c>
      <c r="D314" s="224">
        <f t="shared" si="95"/>
        <v>11</v>
      </c>
      <c r="E314" s="224">
        <f>+E120-1</f>
        <v>10</v>
      </c>
      <c r="F314" s="33" t="s">
        <v>78</v>
      </c>
      <c r="G314" t="s">
        <v>398</v>
      </c>
      <c r="H314" t="s">
        <v>115</v>
      </c>
      <c r="I314" t="s">
        <v>107</v>
      </c>
      <c r="J314" t="s">
        <v>108</v>
      </c>
      <c r="K314" t="s">
        <v>108</v>
      </c>
      <c r="L314" t="s">
        <v>108</v>
      </c>
      <c r="O314" s="35"/>
      <c r="R314" t="str">
        <f t="shared" si="81"/>
        <v>A0312</v>
      </c>
      <c r="S314" t="s">
        <v>813</v>
      </c>
    </row>
    <row r="315" spans="1:19" x14ac:dyDescent="0.3">
      <c r="A315" s="62">
        <f t="shared" si="83"/>
        <v>313</v>
      </c>
      <c r="B315" s="23" t="s">
        <v>498</v>
      </c>
      <c r="C315" s="222">
        <f t="shared" si="94"/>
        <v>14</v>
      </c>
      <c r="D315" s="222">
        <f t="shared" si="95"/>
        <v>12</v>
      </c>
      <c r="E315" s="222">
        <f>+E129-1</f>
        <v>11</v>
      </c>
      <c r="F315" s="33" t="s">
        <v>78</v>
      </c>
      <c r="G315" t="s">
        <v>112</v>
      </c>
      <c r="H315" t="s">
        <v>115</v>
      </c>
      <c r="I315" t="s">
        <v>107</v>
      </c>
      <c r="J315" t="s">
        <v>108</v>
      </c>
      <c r="K315" t="s">
        <v>108</v>
      </c>
      <c r="L315" t="s">
        <v>108</v>
      </c>
      <c r="O315" s="35"/>
      <c r="R315" t="str">
        <f t="shared" si="81"/>
        <v>A0313</v>
      </c>
      <c r="S315" t="s">
        <v>814</v>
      </c>
    </row>
    <row r="316" spans="1:19" x14ac:dyDescent="0.3">
      <c r="A316" s="74">
        <f t="shared" si="83"/>
        <v>314</v>
      </c>
      <c r="B316" s="5" t="s">
        <v>120</v>
      </c>
      <c r="C316" s="217">
        <f t="shared" ref="C316:C323" si="96">+D316+3</f>
        <v>29</v>
      </c>
      <c r="D316" s="217">
        <f>+E316+1</f>
        <v>26</v>
      </c>
      <c r="E316" s="217">
        <f>+E180+1</f>
        <v>25</v>
      </c>
      <c r="F316" t="s">
        <v>80</v>
      </c>
      <c r="G316" t="s">
        <v>119</v>
      </c>
      <c r="H316" t="s">
        <v>955</v>
      </c>
      <c r="I316" t="s">
        <v>107</v>
      </c>
      <c r="J316" t="s">
        <v>108</v>
      </c>
      <c r="K316" t="s">
        <v>108</v>
      </c>
      <c r="L316" t="s">
        <v>108</v>
      </c>
      <c r="O316" s="35"/>
      <c r="R316" t="str">
        <f t="shared" si="81"/>
        <v>A0314</v>
      </c>
      <c r="S316" t="s">
        <v>815</v>
      </c>
    </row>
    <row r="317" spans="1:19" x14ac:dyDescent="0.3">
      <c r="A317" s="74">
        <f t="shared" si="83"/>
        <v>315</v>
      </c>
      <c r="B317" s="5" t="s">
        <v>121</v>
      </c>
      <c r="C317" s="217">
        <f t="shared" si="96"/>
        <v>30</v>
      </c>
      <c r="D317" s="217">
        <f t="shared" ref="D317:D323" si="97">+E317+1</f>
        <v>27</v>
      </c>
      <c r="E317" s="217">
        <f t="shared" ref="E317:E323" si="98">+E316+1</f>
        <v>26</v>
      </c>
      <c r="F317" t="s">
        <v>80</v>
      </c>
      <c r="G317" t="s">
        <v>119</v>
      </c>
      <c r="H317" t="s">
        <v>955</v>
      </c>
      <c r="I317" t="s">
        <v>107</v>
      </c>
      <c r="J317" t="s">
        <v>108</v>
      </c>
      <c r="K317" t="s">
        <v>108</v>
      </c>
      <c r="L317" t="s">
        <v>108</v>
      </c>
      <c r="O317" s="35"/>
      <c r="R317" t="str">
        <f t="shared" si="81"/>
        <v>A0315</v>
      </c>
      <c r="S317" t="s">
        <v>816</v>
      </c>
    </row>
    <row r="318" spans="1:19" x14ac:dyDescent="0.3">
      <c r="A318" s="74">
        <f t="shared" si="83"/>
        <v>316</v>
      </c>
      <c r="B318" s="5" t="s">
        <v>122</v>
      </c>
      <c r="C318" s="217">
        <f t="shared" si="96"/>
        <v>31</v>
      </c>
      <c r="D318" s="217">
        <f t="shared" si="97"/>
        <v>28</v>
      </c>
      <c r="E318" s="217">
        <f t="shared" si="98"/>
        <v>27</v>
      </c>
      <c r="F318" t="s">
        <v>80</v>
      </c>
      <c r="G318" t="s">
        <v>119</v>
      </c>
      <c r="H318" t="s">
        <v>955</v>
      </c>
      <c r="I318" t="s">
        <v>107</v>
      </c>
      <c r="J318" t="s">
        <v>108</v>
      </c>
      <c r="K318" t="s">
        <v>108</v>
      </c>
      <c r="L318" t="s">
        <v>108</v>
      </c>
      <c r="O318" s="35"/>
      <c r="R318" t="str">
        <f t="shared" si="81"/>
        <v>A0316</v>
      </c>
      <c r="S318" t="s">
        <v>817</v>
      </c>
    </row>
    <row r="319" spans="1:19" x14ac:dyDescent="0.3">
      <c r="A319" s="74">
        <f t="shared" si="83"/>
        <v>317</v>
      </c>
      <c r="B319" s="5" t="s">
        <v>123</v>
      </c>
      <c r="C319" s="217">
        <f t="shared" si="96"/>
        <v>32</v>
      </c>
      <c r="D319" s="217">
        <f t="shared" si="97"/>
        <v>29</v>
      </c>
      <c r="E319" s="217">
        <f t="shared" si="98"/>
        <v>28</v>
      </c>
      <c r="F319" t="s">
        <v>80</v>
      </c>
      <c r="G319" t="s">
        <v>119</v>
      </c>
      <c r="H319" t="s">
        <v>955</v>
      </c>
      <c r="I319" t="s">
        <v>107</v>
      </c>
      <c r="J319" t="s">
        <v>108</v>
      </c>
      <c r="K319" t="s">
        <v>108</v>
      </c>
      <c r="L319" t="s">
        <v>108</v>
      </c>
      <c r="O319" s="35"/>
      <c r="R319" t="str">
        <f t="shared" si="81"/>
        <v>A0317</v>
      </c>
      <c r="S319" t="s">
        <v>818</v>
      </c>
    </row>
    <row r="320" spans="1:19" x14ac:dyDescent="0.3">
      <c r="A320" s="74">
        <f t="shared" si="83"/>
        <v>318</v>
      </c>
      <c r="B320" s="5" t="s">
        <v>124</v>
      </c>
      <c r="C320" s="217">
        <f t="shared" si="96"/>
        <v>33</v>
      </c>
      <c r="D320" s="217">
        <f t="shared" si="97"/>
        <v>30</v>
      </c>
      <c r="E320" s="217">
        <f t="shared" si="98"/>
        <v>29</v>
      </c>
      <c r="F320" t="s">
        <v>80</v>
      </c>
      <c r="G320" t="s">
        <v>119</v>
      </c>
      <c r="H320" t="s">
        <v>955</v>
      </c>
      <c r="I320" t="s">
        <v>107</v>
      </c>
      <c r="J320" t="s">
        <v>108</v>
      </c>
      <c r="K320" t="s">
        <v>108</v>
      </c>
      <c r="L320" t="s">
        <v>108</v>
      </c>
      <c r="O320" s="35"/>
      <c r="R320" t="str">
        <f t="shared" si="81"/>
        <v>A0318</v>
      </c>
      <c r="S320" t="s">
        <v>819</v>
      </c>
    </row>
    <row r="321" spans="1:19" x14ac:dyDescent="0.3">
      <c r="A321" s="74">
        <f t="shared" si="83"/>
        <v>319</v>
      </c>
      <c r="B321" s="5" t="s">
        <v>125</v>
      </c>
      <c r="C321" s="217">
        <f t="shared" si="96"/>
        <v>34</v>
      </c>
      <c r="D321" s="217">
        <f t="shared" si="97"/>
        <v>31</v>
      </c>
      <c r="E321" s="217">
        <f t="shared" si="98"/>
        <v>30</v>
      </c>
      <c r="F321" t="s">
        <v>80</v>
      </c>
      <c r="G321" t="s">
        <v>119</v>
      </c>
      <c r="H321" t="s">
        <v>955</v>
      </c>
      <c r="I321" t="s">
        <v>107</v>
      </c>
      <c r="J321" t="s">
        <v>108</v>
      </c>
      <c r="K321" t="s">
        <v>108</v>
      </c>
      <c r="L321" t="s">
        <v>108</v>
      </c>
      <c r="O321" s="35"/>
      <c r="R321" t="str">
        <f t="shared" si="81"/>
        <v>A0319</v>
      </c>
      <c r="S321" t="s">
        <v>820</v>
      </c>
    </row>
    <row r="322" spans="1:19" x14ac:dyDescent="0.3">
      <c r="A322" s="74">
        <f t="shared" si="83"/>
        <v>320</v>
      </c>
      <c r="B322" s="5" t="s">
        <v>126</v>
      </c>
      <c r="C322" s="217">
        <f t="shared" si="96"/>
        <v>35</v>
      </c>
      <c r="D322" s="217">
        <f t="shared" si="97"/>
        <v>32</v>
      </c>
      <c r="E322" s="217">
        <f t="shared" si="98"/>
        <v>31</v>
      </c>
      <c r="F322" t="s">
        <v>80</v>
      </c>
      <c r="G322" t="s">
        <v>119</v>
      </c>
      <c r="H322" t="s">
        <v>955</v>
      </c>
      <c r="I322" t="s">
        <v>107</v>
      </c>
      <c r="J322" t="s">
        <v>108</v>
      </c>
      <c r="K322" t="s">
        <v>108</v>
      </c>
      <c r="L322" t="s">
        <v>108</v>
      </c>
      <c r="O322" s="35"/>
      <c r="R322" t="str">
        <f t="shared" si="81"/>
        <v>A0320</v>
      </c>
      <c r="S322" t="s">
        <v>821</v>
      </c>
    </row>
    <row r="323" spans="1:19" x14ac:dyDescent="0.3">
      <c r="A323" s="74">
        <f t="shared" si="83"/>
        <v>321</v>
      </c>
      <c r="B323" s="5" t="s">
        <v>127</v>
      </c>
      <c r="C323" s="217">
        <f t="shared" si="96"/>
        <v>36</v>
      </c>
      <c r="D323" s="217">
        <f t="shared" si="97"/>
        <v>33</v>
      </c>
      <c r="E323" s="217">
        <f t="shared" si="98"/>
        <v>32</v>
      </c>
      <c r="F323" t="s">
        <v>80</v>
      </c>
      <c r="G323" t="s">
        <v>119</v>
      </c>
      <c r="H323" t="s">
        <v>955</v>
      </c>
      <c r="I323" t="s">
        <v>107</v>
      </c>
      <c r="J323" t="s">
        <v>108</v>
      </c>
      <c r="K323" t="s">
        <v>108</v>
      </c>
      <c r="L323" t="s">
        <v>108</v>
      </c>
      <c r="O323" s="35"/>
      <c r="R323" t="str">
        <f t="shared" si="81"/>
        <v>A0321</v>
      </c>
      <c r="S323" t="s">
        <v>822</v>
      </c>
    </row>
    <row r="324" spans="1:19" x14ac:dyDescent="0.3">
      <c r="A324" s="92">
        <f t="shared" si="83"/>
        <v>322</v>
      </c>
      <c r="B324" s="93" t="s">
        <v>129</v>
      </c>
      <c r="C324" s="242">
        <f>+D324+0.5</f>
        <v>15.5</v>
      </c>
      <c r="D324" s="242">
        <v>15</v>
      </c>
      <c r="E324" s="242">
        <f>+D324-0.5</f>
        <v>14.5</v>
      </c>
      <c r="F324" t="s">
        <v>87</v>
      </c>
      <c r="G324" t="s">
        <v>131</v>
      </c>
      <c r="H324" t="s">
        <v>135</v>
      </c>
      <c r="I324" t="s">
        <v>107</v>
      </c>
      <c r="J324" t="s">
        <v>108</v>
      </c>
      <c r="K324" t="s">
        <v>108</v>
      </c>
      <c r="L324" t="s">
        <v>108</v>
      </c>
      <c r="O324"/>
      <c r="R324" t="str">
        <f t="shared" ref="R324:R387" si="99">+TEXT(A324,"A000#")</f>
        <v>A0322</v>
      </c>
      <c r="S324" t="s">
        <v>823</v>
      </c>
    </row>
    <row r="325" spans="1:19" x14ac:dyDescent="0.3">
      <c r="A325" s="92">
        <f t="shared" si="83"/>
        <v>323</v>
      </c>
      <c r="B325" s="93" t="s">
        <v>130</v>
      </c>
      <c r="C325" s="242">
        <f>+D325+0.5</f>
        <v>10.5</v>
      </c>
      <c r="D325" s="242">
        <v>10</v>
      </c>
      <c r="E325" s="242">
        <f>+D325-0.5</f>
        <v>9.5</v>
      </c>
      <c r="F325" t="s">
        <v>87</v>
      </c>
      <c r="G325" t="s">
        <v>131</v>
      </c>
      <c r="H325" t="s">
        <v>136</v>
      </c>
      <c r="I325" t="s">
        <v>107</v>
      </c>
      <c r="J325" t="s">
        <v>108</v>
      </c>
      <c r="K325" t="s">
        <v>108</v>
      </c>
      <c r="L325" t="s">
        <v>108</v>
      </c>
      <c r="O325"/>
      <c r="R325" t="str">
        <f t="shared" si="99"/>
        <v>A0323</v>
      </c>
      <c r="S325" t="s">
        <v>824</v>
      </c>
    </row>
    <row r="326" spans="1:19" x14ac:dyDescent="0.3">
      <c r="A326" s="92">
        <f t="shared" si="83"/>
        <v>324</v>
      </c>
      <c r="B326" s="93" t="s">
        <v>133</v>
      </c>
      <c r="C326" s="242">
        <f>+D326+0.5</f>
        <v>4</v>
      </c>
      <c r="D326" s="242">
        <v>3.5</v>
      </c>
      <c r="E326" s="242">
        <f>+D326-0.5</f>
        <v>3</v>
      </c>
      <c r="F326" t="s">
        <v>87</v>
      </c>
      <c r="G326" t="s">
        <v>131</v>
      </c>
      <c r="H326" t="s">
        <v>134</v>
      </c>
      <c r="I326" t="s">
        <v>107</v>
      </c>
      <c r="J326" t="s">
        <v>108</v>
      </c>
      <c r="K326" t="s">
        <v>108</v>
      </c>
      <c r="L326" t="s">
        <v>108</v>
      </c>
      <c r="O326" s="35"/>
      <c r="R326" t="str">
        <f t="shared" si="99"/>
        <v>A0324</v>
      </c>
      <c r="S326" t="s">
        <v>825</v>
      </c>
    </row>
    <row r="327" spans="1:19" x14ac:dyDescent="0.3">
      <c r="A327" s="57">
        <f t="shared" ref="A327:A399" si="100">+A326+1</f>
        <v>325</v>
      </c>
      <c r="B327" s="91" t="s">
        <v>263</v>
      </c>
      <c r="C327" s="240">
        <f>+D327+2</f>
        <v>18</v>
      </c>
      <c r="D327" s="240">
        <f>+E327+1</f>
        <v>16</v>
      </c>
      <c r="E327" s="240">
        <f>+E252-2</f>
        <v>15</v>
      </c>
      <c r="F327" t="s">
        <v>78</v>
      </c>
      <c r="G327" t="s">
        <v>347</v>
      </c>
      <c r="H327" t="s">
        <v>955</v>
      </c>
      <c r="I327" t="s">
        <v>108</v>
      </c>
      <c r="J327" t="s">
        <v>108</v>
      </c>
      <c r="K327" t="s">
        <v>107</v>
      </c>
      <c r="L327" t="s">
        <v>108</v>
      </c>
      <c r="O327" s="35"/>
      <c r="R327" t="str">
        <f t="shared" si="99"/>
        <v>A0325</v>
      </c>
      <c r="S327" t="s">
        <v>826</v>
      </c>
    </row>
    <row r="328" spans="1:19" x14ac:dyDescent="0.3">
      <c r="A328" s="57">
        <f t="shared" si="100"/>
        <v>326</v>
      </c>
      <c r="B328" s="37" t="s">
        <v>264</v>
      </c>
      <c r="C328" s="240">
        <f t="shared" ref="C328:C335" si="101">+D328+2</f>
        <v>19</v>
      </c>
      <c r="D328" s="240">
        <f t="shared" ref="D328:D335" si="102">+E328+1</f>
        <v>17</v>
      </c>
      <c r="E328" s="240">
        <f>+E327+1</f>
        <v>16</v>
      </c>
      <c r="F328" t="s">
        <v>78</v>
      </c>
      <c r="G328" t="s">
        <v>347</v>
      </c>
      <c r="H328" t="s">
        <v>955</v>
      </c>
      <c r="I328" t="s">
        <v>108</v>
      </c>
      <c r="J328" t="s">
        <v>108</v>
      </c>
      <c r="K328" t="s">
        <v>107</v>
      </c>
      <c r="L328" t="s">
        <v>108</v>
      </c>
      <c r="O328" s="35"/>
      <c r="R328" t="str">
        <f t="shared" si="99"/>
        <v>A0326</v>
      </c>
      <c r="S328" t="s">
        <v>827</v>
      </c>
    </row>
    <row r="329" spans="1:19" x14ac:dyDescent="0.3">
      <c r="A329" s="57">
        <f t="shared" si="100"/>
        <v>327</v>
      </c>
      <c r="B329" s="37" t="s">
        <v>265</v>
      </c>
      <c r="C329" s="240">
        <f t="shared" si="101"/>
        <v>20</v>
      </c>
      <c r="D329" s="240">
        <f t="shared" si="102"/>
        <v>18</v>
      </c>
      <c r="E329" s="240">
        <f t="shared" ref="E329:E335" si="103">+E328+1</f>
        <v>17</v>
      </c>
      <c r="F329" t="s">
        <v>78</v>
      </c>
      <c r="G329" t="s">
        <v>347</v>
      </c>
      <c r="H329" t="s">
        <v>955</v>
      </c>
      <c r="I329" t="s">
        <v>108</v>
      </c>
      <c r="J329" t="s">
        <v>108</v>
      </c>
      <c r="K329" t="s">
        <v>107</v>
      </c>
      <c r="L329" t="s">
        <v>108</v>
      </c>
      <c r="O329" s="35"/>
      <c r="R329" t="str">
        <f t="shared" si="99"/>
        <v>A0327</v>
      </c>
      <c r="S329" t="s">
        <v>828</v>
      </c>
    </row>
    <row r="330" spans="1:19" x14ac:dyDescent="0.3">
      <c r="A330" s="57">
        <f t="shared" si="100"/>
        <v>328</v>
      </c>
      <c r="B330" s="37" t="s">
        <v>266</v>
      </c>
      <c r="C330" s="240">
        <f t="shared" si="101"/>
        <v>21</v>
      </c>
      <c r="D330" s="240">
        <f t="shared" si="102"/>
        <v>19</v>
      </c>
      <c r="E330" s="240">
        <f t="shared" si="103"/>
        <v>18</v>
      </c>
      <c r="F330" t="s">
        <v>78</v>
      </c>
      <c r="G330" t="s">
        <v>347</v>
      </c>
      <c r="H330" t="s">
        <v>955</v>
      </c>
      <c r="I330" t="s">
        <v>108</v>
      </c>
      <c r="J330" t="s">
        <v>108</v>
      </c>
      <c r="K330" t="s">
        <v>107</v>
      </c>
      <c r="L330" t="s">
        <v>108</v>
      </c>
      <c r="O330" s="35"/>
      <c r="R330" t="str">
        <f t="shared" si="99"/>
        <v>A0328</v>
      </c>
      <c r="S330" t="s">
        <v>829</v>
      </c>
    </row>
    <row r="331" spans="1:19" x14ac:dyDescent="0.3">
      <c r="A331" s="57">
        <f t="shared" si="100"/>
        <v>329</v>
      </c>
      <c r="B331" s="37" t="s">
        <v>267</v>
      </c>
      <c r="C331" s="240">
        <f t="shared" si="101"/>
        <v>22</v>
      </c>
      <c r="D331" s="240">
        <f t="shared" si="102"/>
        <v>20</v>
      </c>
      <c r="E331" s="240">
        <f t="shared" si="103"/>
        <v>19</v>
      </c>
      <c r="F331" t="s">
        <v>78</v>
      </c>
      <c r="G331" t="s">
        <v>347</v>
      </c>
      <c r="H331" t="s">
        <v>955</v>
      </c>
      <c r="I331" t="s">
        <v>108</v>
      </c>
      <c r="J331" t="s">
        <v>108</v>
      </c>
      <c r="K331" t="s">
        <v>107</v>
      </c>
      <c r="L331" t="s">
        <v>108</v>
      </c>
      <c r="O331" s="35"/>
      <c r="R331" t="str">
        <f t="shared" si="99"/>
        <v>A0329</v>
      </c>
      <c r="S331" t="s">
        <v>830</v>
      </c>
    </row>
    <row r="332" spans="1:19" x14ac:dyDescent="0.3">
      <c r="A332" s="57">
        <f t="shared" si="100"/>
        <v>330</v>
      </c>
      <c r="B332" s="37" t="s">
        <v>268</v>
      </c>
      <c r="C332" s="240">
        <f t="shared" si="101"/>
        <v>23</v>
      </c>
      <c r="D332" s="240">
        <f t="shared" si="102"/>
        <v>21</v>
      </c>
      <c r="E332" s="240">
        <f t="shared" si="103"/>
        <v>20</v>
      </c>
      <c r="F332" t="s">
        <v>78</v>
      </c>
      <c r="G332" t="s">
        <v>347</v>
      </c>
      <c r="H332" t="s">
        <v>955</v>
      </c>
      <c r="I332" t="s">
        <v>108</v>
      </c>
      <c r="J332" t="s">
        <v>108</v>
      </c>
      <c r="K332" t="s">
        <v>107</v>
      </c>
      <c r="L332" t="s">
        <v>108</v>
      </c>
      <c r="O332" s="35"/>
      <c r="R332" t="str">
        <f t="shared" si="99"/>
        <v>A0330</v>
      </c>
      <c r="S332" t="s">
        <v>831</v>
      </c>
    </row>
    <row r="333" spans="1:19" x14ac:dyDescent="0.3">
      <c r="A333" s="57">
        <f t="shared" si="100"/>
        <v>331</v>
      </c>
      <c r="B333" s="37" t="s">
        <v>269</v>
      </c>
      <c r="C333" s="240">
        <f t="shared" si="101"/>
        <v>24</v>
      </c>
      <c r="D333" s="240">
        <f t="shared" si="102"/>
        <v>22</v>
      </c>
      <c r="E333" s="240">
        <f t="shared" si="103"/>
        <v>21</v>
      </c>
      <c r="F333" t="s">
        <v>78</v>
      </c>
      <c r="G333" t="s">
        <v>347</v>
      </c>
      <c r="H333" t="s">
        <v>955</v>
      </c>
      <c r="I333" t="s">
        <v>108</v>
      </c>
      <c r="J333" t="s">
        <v>108</v>
      </c>
      <c r="K333" t="s">
        <v>107</v>
      </c>
      <c r="L333" t="s">
        <v>108</v>
      </c>
      <c r="O333" s="35"/>
      <c r="R333" t="str">
        <f t="shared" si="99"/>
        <v>A0331</v>
      </c>
      <c r="S333" t="s">
        <v>832</v>
      </c>
    </row>
    <row r="334" spans="1:19" x14ac:dyDescent="0.3">
      <c r="A334" s="57">
        <f t="shared" si="100"/>
        <v>332</v>
      </c>
      <c r="B334" s="37" t="s">
        <v>270</v>
      </c>
      <c r="C334" s="240">
        <f t="shared" si="101"/>
        <v>25</v>
      </c>
      <c r="D334" s="240">
        <f t="shared" si="102"/>
        <v>23</v>
      </c>
      <c r="E334" s="240">
        <f t="shared" si="103"/>
        <v>22</v>
      </c>
      <c r="F334" t="s">
        <v>78</v>
      </c>
      <c r="G334" t="s">
        <v>347</v>
      </c>
      <c r="H334" t="s">
        <v>955</v>
      </c>
      <c r="I334" t="s">
        <v>108</v>
      </c>
      <c r="J334" t="s">
        <v>108</v>
      </c>
      <c r="K334" t="s">
        <v>107</v>
      </c>
      <c r="L334" t="s">
        <v>108</v>
      </c>
      <c r="O334" s="35"/>
      <c r="R334" t="str">
        <f t="shared" si="99"/>
        <v>A0332</v>
      </c>
      <c r="S334" t="s">
        <v>833</v>
      </c>
    </row>
    <row r="335" spans="1:19" x14ac:dyDescent="0.3">
      <c r="A335" s="57">
        <f t="shared" si="100"/>
        <v>333</v>
      </c>
      <c r="B335" s="37" t="s">
        <v>271</v>
      </c>
      <c r="C335" s="240">
        <f t="shared" si="101"/>
        <v>26</v>
      </c>
      <c r="D335" s="240">
        <f t="shared" si="102"/>
        <v>24</v>
      </c>
      <c r="E335" s="240">
        <f t="shared" si="103"/>
        <v>23</v>
      </c>
      <c r="F335" t="s">
        <v>78</v>
      </c>
      <c r="G335" t="s">
        <v>347</v>
      </c>
      <c r="H335" t="s">
        <v>955</v>
      </c>
      <c r="I335" t="s">
        <v>108</v>
      </c>
      <c r="J335" t="s">
        <v>108</v>
      </c>
      <c r="K335" t="s">
        <v>107</v>
      </c>
      <c r="L335" t="s">
        <v>108</v>
      </c>
      <c r="O335" s="35"/>
      <c r="R335" t="str">
        <f t="shared" si="99"/>
        <v>A0333</v>
      </c>
      <c r="S335" t="s">
        <v>834</v>
      </c>
    </row>
    <row r="336" spans="1:19" x14ac:dyDescent="0.3">
      <c r="A336" s="73">
        <f t="shared" ref="A336:A344" si="104">+A335+1</f>
        <v>334</v>
      </c>
      <c r="B336" s="97" t="s">
        <v>254</v>
      </c>
      <c r="C336" s="235">
        <f>+D336+2</f>
        <v>16</v>
      </c>
      <c r="D336" s="235">
        <f>+E336+1</f>
        <v>14</v>
      </c>
      <c r="E336" s="235">
        <f>+E345+2</f>
        <v>13</v>
      </c>
      <c r="F336" t="s">
        <v>78</v>
      </c>
      <c r="G336" t="s">
        <v>347</v>
      </c>
      <c r="H336" t="s">
        <v>955</v>
      </c>
      <c r="I336" t="s">
        <v>108</v>
      </c>
      <c r="J336" t="s">
        <v>108</v>
      </c>
      <c r="K336" t="s">
        <v>107</v>
      </c>
      <c r="L336" t="s">
        <v>108</v>
      </c>
      <c r="O336" s="35"/>
      <c r="R336" t="str">
        <f t="shared" si="99"/>
        <v>A0334</v>
      </c>
      <c r="S336" t="s">
        <v>835</v>
      </c>
    </row>
    <row r="337" spans="1:19" x14ac:dyDescent="0.3">
      <c r="A337" s="73">
        <f t="shared" si="104"/>
        <v>335</v>
      </c>
      <c r="B337" s="98" t="s">
        <v>255</v>
      </c>
      <c r="C337" s="235">
        <f t="shared" ref="C337:C344" si="105">+D337+2</f>
        <v>17</v>
      </c>
      <c r="D337" s="235">
        <f t="shared" ref="D337:D344" si="106">+E337+1</f>
        <v>15</v>
      </c>
      <c r="E337" s="235">
        <f>+E336+1</f>
        <v>14</v>
      </c>
      <c r="F337" t="s">
        <v>78</v>
      </c>
      <c r="G337" t="s">
        <v>347</v>
      </c>
      <c r="H337" t="s">
        <v>955</v>
      </c>
      <c r="I337" t="s">
        <v>108</v>
      </c>
      <c r="J337" t="s">
        <v>108</v>
      </c>
      <c r="K337" t="s">
        <v>107</v>
      </c>
      <c r="L337" t="s">
        <v>108</v>
      </c>
      <c r="O337" s="35"/>
      <c r="R337" t="str">
        <f t="shared" si="99"/>
        <v>A0335</v>
      </c>
      <c r="S337" t="s">
        <v>836</v>
      </c>
    </row>
    <row r="338" spans="1:19" x14ac:dyDescent="0.3">
      <c r="A338" s="73">
        <f t="shared" si="104"/>
        <v>336</v>
      </c>
      <c r="B338" s="98" t="s">
        <v>256</v>
      </c>
      <c r="C338" s="235">
        <f t="shared" si="105"/>
        <v>18</v>
      </c>
      <c r="D338" s="235">
        <f t="shared" si="106"/>
        <v>16</v>
      </c>
      <c r="E338" s="235">
        <f t="shared" ref="E338:E344" si="107">+E337+1</f>
        <v>15</v>
      </c>
      <c r="F338" t="s">
        <v>78</v>
      </c>
      <c r="G338" t="s">
        <v>347</v>
      </c>
      <c r="H338" t="s">
        <v>955</v>
      </c>
      <c r="I338" t="s">
        <v>108</v>
      </c>
      <c r="J338" t="s">
        <v>108</v>
      </c>
      <c r="K338" t="s">
        <v>107</v>
      </c>
      <c r="L338" t="s">
        <v>108</v>
      </c>
      <c r="O338" s="35"/>
      <c r="R338" t="str">
        <f t="shared" si="99"/>
        <v>A0336</v>
      </c>
      <c r="S338" t="s">
        <v>837</v>
      </c>
    </row>
    <row r="339" spans="1:19" x14ac:dyDescent="0.3">
      <c r="A339" s="73">
        <f t="shared" si="104"/>
        <v>337</v>
      </c>
      <c r="B339" s="98" t="s">
        <v>257</v>
      </c>
      <c r="C339" s="235">
        <f t="shared" si="105"/>
        <v>19</v>
      </c>
      <c r="D339" s="235">
        <f t="shared" si="106"/>
        <v>17</v>
      </c>
      <c r="E339" s="235">
        <f t="shared" si="107"/>
        <v>16</v>
      </c>
      <c r="F339" t="s">
        <v>78</v>
      </c>
      <c r="G339" t="s">
        <v>347</v>
      </c>
      <c r="H339" t="s">
        <v>955</v>
      </c>
      <c r="I339" t="s">
        <v>108</v>
      </c>
      <c r="J339" t="s">
        <v>108</v>
      </c>
      <c r="K339" t="s">
        <v>107</v>
      </c>
      <c r="L339" t="s">
        <v>108</v>
      </c>
      <c r="O339" s="35"/>
      <c r="R339" t="str">
        <f t="shared" si="99"/>
        <v>A0337</v>
      </c>
      <c r="S339" t="s">
        <v>838</v>
      </c>
    </row>
    <row r="340" spans="1:19" x14ac:dyDescent="0.3">
      <c r="A340" s="73">
        <f t="shared" si="104"/>
        <v>338</v>
      </c>
      <c r="B340" s="98" t="s">
        <v>258</v>
      </c>
      <c r="C340" s="235">
        <f t="shared" si="105"/>
        <v>20</v>
      </c>
      <c r="D340" s="235">
        <f t="shared" si="106"/>
        <v>18</v>
      </c>
      <c r="E340" s="235">
        <f t="shared" si="107"/>
        <v>17</v>
      </c>
      <c r="F340" t="s">
        <v>78</v>
      </c>
      <c r="G340" t="s">
        <v>347</v>
      </c>
      <c r="H340" t="s">
        <v>955</v>
      </c>
      <c r="I340" t="s">
        <v>108</v>
      </c>
      <c r="J340" t="s">
        <v>108</v>
      </c>
      <c r="K340" t="s">
        <v>107</v>
      </c>
      <c r="L340" t="s">
        <v>108</v>
      </c>
      <c r="O340" s="35"/>
      <c r="R340" t="str">
        <f t="shared" si="99"/>
        <v>A0338</v>
      </c>
      <c r="S340" t="s">
        <v>839</v>
      </c>
    </row>
    <row r="341" spans="1:19" x14ac:dyDescent="0.3">
      <c r="A341" s="73">
        <f t="shared" si="104"/>
        <v>339</v>
      </c>
      <c r="B341" s="98" t="s">
        <v>259</v>
      </c>
      <c r="C341" s="235">
        <f t="shared" si="105"/>
        <v>21</v>
      </c>
      <c r="D341" s="235">
        <f t="shared" si="106"/>
        <v>19</v>
      </c>
      <c r="E341" s="235">
        <f t="shared" si="107"/>
        <v>18</v>
      </c>
      <c r="F341" t="s">
        <v>78</v>
      </c>
      <c r="G341" t="s">
        <v>347</v>
      </c>
      <c r="H341" t="s">
        <v>955</v>
      </c>
      <c r="I341" t="s">
        <v>108</v>
      </c>
      <c r="J341" t="s">
        <v>108</v>
      </c>
      <c r="K341" t="s">
        <v>107</v>
      </c>
      <c r="L341" t="s">
        <v>108</v>
      </c>
      <c r="O341" s="35"/>
      <c r="R341" t="str">
        <f t="shared" si="99"/>
        <v>A0339</v>
      </c>
      <c r="S341" t="s">
        <v>840</v>
      </c>
    </row>
    <row r="342" spans="1:19" x14ac:dyDescent="0.3">
      <c r="A342" s="73">
        <f t="shared" si="104"/>
        <v>340</v>
      </c>
      <c r="B342" s="98" t="s">
        <v>260</v>
      </c>
      <c r="C342" s="235">
        <f t="shared" si="105"/>
        <v>22</v>
      </c>
      <c r="D342" s="235">
        <f t="shared" si="106"/>
        <v>20</v>
      </c>
      <c r="E342" s="235">
        <f t="shared" si="107"/>
        <v>19</v>
      </c>
      <c r="F342" t="s">
        <v>78</v>
      </c>
      <c r="G342" t="s">
        <v>347</v>
      </c>
      <c r="H342" t="s">
        <v>955</v>
      </c>
      <c r="I342" t="s">
        <v>108</v>
      </c>
      <c r="J342" t="s">
        <v>108</v>
      </c>
      <c r="K342" t="s">
        <v>107</v>
      </c>
      <c r="L342" t="s">
        <v>108</v>
      </c>
      <c r="O342" s="35"/>
      <c r="R342" t="str">
        <f t="shared" si="99"/>
        <v>A0340</v>
      </c>
      <c r="S342" t="s">
        <v>841</v>
      </c>
    </row>
    <row r="343" spans="1:19" x14ac:dyDescent="0.3">
      <c r="A343" s="73">
        <f t="shared" si="104"/>
        <v>341</v>
      </c>
      <c r="B343" s="98" t="s">
        <v>261</v>
      </c>
      <c r="C343" s="235">
        <f t="shared" si="105"/>
        <v>23</v>
      </c>
      <c r="D343" s="235">
        <f t="shared" si="106"/>
        <v>21</v>
      </c>
      <c r="E343" s="235">
        <f t="shared" si="107"/>
        <v>20</v>
      </c>
      <c r="F343" t="s">
        <v>78</v>
      </c>
      <c r="G343" t="s">
        <v>347</v>
      </c>
      <c r="H343" t="s">
        <v>955</v>
      </c>
      <c r="I343" t="s">
        <v>108</v>
      </c>
      <c r="J343" t="s">
        <v>108</v>
      </c>
      <c r="K343" t="s">
        <v>107</v>
      </c>
      <c r="L343" t="s">
        <v>108</v>
      </c>
      <c r="O343" s="35"/>
      <c r="R343" t="str">
        <f t="shared" si="99"/>
        <v>A0341</v>
      </c>
      <c r="S343" t="s">
        <v>842</v>
      </c>
    </row>
    <row r="344" spans="1:19" x14ac:dyDescent="0.3">
      <c r="A344" s="73">
        <f t="shared" si="104"/>
        <v>342</v>
      </c>
      <c r="B344" s="98" t="s">
        <v>262</v>
      </c>
      <c r="C344" s="235">
        <f t="shared" si="105"/>
        <v>24</v>
      </c>
      <c r="D344" s="235">
        <f t="shared" si="106"/>
        <v>22</v>
      </c>
      <c r="E344" s="235">
        <f t="shared" si="107"/>
        <v>21</v>
      </c>
      <c r="F344" t="s">
        <v>78</v>
      </c>
      <c r="G344" t="s">
        <v>347</v>
      </c>
      <c r="H344" t="s">
        <v>955</v>
      </c>
      <c r="I344" t="s">
        <v>108</v>
      </c>
      <c r="J344" t="s">
        <v>108</v>
      </c>
      <c r="K344" t="s">
        <v>107</v>
      </c>
      <c r="L344" t="s">
        <v>108</v>
      </c>
      <c r="O344" s="35"/>
      <c r="R344" t="str">
        <f t="shared" si="99"/>
        <v>A0342</v>
      </c>
      <c r="S344" t="s">
        <v>843</v>
      </c>
    </row>
    <row r="345" spans="1:19" x14ac:dyDescent="0.3">
      <c r="A345" s="59">
        <f>+A344+1</f>
        <v>343</v>
      </c>
      <c r="B345" s="99" t="s">
        <v>359</v>
      </c>
      <c r="C345" s="219">
        <f>+D345+2</f>
        <v>14</v>
      </c>
      <c r="D345" s="219">
        <f>+E345+1</f>
        <v>12</v>
      </c>
      <c r="E345" s="219">
        <f>+E239+1</f>
        <v>11</v>
      </c>
      <c r="F345" t="s">
        <v>76</v>
      </c>
      <c r="G345" t="s">
        <v>347</v>
      </c>
      <c r="H345" t="s">
        <v>955</v>
      </c>
      <c r="I345" t="s">
        <v>107</v>
      </c>
      <c r="J345" t="s">
        <v>108</v>
      </c>
      <c r="K345" t="s">
        <v>108</v>
      </c>
      <c r="L345" t="s">
        <v>108</v>
      </c>
      <c r="O345" s="35"/>
      <c r="R345" t="str">
        <f t="shared" si="99"/>
        <v>A0343</v>
      </c>
      <c r="S345" t="s">
        <v>844</v>
      </c>
    </row>
    <row r="346" spans="1:19" x14ac:dyDescent="0.3">
      <c r="A346" s="59">
        <f t="shared" si="100"/>
        <v>344</v>
      </c>
      <c r="B346" s="99" t="s">
        <v>360</v>
      </c>
      <c r="C346" s="219">
        <f>+D346+2</f>
        <v>15</v>
      </c>
      <c r="D346" s="219">
        <f>+E346+1</f>
        <v>13</v>
      </c>
      <c r="E346" s="219">
        <f t="shared" ref="E346:E352" si="108">+E345+1</f>
        <v>12</v>
      </c>
      <c r="F346" t="s">
        <v>76</v>
      </c>
      <c r="G346" t="s">
        <v>347</v>
      </c>
      <c r="H346" t="s">
        <v>955</v>
      </c>
      <c r="I346" t="s">
        <v>107</v>
      </c>
      <c r="J346" t="s">
        <v>108</v>
      </c>
      <c r="K346" t="s">
        <v>108</v>
      </c>
      <c r="L346" t="s">
        <v>108</v>
      </c>
      <c r="O346" s="35"/>
      <c r="R346" t="str">
        <f t="shared" si="99"/>
        <v>A0344</v>
      </c>
      <c r="S346" t="s">
        <v>845</v>
      </c>
    </row>
    <row r="347" spans="1:19" x14ac:dyDescent="0.3">
      <c r="A347" s="59">
        <f t="shared" si="100"/>
        <v>345</v>
      </c>
      <c r="B347" s="99" t="s">
        <v>361</v>
      </c>
      <c r="C347" s="219">
        <f t="shared" ref="C347:C352" si="109">+D347+2</f>
        <v>16</v>
      </c>
      <c r="D347" s="219">
        <f t="shared" ref="D347:D352" si="110">+E347+1</f>
        <v>14</v>
      </c>
      <c r="E347" s="219">
        <f t="shared" si="108"/>
        <v>13</v>
      </c>
      <c r="F347" t="s">
        <v>76</v>
      </c>
      <c r="G347" t="s">
        <v>347</v>
      </c>
      <c r="H347" t="s">
        <v>955</v>
      </c>
      <c r="I347" t="s">
        <v>107</v>
      </c>
      <c r="J347" t="s">
        <v>108</v>
      </c>
      <c r="K347" t="s">
        <v>108</v>
      </c>
      <c r="L347" t="s">
        <v>108</v>
      </c>
      <c r="O347" s="35"/>
      <c r="R347" t="str">
        <f t="shared" si="99"/>
        <v>A0345</v>
      </c>
      <c r="S347" t="s">
        <v>846</v>
      </c>
    </row>
    <row r="348" spans="1:19" x14ac:dyDescent="0.3">
      <c r="A348" s="59">
        <f t="shared" si="100"/>
        <v>346</v>
      </c>
      <c r="B348" s="99" t="s">
        <v>362</v>
      </c>
      <c r="C348" s="219">
        <f t="shared" si="109"/>
        <v>17</v>
      </c>
      <c r="D348" s="219">
        <f t="shared" si="110"/>
        <v>15</v>
      </c>
      <c r="E348" s="219">
        <f t="shared" si="108"/>
        <v>14</v>
      </c>
      <c r="F348" t="s">
        <v>76</v>
      </c>
      <c r="G348" t="s">
        <v>347</v>
      </c>
      <c r="H348" t="s">
        <v>955</v>
      </c>
      <c r="I348" t="s">
        <v>107</v>
      </c>
      <c r="J348" t="s">
        <v>108</v>
      </c>
      <c r="K348" t="s">
        <v>108</v>
      </c>
      <c r="L348" t="s">
        <v>108</v>
      </c>
      <c r="O348" s="35"/>
      <c r="R348" t="str">
        <f t="shared" si="99"/>
        <v>A0346</v>
      </c>
      <c r="S348" t="s">
        <v>847</v>
      </c>
    </row>
    <row r="349" spans="1:19" x14ac:dyDescent="0.3">
      <c r="A349" s="59">
        <f t="shared" si="100"/>
        <v>347</v>
      </c>
      <c r="B349" s="99" t="s">
        <v>363</v>
      </c>
      <c r="C349" s="219">
        <f t="shared" si="109"/>
        <v>18</v>
      </c>
      <c r="D349" s="219">
        <f t="shared" si="110"/>
        <v>16</v>
      </c>
      <c r="E349" s="219">
        <f t="shared" si="108"/>
        <v>15</v>
      </c>
      <c r="F349" t="s">
        <v>76</v>
      </c>
      <c r="G349" t="s">
        <v>347</v>
      </c>
      <c r="H349" t="s">
        <v>955</v>
      </c>
      <c r="I349" t="s">
        <v>107</v>
      </c>
      <c r="J349" t="s">
        <v>108</v>
      </c>
      <c r="K349" t="s">
        <v>108</v>
      </c>
      <c r="L349" t="s">
        <v>108</v>
      </c>
      <c r="O349" s="35"/>
      <c r="R349" t="str">
        <f t="shared" si="99"/>
        <v>A0347</v>
      </c>
      <c r="S349" t="s">
        <v>848</v>
      </c>
    </row>
    <row r="350" spans="1:19" x14ac:dyDescent="0.3">
      <c r="A350" s="59">
        <f t="shared" si="100"/>
        <v>348</v>
      </c>
      <c r="B350" s="99" t="s">
        <v>364</v>
      </c>
      <c r="C350" s="219">
        <f t="shared" si="109"/>
        <v>19</v>
      </c>
      <c r="D350" s="219">
        <f t="shared" si="110"/>
        <v>17</v>
      </c>
      <c r="E350" s="219">
        <f t="shared" si="108"/>
        <v>16</v>
      </c>
      <c r="F350" t="s">
        <v>76</v>
      </c>
      <c r="G350" t="s">
        <v>347</v>
      </c>
      <c r="H350" t="s">
        <v>955</v>
      </c>
      <c r="I350" t="s">
        <v>107</v>
      </c>
      <c r="J350" t="s">
        <v>108</v>
      </c>
      <c r="K350" t="s">
        <v>108</v>
      </c>
      <c r="L350" t="s">
        <v>108</v>
      </c>
      <c r="O350" s="35"/>
      <c r="R350" t="str">
        <f t="shared" si="99"/>
        <v>A0348</v>
      </c>
      <c r="S350" t="s">
        <v>849</v>
      </c>
    </row>
    <row r="351" spans="1:19" x14ac:dyDescent="0.3">
      <c r="A351" s="59">
        <f t="shared" si="100"/>
        <v>349</v>
      </c>
      <c r="B351" s="99" t="s">
        <v>365</v>
      </c>
      <c r="C351" s="219">
        <f t="shared" si="109"/>
        <v>20</v>
      </c>
      <c r="D351" s="219">
        <f t="shared" si="110"/>
        <v>18</v>
      </c>
      <c r="E351" s="219">
        <f t="shared" si="108"/>
        <v>17</v>
      </c>
      <c r="F351" t="s">
        <v>76</v>
      </c>
      <c r="G351" t="s">
        <v>347</v>
      </c>
      <c r="H351" t="s">
        <v>955</v>
      </c>
      <c r="I351" t="s">
        <v>107</v>
      </c>
      <c r="J351" t="s">
        <v>108</v>
      </c>
      <c r="K351" t="s">
        <v>108</v>
      </c>
      <c r="L351" t="s">
        <v>108</v>
      </c>
      <c r="O351" s="35"/>
      <c r="R351" t="str">
        <f t="shared" si="99"/>
        <v>A0349</v>
      </c>
      <c r="S351" t="s">
        <v>850</v>
      </c>
    </row>
    <row r="352" spans="1:19" x14ac:dyDescent="0.3">
      <c r="A352" s="59">
        <f t="shared" si="100"/>
        <v>350</v>
      </c>
      <c r="B352" s="99" t="s">
        <v>366</v>
      </c>
      <c r="C352" s="219">
        <f t="shared" si="109"/>
        <v>21</v>
      </c>
      <c r="D352" s="219">
        <f t="shared" si="110"/>
        <v>19</v>
      </c>
      <c r="E352" s="219">
        <f t="shared" si="108"/>
        <v>18</v>
      </c>
      <c r="F352" t="s">
        <v>76</v>
      </c>
      <c r="G352" t="s">
        <v>347</v>
      </c>
      <c r="H352" t="s">
        <v>955</v>
      </c>
      <c r="I352" t="s">
        <v>107</v>
      </c>
      <c r="J352" t="s">
        <v>108</v>
      </c>
      <c r="K352" t="s">
        <v>108</v>
      </c>
      <c r="L352" t="s">
        <v>108</v>
      </c>
      <c r="O352" s="35"/>
      <c r="R352" t="str">
        <f t="shared" si="99"/>
        <v>A0350</v>
      </c>
      <c r="S352" t="s">
        <v>851</v>
      </c>
    </row>
    <row r="353" spans="1:19" x14ac:dyDescent="0.3">
      <c r="A353" s="142">
        <f t="shared" si="100"/>
        <v>351</v>
      </c>
      <c r="B353" s="143" t="s">
        <v>296</v>
      </c>
      <c r="C353" s="251">
        <f>+D353+2</f>
        <v>14</v>
      </c>
      <c r="D353" s="251">
        <f>+E353+1</f>
        <v>12</v>
      </c>
      <c r="E353" s="251">
        <f>+E380+1</f>
        <v>11</v>
      </c>
      <c r="F353" t="s">
        <v>76</v>
      </c>
      <c r="G353" t="s">
        <v>157</v>
      </c>
      <c r="H353" t="s">
        <v>955</v>
      </c>
      <c r="I353" t="s">
        <v>107</v>
      </c>
      <c r="J353" t="s">
        <v>108</v>
      </c>
      <c r="K353" t="s">
        <v>108</v>
      </c>
      <c r="L353" t="s">
        <v>108</v>
      </c>
      <c r="R353" t="str">
        <f t="shared" si="99"/>
        <v>A0351</v>
      </c>
      <c r="S353" t="s">
        <v>852</v>
      </c>
    </row>
    <row r="354" spans="1:19" x14ac:dyDescent="0.3">
      <c r="A354" s="142">
        <f t="shared" si="100"/>
        <v>352</v>
      </c>
      <c r="B354" s="143" t="s">
        <v>297</v>
      </c>
      <c r="C354" s="251">
        <f t="shared" ref="C354:C361" si="111">+D354+2</f>
        <v>15</v>
      </c>
      <c r="D354" s="251">
        <f>+E354+1</f>
        <v>13</v>
      </c>
      <c r="E354" s="251">
        <f>+E353+1</f>
        <v>12</v>
      </c>
      <c r="F354" t="s">
        <v>76</v>
      </c>
      <c r="G354" t="s">
        <v>157</v>
      </c>
      <c r="H354" t="s">
        <v>955</v>
      </c>
      <c r="I354" t="s">
        <v>107</v>
      </c>
      <c r="J354" t="s">
        <v>108</v>
      </c>
      <c r="K354" t="s">
        <v>108</v>
      </c>
      <c r="L354" t="s">
        <v>108</v>
      </c>
      <c r="O354" s="35"/>
      <c r="R354" t="str">
        <f t="shared" si="99"/>
        <v>A0352</v>
      </c>
      <c r="S354" t="s">
        <v>853</v>
      </c>
    </row>
    <row r="355" spans="1:19" x14ac:dyDescent="0.3">
      <c r="A355" s="142">
        <f t="shared" si="100"/>
        <v>353</v>
      </c>
      <c r="B355" s="143" t="s">
        <v>298</v>
      </c>
      <c r="C355" s="251">
        <f t="shared" si="111"/>
        <v>16</v>
      </c>
      <c r="D355" s="251">
        <f t="shared" ref="D355:D361" si="112">+E355+1</f>
        <v>14</v>
      </c>
      <c r="E355" s="251">
        <f>+E354+1</f>
        <v>13</v>
      </c>
      <c r="F355" t="s">
        <v>76</v>
      </c>
      <c r="G355" t="s">
        <v>157</v>
      </c>
      <c r="H355" t="s">
        <v>955</v>
      </c>
      <c r="I355" t="s">
        <v>107</v>
      </c>
      <c r="J355" t="s">
        <v>108</v>
      </c>
      <c r="K355" t="s">
        <v>108</v>
      </c>
      <c r="L355" t="s">
        <v>108</v>
      </c>
      <c r="O355" s="35"/>
      <c r="R355" t="str">
        <f t="shared" si="99"/>
        <v>A0353</v>
      </c>
      <c r="S355" t="s">
        <v>854</v>
      </c>
    </row>
    <row r="356" spans="1:19" x14ac:dyDescent="0.3">
      <c r="A356" s="142">
        <f t="shared" si="100"/>
        <v>354</v>
      </c>
      <c r="B356" s="143" t="s">
        <v>299</v>
      </c>
      <c r="C356" s="251">
        <f t="shared" si="111"/>
        <v>17</v>
      </c>
      <c r="D356" s="251">
        <f t="shared" si="112"/>
        <v>15</v>
      </c>
      <c r="E356" s="251">
        <f t="shared" ref="E356:E361" si="113">+E355+1</f>
        <v>14</v>
      </c>
      <c r="F356" t="s">
        <v>76</v>
      </c>
      <c r="G356" t="s">
        <v>157</v>
      </c>
      <c r="H356" t="s">
        <v>955</v>
      </c>
      <c r="I356" t="s">
        <v>107</v>
      </c>
      <c r="J356" t="s">
        <v>108</v>
      </c>
      <c r="K356" t="s">
        <v>108</v>
      </c>
      <c r="L356" t="s">
        <v>108</v>
      </c>
      <c r="O356" s="35"/>
      <c r="R356" t="str">
        <f t="shared" si="99"/>
        <v>A0354</v>
      </c>
      <c r="S356" t="s">
        <v>855</v>
      </c>
    </row>
    <row r="357" spans="1:19" x14ac:dyDescent="0.3">
      <c r="A357" s="142">
        <f t="shared" si="100"/>
        <v>355</v>
      </c>
      <c r="B357" s="143" t="s">
        <v>300</v>
      </c>
      <c r="C357" s="251">
        <f t="shared" si="111"/>
        <v>18</v>
      </c>
      <c r="D357" s="251">
        <f t="shared" si="112"/>
        <v>16</v>
      </c>
      <c r="E357" s="251">
        <f t="shared" si="113"/>
        <v>15</v>
      </c>
      <c r="F357" t="s">
        <v>76</v>
      </c>
      <c r="G357" t="s">
        <v>157</v>
      </c>
      <c r="H357" t="s">
        <v>955</v>
      </c>
      <c r="I357" t="s">
        <v>107</v>
      </c>
      <c r="J357" t="s">
        <v>108</v>
      </c>
      <c r="K357" t="s">
        <v>108</v>
      </c>
      <c r="L357" t="s">
        <v>108</v>
      </c>
      <c r="O357" s="35"/>
      <c r="R357" t="str">
        <f t="shared" si="99"/>
        <v>A0355</v>
      </c>
      <c r="S357" t="s">
        <v>856</v>
      </c>
    </row>
    <row r="358" spans="1:19" x14ac:dyDescent="0.3">
      <c r="A358" s="142">
        <f t="shared" si="100"/>
        <v>356</v>
      </c>
      <c r="B358" s="143" t="s">
        <v>301</v>
      </c>
      <c r="C358" s="251">
        <f t="shared" si="111"/>
        <v>19</v>
      </c>
      <c r="D358" s="251">
        <f t="shared" si="112"/>
        <v>17</v>
      </c>
      <c r="E358" s="251">
        <f t="shared" si="113"/>
        <v>16</v>
      </c>
      <c r="F358" t="s">
        <v>76</v>
      </c>
      <c r="G358" t="s">
        <v>157</v>
      </c>
      <c r="H358" t="s">
        <v>955</v>
      </c>
      <c r="I358" t="s">
        <v>107</v>
      </c>
      <c r="J358" t="s">
        <v>108</v>
      </c>
      <c r="K358" t="s">
        <v>108</v>
      </c>
      <c r="L358" t="s">
        <v>108</v>
      </c>
      <c r="O358" s="35"/>
      <c r="R358" t="str">
        <f t="shared" si="99"/>
        <v>A0356</v>
      </c>
      <c r="S358" t="s">
        <v>857</v>
      </c>
    </row>
    <row r="359" spans="1:19" x14ac:dyDescent="0.3">
      <c r="A359" s="142">
        <f t="shared" si="100"/>
        <v>357</v>
      </c>
      <c r="B359" s="143" t="s">
        <v>302</v>
      </c>
      <c r="C359" s="251">
        <f t="shared" si="111"/>
        <v>20</v>
      </c>
      <c r="D359" s="251">
        <f t="shared" si="112"/>
        <v>18</v>
      </c>
      <c r="E359" s="251">
        <f t="shared" si="113"/>
        <v>17</v>
      </c>
      <c r="F359" t="s">
        <v>76</v>
      </c>
      <c r="G359" t="s">
        <v>157</v>
      </c>
      <c r="H359" t="s">
        <v>955</v>
      </c>
      <c r="I359" t="s">
        <v>107</v>
      </c>
      <c r="J359" t="s">
        <v>108</v>
      </c>
      <c r="K359" t="s">
        <v>108</v>
      </c>
      <c r="L359" t="s">
        <v>108</v>
      </c>
      <c r="O359" s="35"/>
      <c r="R359" t="str">
        <f t="shared" si="99"/>
        <v>A0357</v>
      </c>
      <c r="S359" t="s">
        <v>858</v>
      </c>
    </row>
    <row r="360" spans="1:19" x14ac:dyDescent="0.3">
      <c r="A360" s="142">
        <f t="shared" si="100"/>
        <v>358</v>
      </c>
      <c r="B360" s="143" t="s">
        <v>303</v>
      </c>
      <c r="C360" s="251">
        <f t="shared" si="111"/>
        <v>21</v>
      </c>
      <c r="D360" s="251">
        <f t="shared" si="112"/>
        <v>19</v>
      </c>
      <c r="E360" s="251">
        <f t="shared" si="113"/>
        <v>18</v>
      </c>
      <c r="F360" t="s">
        <v>76</v>
      </c>
      <c r="G360" t="s">
        <v>157</v>
      </c>
      <c r="H360" t="s">
        <v>955</v>
      </c>
      <c r="I360" t="s">
        <v>107</v>
      </c>
      <c r="J360" t="s">
        <v>108</v>
      </c>
      <c r="K360" t="s">
        <v>108</v>
      </c>
      <c r="L360" t="s">
        <v>108</v>
      </c>
      <c r="O360" s="35"/>
      <c r="R360" t="str">
        <f t="shared" si="99"/>
        <v>A0358</v>
      </c>
      <c r="S360" t="s">
        <v>859</v>
      </c>
    </row>
    <row r="361" spans="1:19" x14ac:dyDescent="0.3">
      <c r="A361" s="142">
        <f t="shared" si="100"/>
        <v>359</v>
      </c>
      <c r="B361" s="143" t="s">
        <v>304</v>
      </c>
      <c r="C361" s="251">
        <f t="shared" si="111"/>
        <v>22</v>
      </c>
      <c r="D361" s="251">
        <f t="shared" si="112"/>
        <v>20</v>
      </c>
      <c r="E361" s="251">
        <f t="shared" si="113"/>
        <v>19</v>
      </c>
      <c r="F361" t="s">
        <v>76</v>
      </c>
      <c r="G361" t="s">
        <v>157</v>
      </c>
      <c r="H361" t="s">
        <v>955</v>
      </c>
      <c r="I361" t="s">
        <v>107</v>
      </c>
      <c r="J361" t="s">
        <v>108</v>
      </c>
      <c r="K361" t="s">
        <v>108</v>
      </c>
      <c r="L361" t="s">
        <v>108</v>
      </c>
      <c r="O361" s="35"/>
      <c r="R361" t="str">
        <f t="shared" si="99"/>
        <v>A0359</v>
      </c>
      <c r="S361" t="s">
        <v>860</v>
      </c>
    </row>
    <row r="362" spans="1:19" x14ac:dyDescent="0.3">
      <c r="A362" s="144">
        <f t="shared" si="100"/>
        <v>360</v>
      </c>
      <c r="B362" s="145" t="s">
        <v>305</v>
      </c>
      <c r="C362" s="252">
        <f>+D362+2</f>
        <v>12</v>
      </c>
      <c r="D362" s="252">
        <f t="shared" ref="D362:D381" si="114">+E362+1</f>
        <v>10</v>
      </c>
      <c r="E362" s="252">
        <f>+E353-2</f>
        <v>9</v>
      </c>
      <c r="F362" t="s">
        <v>76</v>
      </c>
      <c r="G362" t="s">
        <v>157</v>
      </c>
      <c r="H362" t="s">
        <v>955</v>
      </c>
      <c r="I362" t="s">
        <v>108</v>
      </c>
      <c r="J362" t="s">
        <v>107</v>
      </c>
      <c r="K362" t="s">
        <v>108</v>
      </c>
      <c r="L362" t="s">
        <v>108</v>
      </c>
      <c r="M362" s="33" t="s">
        <v>19</v>
      </c>
      <c r="N362" s="33" t="s">
        <v>194</v>
      </c>
      <c r="O362" s="44">
        <f>ROUND(VLOOKUP(N362,[1]INDICE!$A$5:$D$424,4,FALSE),2)</f>
        <v>7.46</v>
      </c>
      <c r="R362" t="str">
        <f t="shared" si="99"/>
        <v>A0360</v>
      </c>
      <c r="S362" t="s">
        <v>861</v>
      </c>
    </row>
    <row r="363" spans="1:19" x14ac:dyDescent="0.3">
      <c r="A363" s="144">
        <f t="shared" si="100"/>
        <v>361</v>
      </c>
      <c r="B363" s="145" t="s">
        <v>306</v>
      </c>
      <c r="C363" s="252">
        <f t="shared" ref="C363:C381" si="115">+D363+2</f>
        <v>13</v>
      </c>
      <c r="D363" s="252">
        <f t="shared" si="114"/>
        <v>11</v>
      </c>
      <c r="E363" s="252">
        <f t="shared" ref="E363" si="116">+E362+1</f>
        <v>10</v>
      </c>
      <c r="F363" t="s">
        <v>76</v>
      </c>
      <c r="G363" t="s">
        <v>157</v>
      </c>
      <c r="H363" t="s">
        <v>955</v>
      </c>
      <c r="I363" t="s">
        <v>108</v>
      </c>
      <c r="J363" t="s">
        <v>107</v>
      </c>
      <c r="K363" t="s">
        <v>108</v>
      </c>
      <c r="L363" t="s">
        <v>108</v>
      </c>
      <c r="O363" s="35"/>
      <c r="R363" t="str">
        <f t="shared" si="99"/>
        <v>A0361</v>
      </c>
      <c r="S363" t="s">
        <v>862</v>
      </c>
    </row>
    <row r="364" spans="1:19" x14ac:dyDescent="0.3">
      <c r="A364" s="144">
        <f t="shared" si="100"/>
        <v>362</v>
      </c>
      <c r="B364" s="145" t="s">
        <v>307</v>
      </c>
      <c r="C364" s="252">
        <f t="shared" si="115"/>
        <v>14</v>
      </c>
      <c r="D364" s="252">
        <f t="shared" si="114"/>
        <v>12</v>
      </c>
      <c r="E364" s="252">
        <f t="shared" ref="E364:E370" si="117">+E363+1</f>
        <v>11</v>
      </c>
      <c r="F364" t="s">
        <v>76</v>
      </c>
      <c r="G364" t="s">
        <v>157</v>
      </c>
      <c r="H364" t="s">
        <v>955</v>
      </c>
      <c r="I364" t="s">
        <v>108</v>
      </c>
      <c r="J364" t="s">
        <v>107</v>
      </c>
      <c r="K364" t="s">
        <v>108</v>
      </c>
      <c r="L364" t="s">
        <v>108</v>
      </c>
      <c r="O364" s="35"/>
      <c r="R364" t="str">
        <f t="shared" si="99"/>
        <v>A0362</v>
      </c>
      <c r="S364" t="s">
        <v>863</v>
      </c>
    </row>
    <row r="365" spans="1:19" x14ac:dyDescent="0.3">
      <c r="A365" s="144">
        <f t="shared" si="100"/>
        <v>363</v>
      </c>
      <c r="B365" s="145" t="s">
        <v>308</v>
      </c>
      <c r="C365" s="252">
        <f t="shared" si="115"/>
        <v>15</v>
      </c>
      <c r="D365" s="252">
        <f t="shared" si="114"/>
        <v>13</v>
      </c>
      <c r="E365" s="252">
        <f t="shared" si="117"/>
        <v>12</v>
      </c>
      <c r="F365" t="s">
        <v>76</v>
      </c>
      <c r="G365" t="s">
        <v>157</v>
      </c>
      <c r="H365" t="s">
        <v>955</v>
      </c>
      <c r="I365" t="s">
        <v>108</v>
      </c>
      <c r="J365" t="s">
        <v>107</v>
      </c>
      <c r="K365" t="s">
        <v>108</v>
      </c>
      <c r="L365" t="s">
        <v>108</v>
      </c>
      <c r="O365" s="35"/>
      <c r="R365" t="str">
        <f t="shared" si="99"/>
        <v>A0363</v>
      </c>
      <c r="S365" t="s">
        <v>864</v>
      </c>
    </row>
    <row r="366" spans="1:19" x14ac:dyDescent="0.3">
      <c r="A366" s="144">
        <f t="shared" si="100"/>
        <v>364</v>
      </c>
      <c r="B366" s="145" t="s">
        <v>309</v>
      </c>
      <c r="C366" s="252">
        <f t="shared" si="115"/>
        <v>16</v>
      </c>
      <c r="D366" s="252">
        <f t="shared" si="114"/>
        <v>14</v>
      </c>
      <c r="E366" s="252">
        <f t="shared" si="117"/>
        <v>13</v>
      </c>
      <c r="F366" t="s">
        <v>76</v>
      </c>
      <c r="G366" t="s">
        <v>157</v>
      </c>
      <c r="H366" t="s">
        <v>955</v>
      </c>
      <c r="I366" t="s">
        <v>108</v>
      </c>
      <c r="J366" t="s">
        <v>107</v>
      </c>
      <c r="K366" t="s">
        <v>108</v>
      </c>
      <c r="L366" t="s">
        <v>108</v>
      </c>
      <c r="O366" s="35"/>
      <c r="R366" t="str">
        <f t="shared" si="99"/>
        <v>A0364</v>
      </c>
      <c r="S366" t="s">
        <v>865</v>
      </c>
    </row>
    <row r="367" spans="1:19" x14ac:dyDescent="0.3">
      <c r="A367" s="144">
        <f t="shared" si="100"/>
        <v>365</v>
      </c>
      <c r="B367" s="145" t="s">
        <v>310</v>
      </c>
      <c r="C367" s="252">
        <f t="shared" si="115"/>
        <v>17</v>
      </c>
      <c r="D367" s="252">
        <f t="shared" si="114"/>
        <v>15</v>
      </c>
      <c r="E367" s="252">
        <f t="shared" si="117"/>
        <v>14</v>
      </c>
      <c r="F367" t="s">
        <v>76</v>
      </c>
      <c r="G367" t="s">
        <v>157</v>
      </c>
      <c r="H367" t="s">
        <v>955</v>
      </c>
      <c r="I367" t="s">
        <v>108</v>
      </c>
      <c r="J367" t="s">
        <v>107</v>
      </c>
      <c r="K367" t="s">
        <v>108</v>
      </c>
      <c r="L367" t="s">
        <v>108</v>
      </c>
      <c r="O367" s="35"/>
      <c r="R367" t="str">
        <f t="shared" si="99"/>
        <v>A0365</v>
      </c>
      <c r="S367" t="s">
        <v>866</v>
      </c>
    </row>
    <row r="368" spans="1:19" x14ac:dyDescent="0.3">
      <c r="A368" s="144">
        <f t="shared" si="100"/>
        <v>366</v>
      </c>
      <c r="B368" s="145" t="s">
        <v>311</v>
      </c>
      <c r="C368" s="252">
        <f t="shared" si="115"/>
        <v>18</v>
      </c>
      <c r="D368" s="252">
        <f t="shared" si="114"/>
        <v>16</v>
      </c>
      <c r="E368" s="252">
        <f t="shared" si="117"/>
        <v>15</v>
      </c>
      <c r="F368" t="s">
        <v>76</v>
      </c>
      <c r="G368" t="s">
        <v>157</v>
      </c>
      <c r="H368" t="s">
        <v>955</v>
      </c>
      <c r="I368" t="s">
        <v>108</v>
      </c>
      <c r="J368" t="s">
        <v>107</v>
      </c>
      <c r="K368" t="s">
        <v>108</v>
      </c>
      <c r="L368" t="s">
        <v>108</v>
      </c>
      <c r="O368" s="35"/>
      <c r="R368" t="str">
        <f t="shared" si="99"/>
        <v>A0366</v>
      </c>
      <c r="S368" t="s">
        <v>867</v>
      </c>
    </row>
    <row r="369" spans="1:19" x14ac:dyDescent="0.3">
      <c r="A369" s="144">
        <f t="shared" si="100"/>
        <v>367</v>
      </c>
      <c r="B369" s="145" t="s">
        <v>312</v>
      </c>
      <c r="C369" s="252">
        <f t="shared" si="115"/>
        <v>19</v>
      </c>
      <c r="D369" s="252">
        <f t="shared" si="114"/>
        <v>17</v>
      </c>
      <c r="E369" s="252">
        <f t="shared" si="117"/>
        <v>16</v>
      </c>
      <c r="F369" t="s">
        <v>76</v>
      </c>
      <c r="G369" t="s">
        <v>157</v>
      </c>
      <c r="H369" t="s">
        <v>955</v>
      </c>
      <c r="I369" t="s">
        <v>108</v>
      </c>
      <c r="J369" t="s">
        <v>107</v>
      </c>
      <c r="K369" t="s">
        <v>108</v>
      </c>
      <c r="L369" t="s">
        <v>108</v>
      </c>
      <c r="O369" s="35"/>
      <c r="R369" t="str">
        <f t="shared" si="99"/>
        <v>A0367</v>
      </c>
      <c r="S369" t="s">
        <v>868</v>
      </c>
    </row>
    <row r="370" spans="1:19" x14ac:dyDescent="0.3">
      <c r="A370" s="144">
        <f t="shared" si="100"/>
        <v>368</v>
      </c>
      <c r="B370" s="145" t="s">
        <v>313</v>
      </c>
      <c r="C370" s="252">
        <f t="shared" si="115"/>
        <v>20</v>
      </c>
      <c r="D370" s="252">
        <f t="shared" si="114"/>
        <v>18</v>
      </c>
      <c r="E370" s="252">
        <f t="shared" si="117"/>
        <v>17</v>
      </c>
      <c r="F370" t="s">
        <v>76</v>
      </c>
      <c r="G370" t="s">
        <v>157</v>
      </c>
      <c r="H370" t="s">
        <v>955</v>
      </c>
      <c r="I370" t="s">
        <v>108</v>
      </c>
      <c r="J370" t="s">
        <v>107</v>
      </c>
      <c r="K370" t="s">
        <v>108</v>
      </c>
      <c r="L370" t="s">
        <v>108</v>
      </c>
      <c r="O370" s="35"/>
      <c r="R370" t="str">
        <f t="shared" si="99"/>
        <v>A0368</v>
      </c>
      <c r="S370" t="s">
        <v>869</v>
      </c>
    </row>
    <row r="371" spans="1:19" x14ac:dyDescent="0.3">
      <c r="A371" s="146">
        <f t="shared" si="100"/>
        <v>369</v>
      </c>
      <c r="B371" s="147" t="s">
        <v>158</v>
      </c>
      <c r="C371" s="127">
        <f t="shared" si="115"/>
        <v>13</v>
      </c>
      <c r="D371" s="127">
        <f t="shared" si="114"/>
        <v>11</v>
      </c>
      <c r="E371" s="127">
        <f>+E362+1</f>
        <v>10</v>
      </c>
      <c r="F371" t="s">
        <v>76</v>
      </c>
      <c r="G371" t="s">
        <v>157</v>
      </c>
      <c r="H371" t="s">
        <v>955</v>
      </c>
      <c r="I371" t="s">
        <v>108</v>
      </c>
      <c r="J371" t="s">
        <v>108</v>
      </c>
      <c r="K371" t="s">
        <v>107</v>
      </c>
      <c r="L371" t="s">
        <v>108</v>
      </c>
      <c r="O371" s="35"/>
      <c r="R371" t="str">
        <f t="shared" si="99"/>
        <v>A0369</v>
      </c>
      <c r="S371" t="s">
        <v>870</v>
      </c>
    </row>
    <row r="372" spans="1:19" x14ac:dyDescent="0.3">
      <c r="A372" s="146">
        <f t="shared" si="100"/>
        <v>370</v>
      </c>
      <c r="B372" s="147" t="s">
        <v>159</v>
      </c>
      <c r="C372" s="127">
        <f t="shared" si="115"/>
        <v>14</v>
      </c>
      <c r="D372" s="127">
        <f t="shared" si="114"/>
        <v>12</v>
      </c>
      <c r="E372" s="127">
        <f t="shared" ref="E372" si="118">+E371+1</f>
        <v>11</v>
      </c>
      <c r="F372" t="s">
        <v>76</v>
      </c>
      <c r="G372" t="s">
        <v>157</v>
      </c>
      <c r="H372" t="s">
        <v>955</v>
      </c>
      <c r="I372" t="s">
        <v>108</v>
      </c>
      <c r="J372" t="s">
        <v>108</v>
      </c>
      <c r="K372" t="s">
        <v>107</v>
      </c>
      <c r="L372" t="s">
        <v>108</v>
      </c>
      <c r="O372" s="35"/>
      <c r="R372" t="str">
        <f t="shared" si="99"/>
        <v>A0370</v>
      </c>
      <c r="S372" t="s">
        <v>871</v>
      </c>
    </row>
    <row r="373" spans="1:19" x14ac:dyDescent="0.3">
      <c r="A373" s="146">
        <f t="shared" si="100"/>
        <v>371</v>
      </c>
      <c r="B373" s="147" t="s">
        <v>160</v>
      </c>
      <c r="C373" s="127">
        <f t="shared" si="115"/>
        <v>15</v>
      </c>
      <c r="D373" s="127">
        <f t="shared" si="114"/>
        <v>13</v>
      </c>
      <c r="E373" s="127">
        <f t="shared" ref="E373:E379" si="119">+E372+1</f>
        <v>12</v>
      </c>
      <c r="F373" t="s">
        <v>76</v>
      </c>
      <c r="G373" t="s">
        <v>157</v>
      </c>
      <c r="H373" t="s">
        <v>955</v>
      </c>
      <c r="I373" t="s">
        <v>108</v>
      </c>
      <c r="J373" t="s">
        <v>108</v>
      </c>
      <c r="K373" t="s">
        <v>107</v>
      </c>
      <c r="L373" t="s">
        <v>108</v>
      </c>
      <c r="O373" s="35"/>
      <c r="R373" t="str">
        <f t="shared" si="99"/>
        <v>A0371</v>
      </c>
      <c r="S373" t="s">
        <v>872</v>
      </c>
    </row>
    <row r="374" spans="1:19" x14ac:dyDescent="0.3">
      <c r="A374" s="146">
        <f t="shared" si="100"/>
        <v>372</v>
      </c>
      <c r="B374" s="147" t="s">
        <v>161</v>
      </c>
      <c r="C374" s="127">
        <f t="shared" si="115"/>
        <v>16</v>
      </c>
      <c r="D374" s="127">
        <f t="shared" si="114"/>
        <v>14</v>
      </c>
      <c r="E374" s="127">
        <f t="shared" si="119"/>
        <v>13</v>
      </c>
      <c r="F374" t="s">
        <v>76</v>
      </c>
      <c r="G374" t="s">
        <v>157</v>
      </c>
      <c r="H374" t="s">
        <v>955</v>
      </c>
      <c r="I374" t="s">
        <v>108</v>
      </c>
      <c r="J374" t="s">
        <v>108</v>
      </c>
      <c r="K374" t="s">
        <v>107</v>
      </c>
      <c r="L374" t="s">
        <v>108</v>
      </c>
      <c r="O374" s="35"/>
      <c r="R374" t="str">
        <f t="shared" si="99"/>
        <v>A0372</v>
      </c>
      <c r="S374" t="s">
        <v>873</v>
      </c>
    </row>
    <row r="375" spans="1:19" x14ac:dyDescent="0.3">
      <c r="A375" s="146">
        <f t="shared" si="100"/>
        <v>373</v>
      </c>
      <c r="B375" s="147" t="s">
        <v>162</v>
      </c>
      <c r="C375" s="127">
        <f t="shared" si="115"/>
        <v>17</v>
      </c>
      <c r="D375" s="127">
        <f t="shared" si="114"/>
        <v>15</v>
      </c>
      <c r="E375" s="127">
        <f t="shared" si="119"/>
        <v>14</v>
      </c>
      <c r="F375" t="s">
        <v>76</v>
      </c>
      <c r="G375" t="s">
        <v>157</v>
      </c>
      <c r="H375" t="s">
        <v>955</v>
      </c>
      <c r="I375" t="s">
        <v>108</v>
      </c>
      <c r="J375" t="s">
        <v>108</v>
      </c>
      <c r="K375" t="s">
        <v>107</v>
      </c>
      <c r="L375" t="s">
        <v>108</v>
      </c>
      <c r="O375" s="35"/>
      <c r="R375" t="str">
        <f t="shared" si="99"/>
        <v>A0373</v>
      </c>
      <c r="S375" t="s">
        <v>874</v>
      </c>
    </row>
    <row r="376" spans="1:19" x14ac:dyDescent="0.3">
      <c r="A376" s="146">
        <f t="shared" si="100"/>
        <v>374</v>
      </c>
      <c r="B376" s="147" t="s">
        <v>163</v>
      </c>
      <c r="C376" s="127">
        <f t="shared" si="115"/>
        <v>18</v>
      </c>
      <c r="D376" s="127">
        <f t="shared" si="114"/>
        <v>16</v>
      </c>
      <c r="E376" s="127">
        <f t="shared" si="119"/>
        <v>15</v>
      </c>
      <c r="F376" t="s">
        <v>76</v>
      </c>
      <c r="G376" t="s">
        <v>157</v>
      </c>
      <c r="H376" t="s">
        <v>955</v>
      </c>
      <c r="I376" t="s">
        <v>108</v>
      </c>
      <c r="J376" t="s">
        <v>108</v>
      </c>
      <c r="K376" t="s">
        <v>107</v>
      </c>
      <c r="L376" t="s">
        <v>108</v>
      </c>
      <c r="O376" s="35"/>
      <c r="R376" t="str">
        <f t="shared" si="99"/>
        <v>A0374</v>
      </c>
      <c r="S376" t="s">
        <v>875</v>
      </c>
    </row>
    <row r="377" spans="1:19" x14ac:dyDescent="0.3">
      <c r="A377" s="146">
        <f t="shared" si="100"/>
        <v>375</v>
      </c>
      <c r="B377" s="147" t="s">
        <v>164</v>
      </c>
      <c r="C377" s="127">
        <f t="shared" si="115"/>
        <v>19</v>
      </c>
      <c r="D377" s="127">
        <f t="shared" si="114"/>
        <v>17</v>
      </c>
      <c r="E377" s="127">
        <f t="shared" si="119"/>
        <v>16</v>
      </c>
      <c r="F377" t="s">
        <v>76</v>
      </c>
      <c r="G377" t="s">
        <v>157</v>
      </c>
      <c r="H377" t="s">
        <v>955</v>
      </c>
      <c r="I377" t="s">
        <v>108</v>
      </c>
      <c r="J377" t="s">
        <v>108</v>
      </c>
      <c r="K377" t="s">
        <v>107</v>
      </c>
      <c r="L377" t="s">
        <v>108</v>
      </c>
      <c r="O377" s="35"/>
      <c r="R377" t="str">
        <f t="shared" si="99"/>
        <v>A0375</v>
      </c>
      <c r="S377" t="s">
        <v>876</v>
      </c>
    </row>
    <row r="378" spans="1:19" x14ac:dyDescent="0.3">
      <c r="A378" s="146">
        <f t="shared" si="100"/>
        <v>376</v>
      </c>
      <c r="B378" s="147" t="s">
        <v>165</v>
      </c>
      <c r="C378" s="127">
        <f t="shared" si="115"/>
        <v>20</v>
      </c>
      <c r="D378" s="127">
        <f t="shared" si="114"/>
        <v>18</v>
      </c>
      <c r="E378" s="127">
        <f t="shared" si="119"/>
        <v>17</v>
      </c>
      <c r="F378" t="s">
        <v>76</v>
      </c>
      <c r="G378" t="s">
        <v>157</v>
      </c>
      <c r="H378" t="s">
        <v>955</v>
      </c>
      <c r="I378" t="s">
        <v>108</v>
      </c>
      <c r="J378" t="s">
        <v>108</v>
      </c>
      <c r="K378" t="s">
        <v>107</v>
      </c>
      <c r="L378" t="s">
        <v>108</v>
      </c>
      <c r="O378" s="35"/>
      <c r="R378" t="str">
        <f t="shared" si="99"/>
        <v>A0376</v>
      </c>
      <c r="S378" t="s">
        <v>877</v>
      </c>
    </row>
    <row r="379" spans="1:19" x14ac:dyDescent="0.3">
      <c r="A379" s="146">
        <f t="shared" si="100"/>
        <v>377</v>
      </c>
      <c r="B379" s="147" t="s">
        <v>166</v>
      </c>
      <c r="C379" s="127">
        <f t="shared" si="115"/>
        <v>21</v>
      </c>
      <c r="D379" s="127">
        <f t="shared" si="114"/>
        <v>19</v>
      </c>
      <c r="E379" s="127">
        <f t="shared" si="119"/>
        <v>18</v>
      </c>
      <c r="F379" t="s">
        <v>76</v>
      </c>
      <c r="G379" t="s">
        <v>157</v>
      </c>
      <c r="H379" t="s">
        <v>955</v>
      </c>
      <c r="I379" t="s">
        <v>108</v>
      </c>
      <c r="J379" t="s">
        <v>108</v>
      </c>
      <c r="K379" t="s">
        <v>107</v>
      </c>
      <c r="L379" t="s">
        <v>108</v>
      </c>
      <c r="O379" s="35"/>
      <c r="R379" t="str">
        <f t="shared" si="99"/>
        <v>A0377</v>
      </c>
      <c r="S379" t="s">
        <v>878</v>
      </c>
    </row>
    <row r="380" spans="1:19" x14ac:dyDescent="0.3">
      <c r="A380" s="81">
        <f t="shared" si="100"/>
        <v>378</v>
      </c>
      <c r="B380" s="20" t="s">
        <v>167</v>
      </c>
      <c r="C380" s="243">
        <f t="shared" si="115"/>
        <v>13</v>
      </c>
      <c r="D380" s="243">
        <f t="shared" si="114"/>
        <v>11</v>
      </c>
      <c r="E380" s="243">
        <f>+E75</f>
        <v>10</v>
      </c>
      <c r="F380" t="s">
        <v>76</v>
      </c>
      <c r="G380" t="s">
        <v>157</v>
      </c>
      <c r="H380" t="s">
        <v>955</v>
      </c>
      <c r="I380" t="s">
        <v>107</v>
      </c>
      <c r="J380" t="s">
        <v>108</v>
      </c>
      <c r="K380" t="s">
        <v>108</v>
      </c>
      <c r="L380" t="s">
        <v>108</v>
      </c>
      <c r="M380" s="33" t="s">
        <v>19</v>
      </c>
      <c r="N380" s="33" t="s">
        <v>47</v>
      </c>
      <c r="O380" s="44">
        <f>ROUND(VLOOKUP(N380,[1]INDICE!$A$5:$D$424,4,FALSE),2)</f>
        <v>3.91</v>
      </c>
      <c r="R380" t="str">
        <f t="shared" si="99"/>
        <v>A0378</v>
      </c>
      <c r="S380" t="s">
        <v>879</v>
      </c>
    </row>
    <row r="381" spans="1:19" x14ac:dyDescent="0.3">
      <c r="A381" s="81">
        <f t="shared" si="100"/>
        <v>379</v>
      </c>
      <c r="B381" s="20" t="s">
        <v>168</v>
      </c>
      <c r="C381" s="243">
        <f t="shared" si="115"/>
        <v>14</v>
      </c>
      <c r="D381" s="243">
        <f t="shared" si="114"/>
        <v>12</v>
      </c>
      <c r="E381" s="243">
        <f t="shared" ref="E381" si="120">+E380+1</f>
        <v>11</v>
      </c>
      <c r="F381" t="s">
        <v>76</v>
      </c>
      <c r="G381" t="s">
        <v>157</v>
      </c>
      <c r="H381" t="s">
        <v>955</v>
      </c>
      <c r="I381" t="s">
        <v>107</v>
      </c>
      <c r="J381" t="s">
        <v>108</v>
      </c>
      <c r="K381" t="s">
        <v>108</v>
      </c>
      <c r="L381" t="s">
        <v>108</v>
      </c>
      <c r="O381" s="35"/>
      <c r="R381" t="str">
        <f t="shared" si="99"/>
        <v>A0379</v>
      </c>
      <c r="S381" t="s">
        <v>880</v>
      </c>
    </row>
    <row r="382" spans="1:19" x14ac:dyDescent="0.3">
      <c r="A382" s="81">
        <f t="shared" si="100"/>
        <v>380</v>
      </c>
      <c r="B382" s="20" t="s">
        <v>169</v>
      </c>
      <c r="C382" s="243">
        <f t="shared" ref="C382" si="121">+D382+2</f>
        <v>15</v>
      </c>
      <c r="D382" s="243">
        <f t="shared" ref="D382" si="122">+E382+1</f>
        <v>13</v>
      </c>
      <c r="E382" s="243">
        <f t="shared" ref="E382:E388" si="123">+E381+1</f>
        <v>12</v>
      </c>
      <c r="F382" t="s">
        <v>76</v>
      </c>
      <c r="G382" t="s">
        <v>157</v>
      </c>
      <c r="H382" t="s">
        <v>955</v>
      </c>
      <c r="I382" t="s">
        <v>107</v>
      </c>
      <c r="J382" t="s">
        <v>108</v>
      </c>
      <c r="K382" t="s">
        <v>108</v>
      </c>
      <c r="L382" t="s">
        <v>108</v>
      </c>
      <c r="O382" s="35"/>
      <c r="R382" t="str">
        <f t="shared" si="99"/>
        <v>A0380</v>
      </c>
      <c r="S382" t="s">
        <v>881</v>
      </c>
    </row>
    <row r="383" spans="1:19" x14ac:dyDescent="0.3">
      <c r="A383" s="81">
        <f t="shared" si="100"/>
        <v>381</v>
      </c>
      <c r="B383" s="20" t="s">
        <v>170</v>
      </c>
      <c r="C383" s="243">
        <f t="shared" ref="C383" si="124">+D383+2</f>
        <v>16</v>
      </c>
      <c r="D383" s="243">
        <f t="shared" ref="D383" si="125">+E383+1</f>
        <v>14</v>
      </c>
      <c r="E383" s="243">
        <f t="shared" si="123"/>
        <v>13</v>
      </c>
      <c r="F383" t="s">
        <v>76</v>
      </c>
      <c r="G383" t="s">
        <v>157</v>
      </c>
      <c r="H383" t="s">
        <v>955</v>
      </c>
      <c r="I383" t="s">
        <v>107</v>
      </c>
      <c r="J383" t="s">
        <v>108</v>
      </c>
      <c r="K383" t="s">
        <v>108</v>
      </c>
      <c r="L383" t="s">
        <v>108</v>
      </c>
      <c r="O383" s="35"/>
      <c r="R383" t="str">
        <f t="shared" si="99"/>
        <v>A0381</v>
      </c>
      <c r="S383" t="s">
        <v>882</v>
      </c>
    </row>
    <row r="384" spans="1:19" x14ac:dyDescent="0.3">
      <c r="A384" s="81">
        <f t="shared" si="100"/>
        <v>382</v>
      </c>
      <c r="B384" s="20" t="s">
        <v>171</v>
      </c>
      <c r="C384" s="243">
        <f t="shared" ref="C384" si="126">+D384+2</f>
        <v>17</v>
      </c>
      <c r="D384" s="243">
        <f t="shared" ref="D384" si="127">+E384+1</f>
        <v>15</v>
      </c>
      <c r="E384" s="243">
        <f t="shared" si="123"/>
        <v>14</v>
      </c>
      <c r="F384" t="s">
        <v>76</v>
      </c>
      <c r="G384" t="s">
        <v>157</v>
      </c>
      <c r="H384" t="s">
        <v>955</v>
      </c>
      <c r="I384" t="s">
        <v>107</v>
      </c>
      <c r="J384" t="s">
        <v>108</v>
      </c>
      <c r="K384" t="s">
        <v>108</v>
      </c>
      <c r="L384" t="s">
        <v>108</v>
      </c>
      <c r="O384" s="35"/>
      <c r="R384" t="str">
        <f t="shared" si="99"/>
        <v>A0382</v>
      </c>
      <c r="S384" t="s">
        <v>883</v>
      </c>
    </row>
    <row r="385" spans="1:19" x14ac:dyDescent="0.3">
      <c r="A385" s="81">
        <f t="shared" si="100"/>
        <v>383</v>
      </c>
      <c r="B385" s="20" t="s">
        <v>172</v>
      </c>
      <c r="C385" s="243">
        <f t="shared" ref="C385" si="128">+D385+2</f>
        <v>18</v>
      </c>
      <c r="D385" s="243">
        <f t="shared" ref="D385" si="129">+E385+1</f>
        <v>16</v>
      </c>
      <c r="E385" s="243">
        <f t="shared" si="123"/>
        <v>15</v>
      </c>
      <c r="F385" t="s">
        <v>76</v>
      </c>
      <c r="G385" t="s">
        <v>157</v>
      </c>
      <c r="H385" t="s">
        <v>955</v>
      </c>
      <c r="I385" t="s">
        <v>107</v>
      </c>
      <c r="J385" t="s">
        <v>108</v>
      </c>
      <c r="K385" t="s">
        <v>108</v>
      </c>
      <c r="L385" t="s">
        <v>108</v>
      </c>
      <c r="O385" s="35"/>
      <c r="R385" t="str">
        <f t="shared" si="99"/>
        <v>A0383</v>
      </c>
      <c r="S385" t="s">
        <v>884</v>
      </c>
    </row>
    <row r="386" spans="1:19" x14ac:dyDescent="0.3">
      <c r="A386" s="81">
        <f t="shared" si="100"/>
        <v>384</v>
      </c>
      <c r="B386" s="20" t="s">
        <v>173</v>
      </c>
      <c r="C386" s="243">
        <f t="shared" ref="C386" si="130">+D386+2</f>
        <v>19</v>
      </c>
      <c r="D386" s="243">
        <f t="shared" ref="D386" si="131">+E386+1</f>
        <v>17</v>
      </c>
      <c r="E386" s="243">
        <f t="shared" si="123"/>
        <v>16</v>
      </c>
      <c r="F386" t="s">
        <v>76</v>
      </c>
      <c r="G386" t="s">
        <v>157</v>
      </c>
      <c r="H386" t="s">
        <v>955</v>
      </c>
      <c r="I386" t="s">
        <v>107</v>
      </c>
      <c r="J386" t="s">
        <v>108</v>
      </c>
      <c r="K386" t="s">
        <v>108</v>
      </c>
      <c r="L386" t="s">
        <v>108</v>
      </c>
      <c r="O386" s="35"/>
      <c r="R386" t="str">
        <f t="shared" si="99"/>
        <v>A0384</v>
      </c>
      <c r="S386" t="s">
        <v>885</v>
      </c>
    </row>
    <row r="387" spans="1:19" x14ac:dyDescent="0.3">
      <c r="A387" s="81">
        <f t="shared" si="100"/>
        <v>385</v>
      </c>
      <c r="B387" s="20" t="s">
        <v>174</v>
      </c>
      <c r="C387" s="243">
        <f t="shared" ref="C387" si="132">+D387+2</f>
        <v>20</v>
      </c>
      <c r="D387" s="243">
        <f t="shared" ref="D387" si="133">+E387+1</f>
        <v>18</v>
      </c>
      <c r="E387" s="243">
        <f t="shared" si="123"/>
        <v>17</v>
      </c>
      <c r="F387" t="s">
        <v>76</v>
      </c>
      <c r="G387" t="s">
        <v>157</v>
      </c>
      <c r="H387" t="s">
        <v>955</v>
      </c>
      <c r="I387" t="s">
        <v>107</v>
      </c>
      <c r="J387" t="s">
        <v>108</v>
      </c>
      <c r="K387" t="s">
        <v>108</v>
      </c>
      <c r="L387" t="s">
        <v>108</v>
      </c>
      <c r="O387" s="35"/>
      <c r="R387" t="str">
        <f t="shared" si="99"/>
        <v>A0385</v>
      </c>
      <c r="S387" t="s">
        <v>886</v>
      </c>
    </row>
    <row r="388" spans="1:19" x14ac:dyDescent="0.3">
      <c r="A388" s="81">
        <f t="shared" si="100"/>
        <v>386</v>
      </c>
      <c r="B388" s="20" t="s">
        <v>175</v>
      </c>
      <c r="C388" s="243">
        <f t="shared" ref="C388:C390" si="134">+D388+2</f>
        <v>21</v>
      </c>
      <c r="D388" s="243">
        <f t="shared" ref="D388:D390" si="135">+E388+1</f>
        <v>19</v>
      </c>
      <c r="E388" s="243">
        <f t="shared" si="123"/>
        <v>18</v>
      </c>
      <c r="F388" t="s">
        <v>76</v>
      </c>
      <c r="G388" t="s">
        <v>157</v>
      </c>
      <c r="H388" t="s">
        <v>955</v>
      </c>
      <c r="I388" t="s">
        <v>107</v>
      </c>
      <c r="J388" t="s">
        <v>108</v>
      </c>
      <c r="K388" t="s">
        <v>108</v>
      </c>
      <c r="L388" t="s">
        <v>108</v>
      </c>
      <c r="O388" s="35"/>
      <c r="R388" t="str">
        <f t="shared" ref="R388:R442" si="136">+TEXT(A388,"A000#")</f>
        <v>A0386</v>
      </c>
      <c r="S388" t="s">
        <v>887</v>
      </c>
    </row>
    <row r="389" spans="1:19" x14ac:dyDescent="0.3">
      <c r="A389" s="88">
        <f t="shared" si="100"/>
        <v>387</v>
      </c>
      <c r="B389" s="53" t="s">
        <v>176</v>
      </c>
      <c r="C389" s="247">
        <f t="shared" si="134"/>
        <v>11</v>
      </c>
      <c r="D389" s="247">
        <f t="shared" si="135"/>
        <v>9</v>
      </c>
      <c r="E389" s="247">
        <f>+E362-1</f>
        <v>8</v>
      </c>
      <c r="F389" t="s">
        <v>76</v>
      </c>
      <c r="G389" t="s">
        <v>157</v>
      </c>
      <c r="H389" t="s">
        <v>955</v>
      </c>
      <c r="I389" t="s">
        <v>108</v>
      </c>
      <c r="J389" t="s">
        <v>107</v>
      </c>
      <c r="K389" t="s">
        <v>108</v>
      </c>
      <c r="L389" t="s">
        <v>108</v>
      </c>
      <c r="O389" s="35"/>
      <c r="R389" t="str">
        <f t="shared" si="136"/>
        <v>A0387</v>
      </c>
      <c r="S389" t="s">
        <v>888</v>
      </c>
    </row>
    <row r="390" spans="1:19" x14ac:dyDescent="0.3">
      <c r="A390" s="88">
        <f t="shared" si="100"/>
        <v>388</v>
      </c>
      <c r="B390" s="53" t="s">
        <v>177</v>
      </c>
      <c r="C390" s="247">
        <f t="shared" si="134"/>
        <v>12</v>
      </c>
      <c r="D390" s="247">
        <f t="shared" si="135"/>
        <v>10</v>
      </c>
      <c r="E390" s="247">
        <f t="shared" ref="E390" si="137">+E389+1</f>
        <v>9</v>
      </c>
      <c r="F390" t="s">
        <v>76</v>
      </c>
      <c r="G390" t="s">
        <v>157</v>
      </c>
      <c r="H390" t="s">
        <v>955</v>
      </c>
      <c r="I390" t="s">
        <v>108</v>
      </c>
      <c r="J390" t="s">
        <v>107</v>
      </c>
      <c r="K390" t="s">
        <v>108</v>
      </c>
      <c r="L390" t="s">
        <v>108</v>
      </c>
      <c r="O390" s="35"/>
      <c r="R390" t="str">
        <f t="shared" si="136"/>
        <v>A0388</v>
      </c>
      <c r="S390" t="s">
        <v>889</v>
      </c>
    </row>
    <row r="391" spans="1:19" x14ac:dyDescent="0.3">
      <c r="A391" s="88">
        <f t="shared" si="100"/>
        <v>389</v>
      </c>
      <c r="B391" s="53" t="s">
        <v>178</v>
      </c>
      <c r="C391" s="247">
        <f t="shared" ref="C391" si="138">+D391+2</f>
        <v>13</v>
      </c>
      <c r="D391" s="247">
        <f t="shared" ref="D391" si="139">+E391+1</f>
        <v>11</v>
      </c>
      <c r="E391" s="247">
        <f t="shared" ref="E391:E397" si="140">+E390+1</f>
        <v>10</v>
      </c>
      <c r="F391" t="s">
        <v>76</v>
      </c>
      <c r="G391" t="s">
        <v>157</v>
      </c>
      <c r="H391" t="s">
        <v>955</v>
      </c>
      <c r="I391" t="s">
        <v>108</v>
      </c>
      <c r="J391" t="s">
        <v>107</v>
      </c>
      <c r="K391" t="s">
        <v>108</v>
      </c>
      <c r="L391" t="s">
        <v>108</v>
      </c>
      <c r="O391" s="35"/>
      <c r="R391" t="str">
        <f t="shared" si="136"/>
        <v>A0389</v>
      </c>
      <c r="S391" t="s">
        <v>890</v>
      </c>
    </row>
    <row r="392" spans="1:19" x14ac:dyDescent="0.3">
      <c r="A392" s="88">
        <f t="shared" si="100"/>
        <v>390</v>
      </c>
      <c r="B392" s="53" t="s">
        <v>179</v>
      </c>
      <c r="C392" s="247">
        <f t="shared" ref="C392" si="141">+D392+2</f>
        <v>14</v>
      </c>
      <c r="D392" s="247">
        <f t="shared" ref="D392" si="142">+E392+1</f>
        <v>12</v>
      </c>
      <c r="E392" s="247">
        <f t="shared" si="140"/>
        <v>11</v>
      </c>
      <c r="F392" t="s">
        <v>76</v>
      </c>
      <c r="G392" t="s">
        <v>157</v>
      </c>
      <c r="H392" t="s">
        <v>955</v>
      </c>
      <c r="I392" t="s">
        <v>108</v>
      </c>
      <c r="J392" t="s">
        <v>107</v>
      </c>
      <c r="K392" t="s">
        <v>108</v>
      </c>
      <c r="L392" t="s">
        <v>108</v>
      </c>
      <c r="O392" s="35"/>
      <c r="R392" t="str">
        <f t="shared" si="136"/>
        <v>A0390</v>
      </c>
      <c r="S392" t="s">
        <v>891</v>
      </c>
    </row>
    <row r="393" spans="1:19" x14ac:dyDescent="0.3">
      <c r="A393" s="88">
        <f t="shared" si="100"/>
        <v>391</v>
      </c>
      <c r="B393" s="53" t="s">
        <v>180</v>
      </c>
      <c r="C393" s="247">
        <f t="shared" ref="C393" si="143">+D393+2</f>
        <v>15</v>
      </c>
      <c r="D393" s="247">
        <f t="shared" ref="D393" si="144">+E393+1</f>
        <v>13</v>
      </c>
      <c r="E393" s="247">
        <f t="shared" si="140"/>
        <v>12</v>
      </c>
      <c r="F393" t="s">
        <v>76</v>
      </c>
      <c r="G393" t="s">
        <v>157</v>
      </c>
      <c r="H393" t="s">
        <v>955</v>
      </c>
      <c r="I393" t="s">
        <v>108</v>
      </c>
      <c r="J393" t="s">
        <v>107</v>
      </c>
      <c r="K393" t="s">
        <v>108</v>
      </c>
      <c r="L393" t="s">
        <v>108</v>
      </c>
      <c r="O393" s="35"/>
      <c r="R393" t="str">
        <f t="shared" si="136"/>
        <v>A0391</v>
      </c>
      <c r="S393" t="s">
        <v>892</v>
      </c>
    </row>
    <row r="394" spans="1:19" x14ac:dyDescent="0.3">
      <c r="A394" s="88">
        <f t="shared" si="100"/>
        <v>392</v>
      </c>
      <c r="B394" s="53" t="s">
        <v>181</v>
      </c>
      <c r="C394" s="247">
        <f t="shared" ref="C394" si="145">+D394+2</f>
        <v>16</v>
      </c>
      <c r="D394" s="247">
        <f t="shared" ref="D394" si="146">+E394+1</f>
        <v>14</v>
      </c>
      <c r="E394" s="247">
        <f t="shared" si="140"/>
        <v>13</v>
      </c>
      <c r="F394" t="s">
        <v>76</v>
      </c>
      <c r="G394" t="s">
        <v>157</v>
      </c>
      <c r="H394" t="s">
        <v>955</v>
      </c>
      <c r="I394" t="s">
        <v>108</v>
      </c>
      <c r="J394" t="s">
        <v>107</v>
      </c>
      <c r="K394" t="s">
        <v>108</v>
      </c>
      <c r="L394" t="s">
        <v>108</v>
      </c>
      <c r="O394" s="35"/>
      <c r="R394" t="str">
        <f t="shared" si="136"/>
        <v>A0392</v>
      </c>
      <c r="S394" t="s">
        <v>893</v>
      </c>
    </row>
    <row r="395" spans="1:19" x14ac:dyDescent="0.3">
      <c r="A395" s="88">
        <f t="shared" si="100"/>
        <v>393</v>
      </c>
      <c r="B395" s="53" t="s">
        <v>182</v>
      </c>
      <c r="C395" s="247">
        <f t="shared" ref="C395" si="147">+D395+2</f>
        <v>17</v>
      </c>
      <c r="D395" s="247">
        <f t="shared" ref="D395" si="148">+E395+1</f>
        <v>15</v>
      </c>
      <c r="E395" s="247">
        <f t="shared" si="140"/>
        <v>14</v>
      </c>
      <c r="F395" t="s">
        <v>76</v>
      </c>
      <c r="G395" t="s">
        <v>157</v>
      </c>
      <c r="H395" t="s">
        <v>955</v>
      </c>
      <c r="I395" t="s">
        <v>108</v>
      </c>
      <c r="J395" t="s">
        <v>107</v>
      </c>
      <c r="K395" t="s">
        <v>108</v>
      </c>
      <c r="L395" t="s">
        <v>108</v>
      </c>
      <c r="O395" s="35"/>
      <c r="R395" t="str">
        <f t="shared" si="136"/>
        <v>A0393</v>
      </c>
      <c r="S395" t="s">
        <v>894</v>
      </c>
    </row>
    <row r="396" spans="1:19" x14ac:dyDescent="0.3">
      <c r="A396" s="88">
        <f t="shared" si="100"/>
        <v>394</v>
      </c>
      <c r="B396" s="53" t="s">
        <v>183</v>
      </c>
      <c r="C396" s="247">
        <f t="shared" ref="C396" si="149">+D396+2</f>
        <v>18</v>
      </c>
      <c r="D396" s="247">
        <f t="shared" ref="D396" si="150">+E396+1</f>
        <v>16</v>
      </c>
      <c r="E396" s="247">
        <f t="shared" si="140"/>
        <v>15</v>
      </c>
      <c r="F396" t="s">
        <v>76</v>
      </c>
      <c r="G396" t="s">
        <v>157</v>
      </c>
      <c r="H396" t="s">
        <v>955</v>
      </c>
      <c r="I396" t="s">
        <v>108</v>
      </c>
      <c r="J396" t="s">
        <v>107</v>
      </c>
      <c r="K396" t="s">
        <v>108</v>
      </c>
      <c r="L396" t="s">
        <v>108</v>
      </c>
      <c r="O396" s="35"/>
      <c r="R396" t="str">
        <f t="shared" si="136"/>
        <v>A0394</v>
      </c>
      <c r="S396" t="s">
        <v>895</v>
      </c>
    </row>
    <row r="397" spans="1:19" x14ac:dyDescent="0.3">
      <c r="A397" s="88">
        <f t="shared" si="100"/>
        <v>395</v>
      </c>
      <c r="B397" s="53" t="s">
        <v>184</v>
      </c>
      <c r="C397" s="247">
        <f t="shared" ref="C397:C398" si="151">+D397+2</f>
        <v>19</v>
      </c>
      <c r="D397" s="247">
        <f t="shared" ref="D397:D398" si="152">+E397+1</f>
        <v>17</v>
      </c>
      <c r="E397" s="247">
        <f t="shared" si="140"/>
        <v>16</v>
      </c>
      <c r="F397" t="s">
        <v>76</v>
      </c>
      <c r="G397" t="s">
        <v>157</v>
      </c>
      <c r="H397" t="s">
        <v>955</v>
      </c>
      <c r="I397" t="s">
        <v>108</v>
      </c>
      <c r="J397" t="s">
        <v>107</v>
      </c>
      <c r="K397" t="s">
        <v>108</v>
      </c>
      <c r="L397" t="s">
        <v>108</v>
      </c>
      <c r="O397" s="35"/>
      <c r="R397" t="str">
        <f t="shared" si="136"/>
        <v>A0395</v>
      </c>
      <c r="S397" t="s">
        <v>896</v>
      </c>
    </row>
    <row r="398" spans="1:19" x14ac:dyDescent="0.3">
      <c r="A398" s="57">
        <f t="shared" si="100"/>
        <v>396</v>
      </c>
      <c r="B398" s="3" t="s">
        <v>293</v>
      </c>
      <c r="C398" s="133">
        <f t="shared" si="151"/>
        <v>11.5</v>
      </c>
      <c r="D398" s="133">
        <f t="shared" si="152"/>
        <v>9.5</v>
      </c>
      <c r="E398" s="133">
        <f>+E399-0.5</f>
        <v>8.5</v>
      </c>
      <c r="F398" t="s">
        <v>76</v>
      </c>
      <c r="G398" t="s">
        <v>157</v>
      </c>
      <c r="H398" t="s">
        <v>113</v>
      </c>
      <c r="I398" t="s">
        <v>107</v>
      </c>
      <c r="J398" t="s">
        <v>108</v>
      </c>
      <c r="K398" t="s">
        <v>108</v>
      </c>
      <c r="L398" t="s">
        <v>108</v>
      </c>
      <c r="O398" s="35"/>
      <c r="R398" t="str">
        <f t="shared" si="136"/>
        <v>A0396</v>
      </c>
      <c r="S398" t="s">
        <v>897</v>
      </c>
    </row>
    <row r="399" spans="1:19" x14ac:dyDescent="0.3">
      <c r="A399" s="57">
        <f t="shared" si="100"/>
        <v>397</v>
      </c>
      <c r="B399" s="3" t="s">
        <v>294</v>
      </c>
      <c r="C399" s="133">
        <f t="shared" ref="C399" si="153">+D399+2</f>
        <v>12</v>
      </c>
      <c r="D399" s="133">
        <f t="shared" ref="D399" si="154">+E399+1</f>
        <v>10</v>
      </c>
      <c r="E399" s="133">
        <f>+E400-1</f>
        <v>9</v>
      </c>
      <c r="F399" t="s">
        <v>76</v>
      </c>
      <c r="G399" t="s">
        <v>157</v>
      </c>
      <c r="H399" t="s">
        <v>113</v>
      </c>
      <c r="I399" t="s">
        <v>107</v>
      </c>
      <c r="J399" t="s">
        <v>108</v>
      </c>
      <c r="K399" t="s">
        <v>108</v>
      </c>
      <c r="L399" t="s">
        <v>108</v>
      </c>
      <c r="O399" s="35"/>
      <c r="R399" t="str">
        <f t="shared" si="136"/>
        <v>A0397</v>
      </c>
      <c r="S399" t="s">
        <v>898</v>
      </c>
    </row>
    <row r="400" spans="1:19" x14ac:dyDescent="0.3">
      <c r="A400" s="57">
        <f t="shared" ref="A400:A421" si="155">+A399+1</f>
        <v>398</v>
      </c>
      <c r="B400" s="3" t="s">
        <v>295</v>
      </c>
      <c r="C400" s="133">
        <f t="shared" ref="C400:C401" si="156">+D400+2</f>
        <v>13</v>
      </c>
      <c r="D400" s="133">
        <f t="shared" ref="D400:D401" si="157">+E400+1</f>
        <v>11</v>
      </c>
      <c r="E400" s="133">
        <f>+E353-1</f>
        <v>10</v>
      </c>
      <c r="F400" t="s">
        <v>76</v>
      </c>
      <c r="G400" t="s">
        <v>157</v>
      </c>
      <c r="H400" t="s">
        <v>113</v>
      </c>
      <c r="I400" t="s">
        <v>107</v>
      </c>
      <c r="J400" t="s">
        <v>108</v>
      </c>
      <c r="K400" t="s">
        <v>108</v>
      </c>
      <c r="L400" t="s">
        <v>108</v>
      </c>
      <c r="O400" s="35"/>
      <c r="R400" t="str">
        <f t="shared" si="136"/>
        <v>A0398</v>
      </c>
      <c r="S400" t="s">
        <v>899</v>
      </c>
    </row>
    <row r="401" spans="1:19" x14ac:dyDescent="0.3">
      <c r="A401" s="92">
        <f t="shared" si="155"/>
        <v>399</v>
      </c>
      <c r="B401" s="93" t="s">
        <v>185</v>
      </c>
      <c r="C401" s="242">
        <f t="shared" si="156"/>
        <v>10.5</v>
      </c>
      <c r="D401" s="242">
        <f t="shared" si="157"/>
        <v>8.5</v>
      </c>
      <c r="E401" s="242">
        <f>+E402-0.5</f>
        <v>7.5</v>
      </c>
      <c r="F401" t="s">
        <v>76</v>
      </c>
      <c r="G401" t="s">
        <v>157</v>
      </c>
      <c r="H401" t="s">
        <v>113</v>
      </c>
      <c r="I401" t="s">
        <v>107</v>
      </c>
      <c r="J401" t="s">
        <v>108</v>
      </c>
      <c r="K401" t="s">
        <v>108</v>
      </c>
      <c r="L401" t="s">
        <v>108</v>
      </c>
      <c r="O401" s="35"/>
      <c r="R401" t="str">
        <f t="shared" si="136"/>
        <v>A0399</v>
      </c>
      <c r="S401" t="s">
        <v>900</v>
      </c>
    </row>
    <row r="402" spans="1:19" x14ac:dyDescent="0.3">
      <c r="A402" s="92">
        <f t="shared" si="155"/>
        <v>400</v>
      </c>
      <c r="B402" s="93" t="s">
        <v>186</v>
      </c>
      <c r="C402" s="242">
        <f t="shared" ref="C402" si="158">+D402+2</f>
        <v>11</v>
      </c>
      <c r="D402" s="242">
        <f t="shared" ref="D402" si="159">+E402+1</f>
        <v>9</v>
      </c>
      <c r="E402" s="242">
        <f>+E403-1</f>
        <v>8</v>
      </c>
      <c r="F402" t="s">
        <v>76</v>
      </c>
      <c r="G402" t="s">
        <v>157</v>
      </c>
      <c r="H402" t="s">
        <v>113</v>
      </c>
      <c r="I402" t="s">
        <v>107</v>
      </c>
      <c r="J402" t="s">
        <v>108</v>
      </c>
      <c r="K402" t="s">
        <v>108</v>
      </c>
      <c r="L402" t="s">
        <v>108</v>
      </c>
      <c r="O402" s="35"/>
      <c r="R402" t="str">
        <f t="shared" si="136"/>
        <v>A0400</v>
      </c>
      <c r="S402" t="s">
        <v>901</v>
      </c>
    </row>
    <row r="403" spans="1:19" x14ac:dyDescent="0.3">
      <c r="A403" s="92">
        <f t="shared" si="155"/>
        <v>401</v>
      </c>
      <c r="B403" s="93" t="s">
        <v>187</v>
      </c>
      <c r="C403" s="242">
        <f t="shared" ref="C403:C404" si="160">+D403+2</f>
        <v>12</v>
      </c>
      <c r="D403" s="242">
        <f t="shared" ref="D403:D404" si="161">+E403+1</f>
        <v>10</v>
      </c>
      <c r="E403" s="242">
        <f>+E380-1</f>
        <v>9</v>
      </c>
      <c r="F403" t="s">
        <v>76</v>
      </c>
      <c r="G403" t="s">
        <v>157</v>
      </c>
      <c r="H403" t="s">
        <v>113</v>
      </c>
      <c r="I403" t="s">
        <v>107</v>
      </c>
      <c r="J403" t="s">
        <v>108</v>
      </c>
      <c r="K403" t="s">
        <v>108</v>
      </c>
      <c r="L403" t="s">
        <v>108</v>
      </c>
      <c r="O403" s="35"/>
      <c r="R403" t="str">
        <f t="shared" si="136"/>
        <v>A0401</v>
      </c>
      <c r="S403" t="s">
        <v>902</v>
      </c>
    </row>
    <row r="404" spans="1:19" x14ac:dyDescent="0.3">
      <c r="A404" s="57">
        <f t="shared" si="155"/>
        <v>402</v>
      </c>
      <c r="B404" s="3" t="s">
        <v>290</v>
      </c>
      <c r="C404" s="133">
        <f t="shared" si="160"/>
        <v>9.5</v>
      </c>
      <c r="D404" s="133">
        <f t="shared" si="161"/>
        <v>7.5</v>
      </c>
      <c r="E404" s="133">
        <f>+E405-0.5</f>
        <v>6.5</v>
      </c>
      <c r="F404" t="s">
        <v>76</v>
      </c>
      <c r="G404" t="s">
        <v>157</v>
      </c>
      <c r="H404" t="s">
        <v>113</v>
      </c>
      <c r="I404" t="s">
        <v>108</v>
      </c>
      <c r="J404" t="s">
        <v>107</v>
      </c>
      <c r="K404" t="s">
        <v>108</v>
      </c>
      <c r="L404" t="s">
        <v>108</v>
      </c>
      <c r="O404" s="35"/>
      <c r="R404" t="str">
        <f t="shared" si="136"/>
        <v>A0402</v>
      </c>
      <c r="S404" t="s">
        <v>903</v>
      </c>
    </row>
    <row r="405" spans="1:19" x14ac:dyDescent="0.3">
      <c r="A405" s="57">
        <f t="shared" si="155"/>
        <v>403</v>
      </c>
      <c r="B405" s="3" t="s">
        <v>291</v>
      </c>
      <c r="C405" s="133">
        <f t="shared" ref="C405" si="162">+D405+2</f>
        <v>10</v>
      </c>
      <c r="D405" s="133">
        <f t="shared" ref="D405" si="163">+E405+1</f>
        <v>8</v>
      </c>
      <c r="E405" s="133">
        <f>+E406-1</f>
        <v>7</v>
      </c>
      <c r="F405" t="s">
        <v>76</v>
      </c>
      <c r="G405" t="s">
        <v>157</v>
      </c>
      <c r="H405" t="s">
        <v>113</v>
      </c>
      <c r="I405" t="s">
        <v>108</v>
      </c>
      <c r="J405" t="s">
        <v>107</v>
      </c>
      <c r="K405" t="s">
        <v>108</v>
      </c>
      <c r="L405" t="s">
        <v>108</v>
      </c>
      <c r="O405" s="35"/>
      <c r="R405" t="str">
        <f t="shared" si="136"/>
        <v>A0403</v>
      </c>
      <c r="S405" t="s">
        <v>904</v>
      </c>
    </row>
    <row r="406" spans="1:19" x14ac:dyDescent="0.3">
      <c r="A406" s="57">
        <f t="shared" si="155"/>
        <v>404</v>
      </c>
      <c r="B406" s="3" t="s">
        <v>292</v>
      </c>
      <c r="C406" s="133">
        <f t="shared" ref="C406:C407" si="164">+D406+2</f>
        <v>11</v>
      </c>
      <c r="D406" s="133">
        <f t="shared" ref="D406:D407" si="165">+E406+1</f>
        <v>9</v>
      </c>
      <c r="E406" s="133">
        <f>+E362-1</f>
        <v>8</v>
      </c>
      <c r="F406" t="s">
        <v>76</v>
      </c>
      <c r="G406" t="s">
        <v>157</v>
      </c>
      <c r="H406" t="s">
        <v>113</v>
      </c>
      <c r="I406" t="s">
        <v>108</v>
      </c>
      <c r="J406" t="s">
        <v>107</v>
      </c>
      <c r="K406" t="s">
        <v>108</v>
      </c>
      <c r="L406" t="s">
        <v>108</v>
      </c>
      <c r="O406" s="35"/>
      <c r="R406" t="str">
        <f t="shared" si="136"/>
        <v>A0404</v>
      </c>
      <c r="S406" t="s">
        <v>905</v>
      </c>
    </row>
    <row r="407" spans="1:19" x14ac:dyDescent="0.3">
      <c r="A407" s="92">
        <f t="shared" si="155"/>
        <v>405</v>
      </c>
      <c r="B407" s="93" t="s">
        <v>188</v>
      </c>
      <c r="C407" s="242">
        <f t="shared" si="164"/>
        <v>8.5</v>
      </c>
      <c r="D407" s="242">
        <f t="shared" si="165"/>
        <v>6.5</v>
      </c>
      <c r="E407" s="242">
        <f>+E408-0.5</f>
        <v>5.5</v>
      </c>
      <c r="F407" t="s">
        <v>76</v>
      </c>
      <c r="G407" t="s">
        <v>157</v>
      </c>
      <c r="H407" t="s">
        <v>113</v>
      </c>
      <c r="I407" t="s">
        <v>108</v>
      </c>
      <c r="J407" t="s">
        <v>107</v>
      </c>
      <c r="K407" t="s">
        <v>108</v>
      </c>
      <c r="L407" t="s">
        <v>108</v>
      </c>
      <c r="O407" s="35"/>
      <c r="R407" t="str">
        <f t="shared" si="136"/>
        <v>A0405</v>
      </c>
      <c r="S407" t="s">
        <v>906</v>
      </c>
    </row>
    <row r="408" spans="1:19" x14ac:dyDescent="0.3">
      <c r="A408" s="92">
        <f t="shared" si="155"/>
        <v>406</v>
      </c>
      <c r="B408" s="93" t="s">
        <v>189</v>
      </c>
      <c r="C408" s="242">
        <f t="shared" ref="C408" si="166">+D408+2</f>
        <v>9</v>
      </c>
      <c r="D408" s="242">
        <f t="shared" ref="D408" si="167">+E408+1</f>
        <v>7</v>
      </c>
      <c r="E408" s="242">
        <f>+E409-1</f>
        <v>6</v>
      </c>
      <c r="F408" t="s">
        <v>76</v>
      </c>
      <c r="G408" t="s">
        <v>157</v>
      </c>
      <c r="H408" t="s">
        <v>113</v>
      </c>
      <c r="I408" t="s">
        <v>108</v>
      </c>
      <c r="J408" t="s">
        <v>107</v>
      </c>
      <c r="K408" t="s">
        <v>108</v>
      </c>
      <c r="L408" t="s">
        <v>108</v>
      </c>
      <c r="O408" s="35"/>
      <c r="R408" t="str">
        <f t="shared" si="136"/>
        <v>A0406</v>
      </c>
      <c r="S408" t="s">
        <v>907</v>
      </c>
    </row>
    <row r="409" spans="1:19" x14ac:dyDescent="0.3">
      <c r="A409" s="92">
        <f t="shared" si="155"/>
        <v>407</v>
      </c>
      <c r="B409" s="93" t="s">
        <v>190</v>
      </c>
      <c r="C409" s="242">
        <f t="shared" ref="C409:C410" si="168">+D409+2</f>
        <v>10</v>
      </c>
      <c r="D409" s="242">
        <f t="shared" ref="D409:D410" si="169">+E409+1</f>
        <v>8</v>
      </c>
      <c r="E409" s="242">
        <f>+E389-1</f>
        <v>7</v>
      </c>
      <c r="F409" t="s">
        <v>76</v>
      </c>
      <c r="G409" t="s">
        <v>157</v>
      </c>
      <c r="H409" t="s">
        <v>113</v>
      </c>
      <c r="I409" t="s">
        <v>108</v>
      </c>
      <c r="J409" t="s">
        <v>107</v>
      </c>
      <c r="K409" t="s">
        <v>108</v>
      </c>
      <c r="L409" t="s">
        <v>108</v>
      </c>
      <c r="O409" s="35"/>
      <c r="R409" t="str">
        <f t="shared" si="136"/>
        <v>A0407</v>
      </c>
      <c r="S409" t="s">
        <v>908</v>
      </c>
    </row>
    <row r="410" spans="1:19" x14ac:dyDescent="0.3">
      <c r="A410" s="57">
        <f t="shared" si="155"/>
        <v>408</v>
      </c>
      <c r="B410" s="3" t="s">
        <v>191</v>
      </c>
      <c r="C410" s="133">
        <f t="shared" si="168"/>
        <v>10</v>
      </c>
      <c r="D410" s="133">
        <f t="shared" si="169"/>
        <v>8</v>
      </c>
      <c r="E410" s="133">
        <f>+E411-1</f>
        <v>7</v>
      </c>
      <c r="F410" t="s">
        <v>76</v>
      </c>
      <c r="G410" t="s">
        <v>157</v>
      </c>
      <c r="H410" t="s">
        <v>113</v>
      </c>
      <c r="I410" t="s">
        <v>108</v>
      </c>
      <c r="J410" t="s">
        <v>108</v>
      </c>
      <c r="K410" t="s">
        <v>107</v>
      </c>
      <c r="L410" t="s">
        <v>108</v>
      </c>
      <c r="O410" s="35"/>
      <c r="R410" t="str">
        <f t="shared" si="136"/>
        <v>A0408</v>
      </c>
      <c r="S410" t="s">
        <v>909</v>
      </c>
    </row>
    <row r="411" spans="1:19" x14ac:dyDescent="0.3">
      <c r="A411" s="57">
        <f t="shared" si="155"/>
        <v>409</v>
      </c>
      <c r="B411" s="3" t="s">
        <v>192</v>
      </c>
      <c r="C411" s="133">
        <f t="shared" ref="C411" si="170">+D411+2</f>
        <v>11</v>
      </c>
      <c r="D411" s="133">
        <f t="shared" ref="D411" si="171">+E411+1</f>
        <v>9</v>
      </c>
      <c r="E411" s="133">
        <f>+E412-1</f>
        <v>8</v>
      </c>
      <c r="F411" t="s">
        <v>76</v>
      </c>
      <c r="G411" t="s">
        <v>157</v>
      </c>
      <c r="H411" t="s">
        <v>113</v>
      </c>
      <c r="I411" t="s">
        <v>108</v>
      </c>
      <c r="J411" t="s">
        <v>108</v>
      </c>
      <c r="K411" t="s">
        <v>107</v>
      </c>
      <c r="L411" t="s">
        <v>108</v>
      </c>
      <c r="O411" s="35"/>
      <c r="R411" t="str">
        <f t="shared" si="136"/>
        <v>A0409</v>
      </c>
      <c r="S411" t="s">
        <v>910</v>
      </c>
    </row>
    <row r="412" spans="1:19" x14ac:dyDescent="0.3">
      <c r="A412" s="57">
        <f t="shared" si="155"/>
        <v>410</v>
      </c>
      <c r="B412" s="3" t="s">
        <v>193</v>
      </c>
      <c r="C412" s="133">
        <f t="shared" ref="C412" si="172">+D412+2</f>
        <v>12</v>
      </c>
      <c r="D412" s="133">
        <f t="shared" ref="D412" si="173">+E412+1</f>
        <v>10</v>
      </c>
      <c r="E412" s="133">
        <f>+E371-1</f>
        <v>9</v>
      </c>
      <c r="F412" t="s">
        <v>76</v>
      </c>
      <c r="G412" t="s">
        <v>157</v>
      </c>
      <c r="H412" t="s">
        <v>113</v>
      </c>
      <c r="I412" t="s">
        <v>108</v>
      </c>
      <c r="J412" t="s">
        <v>108</v>
      </c>
      <c r="K412" t="s">
        <v>107</v>
      </c>
      <c r="L412" t="s">
        <v>108</v>
      </c>
      <c r="O412" s="35"/>
      <c r="R412" t="str">
        <f t="shared" si="136"/>
        <v>A0410</v>
      </c>
      <c r="S412" t="s">
        <v>911</v>
      </c>
    </row>
    <row r="413" spans="1:19" x14ac:dyDescent="0.3">
      <c r="A413" s="107">
        <f>+A412+1</f>
        <v>411</v>
      </c>
      <c r="B413" s="104" t="s">
        <v>274</v>
      </c>
      <c r="C413" s="211">
        <f>+D413+2</f>
        <v>13</v>
      </c>
      <c r="D413" s="211">
        <f>+E413+1</f>
        <v>11</v>
      </c>
      <c r="E413" s="211">
        <f>+E102+2</f>
        <v>10</v>
      </c>
      <c r="F413" t="s">
        <v>77</v>
      </c>
      <c r="G413" t="s">
        <v>112</v>
      </c>
      <c r="H413" t="s">
        <v>955</v>
      </c>
      <c r="I413" t="s">
        <v>107</v>
      </c>
      <c r="J413" t="s">
        <v>108</v>
      </c>
      <c r="K413" t="s">
        <v>108</v>
      </c>
      <c r="L413" t="s">
        <v>108</v>
      </c>
      <c r="O413" s="35"/>
      <c r="R413" t="str">
        <f t="shared" si="136"/>
        <v>A0411</v>
      </c>
      <c r="S413" t="s">
        <v>912</v>
      </c>
    </row>
    <row r="414" spans="1:19" x14ac:dyDescent="0.3">
      <c r="A414" s="107">
        <f t="shared" si="155"/>
        <v>412</v>
      </c>
      <c r="B414" s="104" t="s">
        <v>275</v>
      </c>
      <c r="C414" s="211">
        <f t="shared" ref="C414:C421" si="174">+D414+2</f>
        <v>14</v>
      </c>
      <c r="D414" s="211">
        <f t="shared" ref="D414:D421" si="175">+E414+1</f>
        <v>12</v>
      </c>
      <c r="E414" s="211">
        <f>+E413+1</f>
        <v>11</v>
      </c>
      <c r="F414" t="s">
        <v>77</v>
      </c>
      <c r="G414" t="s">
        <v>112</v>
      </c>
      <c r="H414" t="s">
        <v>955</v>
      </c>
      <c r="I414" t="s">
        <v>107</v>
      </c>
      <c r="J414" t="s">
        <v>108</v>
      </c>
      <c r="K414" t="s">
        <v>108</v>
      </c>
      <c r="L414" t="s">
        <v>108</v>
      </c>
      <c r="O414" s="35"/>
      <c r="R414" t="str">
        <f t="shared" si="136"/>
        <v>A0412</v>
      </c>
      <c r="S414" t="s">
        <v>913</v>
      </c>
    </row>
    <row r="415" spans="1:19" x14ac:dyDescent="0.3">
      <c r="A415" s="107">
        <f t="shared" si="155"/>
        <v>413</v>
      </c>
      <c r="B415" s="104" t="s">
        <v>276</v>
      </c>
      <c r="C415" s="211">
        <f t="shared" si="174"/>
        <v>15</v>
      </c>
      <c r="D415" s="211">
        <f t="shared" si="175"/>
        <v>13</v>
      </c>
      <c r="E415" s="211">
        <f t="shared" ref="E415:E421" si="176">+E414+1</f>
        <v>12</v>
      </c>
      <c r="F415" t="s">
        <v>77</v>
      </c>
      <c r="G415" t="s">
        <v>112</v>
      </c>
      <c r="H415" t="s">
        <v>955</v>
      </c>
      <c r="I415" t="s">
        <v>107</v>
      </c>
      <c r="J415" t="s">
        <v>108</v>
      </c>
      <c r="K415" t="s">
        <v>108</v>
      </c>
      <c r="L415" t="s">
        <v>108</v>
      </c>
      <c r="O415" s="35"/>
      <c r="R415" t="str">
        <f t="shared" si="136"/>
        <v>A0413</v>
      </c>
      <c r="S415" t="s">
        <v>914</v>
      </c>
    </row>
    <row r="416" spans="1:19" x14ac:dyDescent="0.3">
      <c r="A416" s="107">
        <f t="shared" si="155"/>
        <v>414</v>
      </c>
      <c r="B416" s="104" t="s">
        <v>277</v>
      </c>
      <c r="C416" s="211">
        <f t="shared" si="174"/>
        <v>16</v>
      </c>
      <c r="D416" s="211">
        <f t="shared" si="175"/>
        <v>14</v>
      </c>
      <c r="E416" s="211">
        <f t="shared" si="176"/>
        <v>13</v>
      </c>
      <c r="F416" t="s">
        <v>77</v>
      </c>
      <c r="G416" t="s">
        <v>112</v>
      </c>
      <c r="H416" t="s">
        <v>955</v>
      </c>
      <c r="I416" t="s">
        <v>107</v>
      </c>
      <c r="J416" t="s">
        <v>108</v>
      </c>
      <c r="K416" t="s">
        <v>108</v>
      </c>
      <c r="L416" t="s">
        <v>108</v>
      </c>
      <c r="O416" s="35"/>
      <c r="R416" t="str">
        <f t="shared" si="136"/>
        <v>A0414</v>
      </c>
      <c r="S416" t="s">
        <v>915</v>
      </c>
    </row>
    <row r="417" spans="1:19" x14ac:dyDescent="0.3">
      <c r="A417" s="107">
        <f t="shared" si="155"/>
        <v>415</v>
      </c>
      <c r="B417" s="104" t="s">
        <v>278</v>
      </c>
      <c r="C417" s="211">
        <f t="shared" si="174"/>
        <v>17</v>
      </c>
      <c r="D417" s="211">
        <f t="shared" si="175"/>
        <v>15</v>
      </c>
      <c r="E417" s="211">
        <f t="shared" si="176"/>
        <v>14</v>
      </c>
      <c r="F417" t="s">
        <v>77</v>
      </c>
      <c r="G417" t="s">
        <v>112</v>
      </c>
      <c r="H417" t="s">
        <v>955</v>
      </c>
      <c r="I417" t="s">
        <v>107</v>
      </c>
      <c r="J417" t="s">
        <v>108</v>
      </c>
      <c r="K417" t="s">
        <v>108</v>
      </c>
      <c r="L417" t="s">
        <v>108</v>
      </c>
      <c r="O417" s="35"/>
      <c r="R417" t="str">
        <f t="shared" si="136"/>
        <v>A0415</v>
      </c>
      <c r="S417" t="s">
        <v>916</v>
      </c>
    </row>
    <row r="418" spans="1:19" x14ac:dyDescent="0.3">
      <c r="A418" s="107">
        <f t="shared" si="155"/>
        <v>416</v>
      </c>
      <c r="B418" s="104" t="s">
        <v>279</v>
      </c>
      <c r="C418" s="211">
        <f t="shared" si="174"/>
        <v>18</v>
      </c>
      <c r="D418" s="211">
        <f t="shared" si="175"/>
        <v>16</v>
      </c>
      <c r="E418" s="211">
        <f t="shared" si="176"/>
        <v>15</v>
      </c>
      <c r="F418" t="s">
        <v>77</v>
      </c>
      <c r="G418" t="s">
        <v>112</v>
      </c>
      <c r="H418" t="s">
        <v>955</v>
      </c>
      <c r="I418" t="s">
        <v>107</v>
      </c>
      <c r="J418" t="s">
        <v>108</v>
      </c>
      <c r="K418" t="s">
        <v>108</v>
      </c>
      <c r="L418" t="s">
        <v>108</v>
      </c>
      <c r="O418" s="35"/>
      <c r="R418" t="str">
        <f t="shared" si="136"/>
        <v>A0416</v>
      </c>
      <c r="S418" t="s">
        <v>917</v>
      </c>
    </row>
    <row r="419" spans="1:19" x14ac:dyDescent="0.3">
      <c r="A419" s="107">
        <f t="shared" si="155"/>
        <v>417</v>
      </c>
      <c r="B419" s="104" t="s">
        <v>280</v>
      </c>
      <c r="C419" s="211">
        <f t="shared" si="174"/>
        <v>19</v>
      </c>
      <c r="D419" s="211">
        <f t="shared" si="175"/>
        <v>17</v>
      </c>
      <c r="E419" s="211">
        <f t="shared" si="176"/>
        <v>16</v>
      </c>
      <c r="F419" t="s">
        <v>77</v>
      </c>
      <c r="G419" t="s">
        <v>112</v>
      </c>
      <c r="H419" t="s">
        <v>955</v>
      </c>
      <c r="I419" t="s">
        <v>107</v>
      </c>
      <c r="J419" t="s">
        <v>108</v>
      </c>
      <c r="K419" t="s">
        <v>108</v>
      </c>
      <c r="L419" t="s">
        <v>108</v>
      </c>
      <c r="O419" s="35"/>
      <c r="R419" t="str">
        <f t="shared" si="136"/>
        <v>A0417</v>
      </c>
      <c r="S419" t="s">
        <v>918</v>
      </c>
    </row>
    <row r="420" spans="1:19" x14ac:dyDescent="0.3">
      <c r="A420" s="107">
        <f t="shared" si="155"/>
        <v>418</v>
      </c>
      <c r="B420" s="104" t="s">
        <v>281</v>
      </c>
      <c r="C420" s="211">
        <f t="shared" si="174"/>
        <v>20</v>
      </c>
      <c r="D420" s="211">
        <f t="shared" si="175"/>
        <v>18</v>
      </c>
      <c r="E420" s="211">
        <f t="shared" si="176"/>
        <v>17</v>
      </c>
      <c r="F420" t="s">
        <v>77</v>
      </c>
      <c r="G420" t="s">
        <v>112</v>
      </c>
      <c r="H420" t="s">
        <v>955</v>
      </c>
      <c r="I420" t="s">
        <v>107</v>
      </c>
      <c r="J420" t="s">
        <v>108</v>
      </c>
      <c r="K420" t="s">
        <v>108</v>
      </c>
      <c r="L420" t="s">
        <v>108</v>
      </c>
      <c r="O420" s="35"/>
      <c r="R420" t="str">
        <f t="shared" si="136"/>
        <v>A0418</v>
      </c>
      <c r="S420" t="s">
        <v>919</v>
      </c>
    </row>
    <row r="421" spans="1:19" x14ac:dyDescent="0.3">
      <c r="A421" s="107">
        <f t="shared" si="155"/>
        <v>419</v>
      </c>
      <c r="B421" s="104" t="s">
        <v>282</v>
      </c>
      <c r="C421" s="211">
        <f t="shared" si="174"/>
        <v>21</v>
      </c>
      <c r="D421" s="211">
        <f t="shared" si="175"/>
        <v>19</v>
      </c>
      <c r="E421" s="211">
        <f t="shared" si="176"/>
        <v>18</v>
      </c>
      <c r="F421" t="s">
        <v>77</v>
      </c>
      <c r="G421" t="s">
        <v>112</v>
      </c>
      <c r="H421" t="s">
        <v>955</v>
      </c>
      <c r="I421" t="s">
        <v>107</v>
      </c>
      <c r="J421" t="s">
        <v>108</v>
      </c>
      <c r="K421" t="s">
        <v>108</v>
      </c>
      <c r="L421" t="s">
        <v>108</v>
      </c>
      <c r="O421" s="35"/>
      <c r="R421" t="str">
        <f t="shared" si="136"/>
        <v>A0419</v>
      </c>
      <c r="S421" t="s">
        <v>920</v>
      </c>
    </row>
    <row r="422" spans="1:19" x14ac:dyDescent="0.3">
      <c r="A422" s="88">
        <f>+A421+1</f>
        <v>420</v>
      </c>
      <c r="B422" s="53" t="s">
        <v>337</v>
      </c>
      <c r="C422" s="247">
        <v>0</v>
      </c>
      <c r="D422" s="247">
        <v>0</v>
      </c>
      <c r="E422" s="247">
        <v>2.5</v>
      </c>
      <c r="F422" t="s">
        <v>339</v>
      </c>
      <c r="G422" t="s">
        <v>398</v>
      </c>
      <c r="H422" t="s">
        <v>955</v>
      </c>
      <c r="I422" t="s">
        <v>108</v>
      </c>
      <c r="J422" t="s">
        <v>108</v>
      </c>
      <c r="K422" t="s">
        <v>108</v>
      </c>
      <c r="L422" t="s">
        <v>108</v>
      </c>
      <c r="O422" s="35"/>
      <c r="R422" t="str">
        <f t="shared" si="136"/>
        <v>A0420</v>
      </c>
      <c r="S422" t="s">
        <v>921</v>
      </c>
    </row>
    <row r="423" spans="1:19" x14ac:dyDescent="0.3">
      <c r="A423" s="88">
        <f t="shared" ref="A423" si="177">+A422+1</f>
        <v>421</v>
      </c>
      <c r="B423" s="53" t="s">
        <v>338</v>
      </c>
      <c r="C423" s="247">
        <v>0</v>
      </c>
      <c r="D423" s="247">
        <v>0</v>
      </c>
      <c r="E423" s="247">
        <v>2</v>
      </c>
      <c r="F423" t="s">
        <v>339</v>
      </c>
      <c r="G423" t="s">
        <v>398</v>
      </c>
      <c r="H423" t="s">
        <v>113</v>
      </c>
      <c r="I423" t="s">
        <v>108</v>
      </c>
      <c r="J423" t="s">
        <v>108</v>
      </c>
      <c r="K423" t="s">
        <v>108</v>
      </c>
      <c r="L423" t="s">
        <v>108</v>
      </c>
      <c r="O423" s="35"/>
      <c r="R423" t="str">
        <f t="shared" si="136"/>
        <v>A0421</v>
      </c>
      <c r="S423" t="s">
        <v>922</v>
      </c>
    </row>
    <row r="424" spans="1:19" x14ac:dyDescent="0.3">
      <c r="A424" s="146">
        <f>+A423+1</f>
        <v>422</v>
      </c>
      <c r="B424" s="147" t="s">
        <v>393</v>
      </c>
      <c r="C424" s="253">
        <f>+D424+3</f>
        <v>16</v>
      </c>
      <c r="D424" s="253">
        <f t="shared" ref="D424" si="178">+E424+1</f>
        <v>13</v>
      </c>
      <c r="E424" s="253">
        <f>+E30-1</f>
        <v>12</v>
      </c>
      <c r="F424" t="s">
        <v>75</v>
      </c>
      <c r="G424" t="s">
        <v>92</v>
      </c>
      <c r="H424" t="s">
        <v>115</v>
      </c>
      <c r="I424" t="s">
        <v>107</v>
      </c>
      <c r="J424" t="s">
        <v>108</v>
      </c>
      <c r="K424" t="s">
        <v>108</v>
      </c>
      <c r="L424" t="s">
        <v>108</v>
      </c>
      <c r="M424" s="172" t="s">
        <v>19</v>
      </c>
      <c r="N424" s="172" t="s">
        <v>44</v>
      </c>
      <c r="O424" s="44">
        <f>ROUND(VLOOKUP(N424,[1]INDICE!$A$5:$D$424,4,FALSE),2)</f>
        <v>10.19</v>
      </c>
      <c r="R424" t="str">
        <f t="shared" si="136"/>
        <v>A0422</v>
      </c>
      <c r="S424" t="s">
        <v>923</v>
      </c>
    </row>
    <row r="425" spans="1:19" x14ac:dyDescent="0.3">
      <c r="A425" s="58">
        <f>+A424+1</f>
        <v>423</v>
      </c>
      <c r="B425" s="267" t="s">
        <v>380</v>
      </c>
      <c r="C425" s="221">
        <f>+D425+7.5</f>
        <v>23.5</v>
      </c>
      <c r="D425" s="221">
        <f t="shared" ref="D425" si="179">+E425+1</f>
        <v>16</v>
      </c>
      <c r="E425" s="221">
        <f>+E39-1</f>
        <v>15</v>
      </c>
      <c r="F425" t="s">
        <v>75</v>
      </c>
      <c r="G425" t="s">
        <v>398</v>
      </c>
      <c r="H425" t="s">
        <v>115</v>
      </c>
      <c r="I425" t="s">
        <v>107</v>
      </c>
      <c r="J425" t="s">
        <v>108</v>
      </c>
      <c r="K425" t="s">
        <v>108</v>
      </c>
      <c r="L425" t="s">
        <v>108</v>
      </c>
      <c r="M425" s="172" t="s">
        <v>19</v>
      </c>
      <c r="N425" s="172" t="s">
        <v>500</v>
      </c>
      <c r="O425" s="44">
        <f>ROUND(VLOOKUP(N425,[1]INDICE!$A$5:$D$424,4,FALSE),2)</f>
        <v>12.77</v>
      </c>
      <c r="R425" t="str">
        <f t="shared" si="136"/>
        <v>A0423</v>
      </c>
      <c r="S425" t="s">
        <v>924</v>
      </c>
    </row>
    <row r="426" spans="1:19" x14ac:dyDescent="0.3">
      <c r="A426" s="70">
        <f t="shared" ref="A426:A435" si="180">+A425+1</f>
        <v>424</v>
      </c>
      <c r="B426" s="39" t="s">
        <v>501</v>
      </c>
      <c r="C426" s="136">
        <f>+D426+7.5</f>
        <v>25.5</v>
      </c>
      <c r="D426" s="136">
        <f>+E426+1</f>
        <v>18</v>
      </c>
      <c r="E426" s="136">
        <f>+E48-1</f>
        <v>17</v>
      </c>
      <c r="F426" t="s">
        <v>75</v>
      </c>
      <c r="G426" t="s">
        <v>112</v>
      </c>
      <c r="H426" t="s">
        <v>115</v>
      </c>
      <c r="I426" t="s">
        <v>107</v>
      </c>
      <c r="J426" t="s">
        <v>108</v>
      </c>
      <c r="K426" t="s">
        <v>108</v>
      </c>
      <c r="L426" t="s">
        <v>108</v>
      </c>
      <c r="M426" s="172" t="s">
        <v>19</v>
      </c>
      <c r="N426" s="172" t="s">
        <v>499</v>
      </c>
      <c r="O426" s="44">
        <f>ROUND(VLOOKUP(N426,[1]INDICE!$A$5:$D$424,4,FALSE),2)</f>
        <v>13.53</v>
      </c>
      <c r="R426" t="str">
        <f t="shared" si="136"/>
        <v>A0424</v>
      </c>
      <c r="S426" t="s">
        <v>925</v>
      </c>
    </row>
    <row r="427" spans="1:19" x14ac:dyDescent="0.3">
      <c r="A427" s="79">
        <f t="shared" si="180"/>
        <v>425</v>
      </c>
      <c r="B427" s="27" t="s">
        <v>349</v>
      </c>
      <c r="C427" s="240">
        <f t="shared" ref="C427:C433" si="181">+D427+2</f>
        <v>15</v>
      </c>
      <c r="D427" s="240">
        <f t="shared" ref="D427:D433" si="182">+E427+1</f>
        <v>13</v>
      </c>
      <c r="E427" s="240">
        <f>+E232+2</f>
        <v>12</v>
      </c>
      <c r="F427" t="s">
        <v>91</v>
      </c>
      <c r="G427" t="s">
        <v>347</v>
      </c>
      <c r="H427" t="s">
        <v>955</v>
      </c>
      <c r="I427" t="s">
        <v>108</v>
      </c>
      <c r="J427" t="s">
        <v>108</v>
      </c>
      <c r="K427" t="s">
        <v>107</v>
      </c>
      <c r="L427" t="s">
        <v>108</v>
      </c>
      <c r="O427" s="35"/>
      <c r="R427" t="str">
        <f t="shared" si="136"/>
        <v>A0425</v>
      </c>
      <c r="S427" t="s">
        <v>926</v>
      </c>
    </row>
    <row r="428" spans="1:19" x14ac:dyDescent="0.3">
      <c r="A428" s="79">
        <f t="shared" si="180"/>
        <v>426</v>
      </c>
      <c r="B428" s="27" t="s">
        <v>350</v>
      </c>
      <c r="C428" s="240">
        <f t="shared" si="181"/>
        <v>16</v>
      </c>
      <c r="D428" s="240">
        <f t="shared" si="182"/>
        <v>14</v>
      </c>
      <c r="E428" s="240">
        <f t="shared" ref="E428:E435" si="183">+E427+1</f>
        <v>13</v>
      </c>
      <c r="F428" t="s">
        <v>91</v>
      </c>
      <c r="G428" t="s">
        <v>347</v>
      </c>
      <c r="H428" t="s">
        <v>955</v>
      </c>
      <c r="I428" t="s">
        <v>108</v>
      </c>
      <c r="J428" t="s">
        <v>108</v>
      </c>
      <c r="K428" t="s">
        <v>107</v>
      </c>
      <c r="L428" t="s">
        <v>108</v>
      </c>
      <c r="O428" s="35"/>
      <c r="R428" t="str">
        <f t="shared" si="136"/>
        <v>A0426</v>
      </c>
      <c r="S428" t="s">
        <v>927</v>
      </c>
    </row>
    <row r="429" spans="1:19" x14ac:dyDescent="0.3">
      <c r="A429" s="79">
        <f t="shared" si="180"/>
        <v>427</v>
      </c>
      <c r="B429" s="27" t="s">
        <v>351</v>
      </c>
      <c r="C429" s="240">
        <f t="shared" si="181"/>
        <v>17</v>
      </c>
      <c r="D429" s="240">
        <f t="shared" si="182"/>
        <v>15</v>
      </c>
      <c r="E429" s="240">
        <f t="shared" si="183"/>
        <v>14</v>
      </c>
      <c r="F429" t="s">
        <v>91</v>
      </c>
      <c r="G429" t="s">
        <v>347</v>
      </c>
      <c r="H429" t="s">
        <v>955</v>
      </c>
      <c r="I429" t="s">
        <v>108</v>
      </c>
      <c r="J429" t="s">
        <v>108</v>
      </c>
      <c r="K429" t="s">
        <v>107</v>
      </c>
      <c r="L429" t="s">
        <v>108</v>
      </c>
      <c r="O429" s="35"/>
      <c r="R429" t="str">
        <f t="shared" si="136"/>
        <v>A0427</v>
      </c>
      <c r="S429" t="s">
        <v>928</v>
      </c>
    </row>
    <row r="430" spans="1:19" x14ac:dyDescent="0.3">
      <c r="A430" s="79">
        <f t="shared" si="180"/>
        <v>428</v>
      </c>
      <c r="B430" s="27" t="s">
        <v>352</v>
      </c>
      <c r="C430" s="240">
        <f t="shared" si="181"/>
        <v>18</v>
      </c>
      <c r="D430" s="240">
        <f t="shared" si="182"/>
        <v>16</v>
      </c>
      <c r="E430" s="240">
        <f t="shared" si="183"/>
        <v>15</v>
      </c>
      <c r="F430" t="s">
        <v>91</v>
      </c>
      <c r="G430" t="s">
        <v>347</v>
      </c>
      <c r="H430" t="s">
        <v>955</v>
      </c>
      <c r="I430" t="s">
        <v>108</v>
      </c>
      <c r="J430" t="s">
        <v>108</v>
      </c>
      <c r="K430" t="s">
        <v>107</v>
      </c>
      <c r="L430" t="s">
        <v>108</v>
      </c>
      <c r="O430" s="35"/>
      <c r="R430" t="str">
        <f t="shared" si="136"/>
        <v>A0428</v>
      </c>
      <c r="S430" t="s">
        <v>929</v>
      </c>
    </row>
    <row r="431" spans="1:19" x14ac:dyDescent="0.3">
      <c r="A431" s="79">
        <f t="shared" si="180"/>
        <v>429</v>
      </c>
      <c r="B431" s="27" t="s">
        <v>353</v>
      </c>
      <c r="C431" s="240">
        <f t="shared" si="181"/>
        <v>19</v>
      </c>
      <c r="D431" s="240">
        <f t="shared" si="182"/>
        <v>17</v>
      </c>
      <c r="E431" s="240">
        <f t="shared" si="183"/>
        <v>16</v>
      </c>
      <c r="F431" t="s">
        <v>91</v>
      </c>
      <c r="G431" t="s">
        <v>347</v>
      </c>
      <c r="H431" t="s">
        <v>955</v>
      </c>
      <c r="I431" t="s">
        <v>108</v>
      </c>
      <c r="J431" t="s">
        <v>108</v>
      </c>
      <c r="K431" t="s">
        <v>107</v>
      </c>
      <c r="L431" t="s">
        <v>108</v>
      </c>
      <c r="O431" s="35"/>
      <c r="R431" t="str">
        <f t="shared" si="136"/>
        <v>A0429</v>
      </c>
      <c r="S431" t="s">
        <v>930</v>
      </c>
    </row>
    <row r="432" spans="1:19" x14ac:dyDescent="0.3">
      <c r="A432" s="79">
        <f t="shared" si="180"/>
        <v>430</v>
      </c>
      <c r="B432" s="27" t="s">
        <v>354</v>
      </c>
      <c r="C432" s="240">
        <f t="shared" si="181"/>
        <v>20</v>
      </c>
      <c r="D432" s="240">
        <f t="shared" si="182"/>
        <v>18</v>
      </c>
      <c r="E432" s="240">
        <f t="shared" si="183"/>
        <v>17</v>
      </c>
      <c r="F432" t="s">
        <v>91</v>
      </c>
      <c r="G432" t="s">
        <v>347</v>
      </c>
      <c r="H432" t="s">
        <v>955</v>
      </c>
      <c r="I432" t="s">
        <v>108</v>
      </c>
      <c r="J432" t="s">
        <v>108</v>
      </c>
      <c r="K432" t="s">
        <v>107</v>
      </c>
      <c r="L432" t="s">
        <v>108</v>
      </c>
      <c r="O432" s="35"/>
      <c r="R432" t="str">
        <f t="shared" si="136"/>
        <v>A0430</v>
      </c>
      <c r="S432" t="s">
        <v>931</v>
      </c>
    </row>
    <row r="433" spans="1:19" x14ac:dyDescent="0.3">
      <c r="A433" s="79">
        <f t="shared" si="180"/>
        <v>431</v>
      </c>
      <c r="B433" s="27" t="s">
        <v>367</v>
      </c>
      <c r="C433" s="240">
        <f t="shared" si="181"/>
        <v>21</v>
      </c>
      <c r="D433" s="240">
        <f t="shared" si="182"/>
        <v>19</v>
      </c>
      <c r="E433" s="240">
        <f t="shared" si="183"/>
        <v>18</v>
      </c>
      <c r="F433" t="s">
        <v>91</v>
      </c>
      <c r="G433" t="s">
        <v>347</v>
      </c>
      <c r="H433" t="s">
        <v>955</v>
      </c>
      <c r="I433" t="s">
        <v>108</v>
      </c>
      <c r="J433" t="s">
        <v>108</v>
      </c>
      <c r="K433" t="s">
        <v>107</v>
      </c>
      <c r="L433" t="s">
        <v>108</v>
      </c>
      <c r="O433" s="35"/>
      <c r="R433" t="str">
        <f t="shared" si="136"/>
        <v>A0431</v>
      </c>
      <c r="S433" t="s">
        <v>932</v>
      </c>
    </row>
    <row r="434" spans="1:19" x14ac:dyDescent="0.3">
      <c r="A434" s="79">
        <f t="shared" si="180"/>
        <v>432</v>
      </c>
      <c r="B434" s="27" t="s">
        <v>355</v>
      </c>
      <c r="C434" s="240">
        <f t="shared" ref="C434" si="184">+D434+2</f>
        <v>22</v>
      </c>
      <c r="D434" s="240">
        <f t="shared" ref="D434" si="185">+E434+1</f>
        <v>20</v>
      </c>
      <c r="E434" s="240">
        <f t="shared" si="183"/>
        <v>19</v>
      </c>
      <c r="F434" t="s">
        <v>91</v>
      </c>
      <c r="G434" t="s">
        <v>347</v>
      </c>
      <c r="H434" t="s">
        <v>955</v>
      </c>
      <c r="I434" t="s">
        <v>108</v>
      </c>
      <c r="J434" t="s">
        <v>108</v>
      </c>
      <c r="K434" t="s">
        <v>107</v>
      </c>
      <c r="L434" t="s">
        <v>108</v>
      </c>
      <c r="O434" s="35"/>
      <c r="R434" t="str">
        <f t="shared" si="136"/>
        <v>A0432</v>
      </c>
      <c r="S434" t="s">
        <v>933</v>
      </c>
    </row>
    <row r="435" spans="1:19" x14ac:dyDescent="0.3">
      <c r="A435" s="79">
        <f t="shared" si="180"/>
        <v>433</v>
      </c>
      <c r="B435" s="27" t="s">
        <v>356</v>
      </c>
      <c r="C435" s="240">
        <f t="shared" ref="C435" si="186">+D435+2</f>
        <v>23</v>
      </c>
      <c r="D435" s="240">
        <f t="shared" ref="D435" si="187">+E435+1</f>
        <v>21</v>
      </c>
      <c r="E435" s="240">
        <f t="shared" si="183"/>
        <v>20</v>
      </c>
      <c r="F435" t="s">
        <v>91</v>
      </c>
      <c r="G435" t="s">
        <v>347</v>
      </c>
      <c r="H435" t="s">
        <v>955</v>
      </c>
      <c r="I435" t="s">
        <v>108</v>
      </c>
      <c r="J435" t="s">
        <v>108</v>
      </c>
      <c r="K435" t="s">
        <v>107</v>
      </c>
      <c r="L435" t="s">
        <v>108</v>
      </c>
      <c r="O435" s="35"/>
      <c r="R435" t="str">
        <f t="shared" si="136"/>
        <v>A0433</v>
      </c>
      <c r="S435" t="s">
        <v>934</v>
      </c>
    </row>
    <row r="436" spans="1:19" x14ac:dyDescent="0.3">
      <c r="A436" s="67">
        <f>+A435+1</f>
        <v>434</v>
      </c>
      <c r="B436" s="7" t="s">
        <v>394</v>
      </c>
      <c r="C436" s="265">
        <f t="shared" ref="C436:E437" si="188">+C6+2</f>
        <v>16.5</v>
      </c>
      <c r="D436" s="265">
        <f t="shared" si="188"/>
        <v>13.5</v>
      </c>
      <c r="E436" s="265">
        <f t="shared" si="188"/>
        <v>12.5</v>
      </c>
      <c r="F436" t="s">
        <v>75</v>
      </c>
      <c r="G436" t="s">
        <v>92</v>
      </c>
      <c r="H436" t="s">
        <v>113</v>
      </c>
      <c r="I436" t="s">
        <v>107</v>
      </c>
      <c r="J436" t="s">
        <v>108</v>
      </c>
      <c r="K436" t="s">
        <v>108</v>
      </c>
      <c r="L436" t="s">
        <v>108</v>
      </c>
      <c r="O436" s="33"/>
      <c r="R436" t="str">
        <f t="shared" si="136"/>
        <v>A0434</v>
      </c>
      <c r="S436" t="s">
        <v>935</v>
      </c>
    </row>
    <row r="437" spans="1:19" x14ac:dyDescent="0.3">
      <c r="A437" s="60">
        <f t="shared" ref="A437:A494" si="189">+A436+1</f>
        <v>435</v>
      </c>
      <c r="B437" s="8" t="s">
        <v>395</v>
      </c>
      <c r="C437" s="130">
        <f t="shared" si="188"/>
        <v>23</v>
      </c>
      <c r="D437" s="130">
        <f t="shared" si="188"/>
        <v>16.5</v>
      </c>
      <c r="E437" s="130">
        <f t="shared" si="188"/>
        <v>15.5</v>
      </c>
      <c r="F437" t="s">
        <v>75</v>
      </c>
      <c r="G437" t="s">
        <v>398</v>
      </c>
      <c r="H437" t="s">
        <v>113</v>
      </c>
      <c r="I437" t="s">
        <v>107</v>
      </c>
      <c r="J437" t="s">
        <v>108</v>
      </c>
      <c r="K437" t="s">
        <v>108</v>
      </c>
      <c r="L437" t="s">
        <v>108</v>
      </c>
      <c r="O437"/>
      <c r="R437" t="str">
        <f t="shared" si="136"/>
        <v>A0435</v>
      </c>
      <c r="S437" t="s">
        <v>936</v>
      </c>
    </row>
    <row r="438" spans="1:19" x14ac:dyDescent="0.3">
      <c r="A438" s="67">
        <f t="shared" si="189"/>
        <v>436</v>
      </c>
      <c r="B438" s="168" t="s">
        <v>415</v>
      </c>
      <c r="C438" s="124">
        <v>22</v>
      </c>
      <c r="D438" s="124">
        <v>20</v>
      </c>
      <c r="E438" s="124">
        <f>+E441-0.5</f>
        <v>17.5</v>
      </c>
      <c r="F438" t="s">
        <v>75</v>
      </c>
      <c r="G438" t="s">
        <v>112</v>
      </c>
      <c r="H438" t="s">
        <v>113</v>
      </c>
      <c r="I438" t="s">
        <v>107</v>
      </c>
      <c r="J438" t="s">
        <v>108</v>
      </c>
      <c r="K438" t="s">
        <v>108</v>
      </c>
      <c r="L438" t="s">
        <v>108</v>
      </c>
      <c r="O438"/>
      <c r="R438" t="str">
        <f t="shared" si="136"/>
        <v>A0436</v>
      </c>
      <c r="S438" t="s">
        <v>937</v>
      </c>
    </row>
    <row r="439" spans="1:19" x14ac:dyDescent="0.3">
      <c r="A439" s="77">
        <f t="shared" si="189"/>
        <v>437</v>
      </c>
      <c r="B439" s="14" t="s">
        <v>396</v>
      </c>
      <c r="C439" s="238">
        <f t="shared" ref="C439:E440" si="190">+C18+2</f>
        <v>17</v>
      </c>
      <c r="D439" s="238">
        <f t="shared" si="190"/>
        <v>14</v>
      </c>
      <c r="E439" s="238">
        <f t="shared" si="190"/>
        <v>13</v>
      </c>
      <c r="F439" t="s">
        <v>75</v>
      </c>
      <c r="G439" t="s">
        <v>92</v>
      </c>
      <c r="H439" t="s">
        <v>113</v>
      </c>
      <c r="I439" t="s">
        <v>107</v>
      </c>
      <c r="J439" t="s">
        <v>108</v>
      </c>
      <c r="K439" t="s">
        <v>108</v>
      </c>
      <c r="L439" t="s">
        <v>108</v>
      </c>
      <c r="O439" s="33"/>
      <c r="R439" t="str">
        <f t="shared" si="136"/>
        <v>A0437</v>
      </c>
      <c r="S439" t="s">
        <v>938</v>
      </c>
    </row>
    <row r="440" spans="1:19" x14ac:dyDescent="0.3">
      <c r="A440" s="60">
        <f t="shared" si="189"/>
        <v>438</v>
      </c>
      <c r="B440" s="8" t="s">
        <v>397</v>
      </c>
      <c r="C440" s="130">
        <f t="shared" si="190"/>
        <v>23.5</v>
      </c>
      <c r="D440" s="130">
        <f t="shared" si="190"/>
        <v>17</v>
      </c>
      <c r="E440" s="130">
        <f t="shared" si="190"/>
        <v>16</v>
      </c>
      <c r="F440" t="s">
        <v>75</v>
      </c>
      <c r="G440" t="s">
        <v>398</v>
      </c>
      <c r="H440" t="s">
        <v>113</v>
      </c>
      <c r="I440" t="s">
        <v>107</v>
      </c>
      <c r="J440" t="s">
        <v>108</v>
      </c>
      <c r="K440" t="s">
        <v>108</v>
      </c>
      <c r="L440" t="s">
        <v>108</v>
      </c>
      <c r="O440"/>
      <c r="R440" t="str">
        <f t="shared" si="136"/>
        <v>A0438</v>
      </c>
      <c r="S440" t="s">
        <v>939</v>
      </c>
    </row>
    <row r="441" spans="1:19" x14ac:dyDescent="0.3">
      <c r="A441" s="77">
        <f t="shared" si="189"/>
        <v>439</v>
      </c>
      <c r="B441" s="13" t="s">
        <v>416</v>
      </c>
      <c r="C441" s="238">
        <v>22</v>
      </c>
      <c r="D441" s="238">
        <v>20</v>
      </c>
      <c r="E441" s="238">
        <f>+E171-1</f>
        <v>18</v>
      </c>
      <c r="F441" t="s">
        <v>75</v>
      </c>
      <c r="G441" t="s">
        <v>112</v>
      </c>
      <c r="H441" t="s">
        <v>113</v>
      </c>
      <c r="I441" t="s">
        <v>107</v>
      </c>
      <c r="J441" t="s">
        <v>108</v>
      </c>
      <c r="K441" t="s">
        <v>108</v>
      </c>
      <c r="L441" t="s">
        <v>108</v>
      </c>
      <c r="O441"/>
      <c r="R441" t="str">
        <f t="shared" si="136"/>
        <v>A0439</v>
      </c>
      <c r="S441" t="s">
        <v>940</v>
      </c>
    </row>
    <row r="442" spans="1:19" x14ac:dyDescent="0.3">
      <c r="A442" s="74">
        <f t="shared" si="189"/>
        <v>440</v>
      </c>
      <c r="B442" s="5" t="s">
        <v>987</v>
      </c>
      <c r="C442" s="217">
        <f>+D442+2</f>
        <v>30</v>
      </c>
      <c r="D442" s="217">
        <f>+E442+1</f>
        <v>28</v>
      </c>
      <c r="E442" s="217">
        <f>+E451+2</f>
        <v>27</v>
      </c>
      <c r="F442" t="s">
        <v>80</v>
      </c>
      <c r="G442" t="s">
        <v>119</v>
      </c>
      <c r="H442" t="s">
        <v>955</v>
      </c>
      <c r="I442" t="s">
        <v>107</v>
      </c>
      <c r="J442" t="s">
        <v>108</v>
      </c>
      <c r="K442" t="s">
        <v>108</v>
      </c>
      <c r="L442" t="s">
        <v>108</v>
      </c>
      <c r="M442" s="172" t="s">
        <v>19</v>
      </c>
      <c r="N442" s="172" t="s">
        <v>985</v>
      </c>
      <c r="O442" s="44">
        <f>ROUND(VLOOKUP(N442,[1]INDICE!$A$5:$D$424,4,FALSE),2)</f>
        <v>19.95</v>
      </c>
      <c r="R442" t="str">
        <f t="shared" si="136"/>
        <v>A0440</v>
      </c>
      <c r="S442" t="s">
        <v>1055</v>
      </c>
    </row>
    <row r="443" spans="1:19" x14ac:dyDescent="0.3">
      <c r="A443" s="74">
        <f t="shared" si="189"/>
        <v>441</v>
      </c>
      <c r="B443" s="5" t="s">
        <v>988</v>
      </c>
      <c r="C443" s="217">
        <f t="shared" ref="C443:C450" si="191">+D443+2</f>
        <v>31</v>
      </c>
      <c r="D443" s="217">
        <f t="shared" ref="D443:D450" si="192">+E443+1</f>
        <v>29</v>
      </c>
      <c r="E443" s="217">
        <f>+E442+1</f>
        <v>28</v>
      </c>
      <c r="F443" t="s">
        <v>80</v>
      </c>
      <c r="G443" t="s">
        <v>119</v>
      </c>
      <c r="H443" t="s">
        <v>955</v>
      </c>
      <c r="I443" t="s">
        <v>107</v>
      </c>
      <c r="J443" t="s">
        <v>108</v>
      </c>
      <c r="K443" t="s">
        <v>108</v>
      </c>
      <c r="L443" t="s">
        <v>108</v>
      </c>
      <c r="O443" s="33"/>
      <c r="R443" t="str">
        <f t="shared" ref="R443" si="193">+TEXT(A443,"A000#")</f>
        <v>A0441</v>
      </c>
      <c r="S443" t="s">
        <v>1056</v>
      </c>
    </row>
    <row r="444" spans="1:19" x14ac:dyDescent="0.3">
      <c r="A444" s="74">
        <f t="shared" si="189"/>
        <v>442</v>
      </c>
      <c r="B444" s="5" t="s">
        <v>989</v>
      </c>
      <c r="C444" s="217">
        <f t="shared" si="191"/>
        <v>32</v>
      </c>
      <c r="D444" s="217">
        <f t="shared" si="192"/>
        <v>30</v>
      </c>
      <c r="E444" s="217">
        <f t="shared" ref="E444:E450" si="194">+E443+1</f>
        <v>29</v>
      </c>
      <c r="F444" t="s">
        <v>80</v>
      </c>
      <c r="G444" t="s">
        <v>119</v>
      </c>
      <c r="H444" t="s">
        <v>955</v>
      </c>
      <c r="I444" t="s">
        <v>107</v>
      </c>
      <c r="J444" t="s">
        <v>108</v>
      </c>
      <c r="K444" t="s">
        <v>108</v>
      </c>
      <c r="L444" t="s">
        <v>108</v>
      </c>
      <c r="O444" s="33"/>
      <c r="R444" t="str">
        <f t="shared" ref="R444:R450" si="195">+TEXT(A444,"A000#")</f>
        <v>A0442</v>
      </c>
      <c r="S444" t="s">
        <v>1057</v>
      </c>
    </row>
    <row r="445" spans="1:19" x14ac:dyDescent="0.3">
      <c r="A445" s="74">
        <f t="shared" si="189"/>
        <v>443</v>
      </c>
      <c r="B445" s="5" t="s">
        <v>990</v>
      </c>
      <c r="C445" s="217">
        <f t="shared" si="191"/>
        <v>33</v>
      </c>
      <c r="D445" s="217">
        <f t="shared" si="192"/>
        <v>31</v>
      </c>
      <c r="E445" s="217">
        <f t="shared" si="194"/>
        <v>30</v>
      </c>
      <c r="F445" t="s">
        <v>80</v>
      </c>
      <c r="G445" t="s">
        <v>119</v>
      </c>
      <c r="H445" t="s">
        <v>955</v>
      </c>
      <c r="I445" t="s">
        <v>107</v>
      </c>
      <c r="J445" t="s">
        <v>108</v>
      </c>
      <c r="K445" t="s">
        <v>108</v>
      </c>
      <c r="L445" t="s">
        <v>108</v>
      </c>
      <c r="O445" s="33"/>
      <c r="R445" t="str">
        <f t="shared" si="195"/>
        <v>A0443</v>
      </c>
      <c r="S445" t="s">
        <v>1058</v>
      </c>
    </row>
    <row r="446" spans="1:19" x14ac:dyDescent="0.3">
      <c r="A446" s="74">
        <f t="shared" si="189"/>
        <v>444</v>
      </c>
      <c r="B446" s="5" t="s">
        <v>991</v>
      </c>
      <c r="C446" s="217">
        <f t="shared" si="191"/>
        <v>34</v>
      </c>
      <c r="D446" s="217">
        <f t="shared" si="192"/>
        <v>32</v>
      </c>
      <c r="E446" s="217">
        <f t="shared" si="194"/>
        <v>31</v>
      </c>
      <c r="F446" t="s">
        <v>80</v>
      </c>
      <c r="G446" t="s">
        <v>119</v>
      </c>
      <c r="H446" t="s">
        <v>955</v>
      </c>
      <c r="I446" t="s">
        <v>107</v>
      </c>
      <c r="J446" t="s">
        <v>108</v>
      </c>
      <c r="K446" t="s">
        <v>108</v>
      </c>
      <c r="L446" t="s">
        <v>108</v>
      </c>
      <c r="O446" s="33"/>
      <c r="R446" t="str">
        <f t="shared" si="195"/>
        <v>A0444</v>
      </c>
      <c r="S446" t="s">
        <v>1059</v>
      </c>
    </row>
    <row r="447" spans="1:19" x14ac:dyDescent="0.3">
      <c r="A447" s="74">
        <f t="shared" si="189"/>
        <v>445</v>
      </c>
      <c r="B447" s="5" t="s">
        <v>992</v>
      </c>
      <c r="C447" s="217">
        <f t="shared" si="191"/>
        <v>35</v>
      </c>
      <c r="D447" s="217">
        <f t="shared" si="192"/>
        <v>33</v>
      </c>
      <c r="E447" s="217">
        <f t="shared" si="194"/>
        <v>32</v>
      </c>
      <c r="F447" t="s">
        <v>80</v>
      </c>
      <c r="G447" t="s">
        <v>119</v>
      </c>
      <c r="H447" t="s">
        <v>955</v>
      </c>
      <c r="I447" t="s">
        <v>107</v>
      </c>
      <c r="J447" t="s">
        <v>108</v>
      </c>
      <c r="K447" t="s">
        <v>108</v>
      </c>
      <c r="L447" t="s">
        <v>108</v>
      </c>
      <c r="O447" s="33"/>
      <c r="R447" t="str">
        <f t="shared" si="195"/>
        <v>A0445</v>
      </c>
      <c r="S447" t="s">
        <v>1060</v>
      </c>
    </row>
    <row r="448" spans="1:19" x14ac:dyDescent="0.3">
      <c r="A448" s="74">
        <f t="shared" si="189"/>
        <v>446</v>
      </c>
      <c r="B448" s="5" t="s">
        <v>993</v>
      </c>
      <c r="C448" s="217">
        <f t="shared" si="191"/>
        <v>36</v>
      </c>
      <c r="D448" s="217">
        <f t="shared" si="192"/>
        <v>34</v>
      </c>
      <c r="E448" s="217">
        <f t="shared" si="194"/>
        <v>33</v>
      </c>
      <c r="F448" t="s">
        <v>80</v>
      </c>
      <c r="G448" t="s">
        <v>119</v>
      </c>
      <c r="H448" t="s">
        <v>955</v>
      </c>
      <c r="I448" t="s">
        <v>107</v>
      </c>
      <c r="J448" t="s">
        <v>108</v>
      </c>
      <c r="K448" t="s">
        <v>108</v>
      </c>
      <c r="L448" t="s">
        <v>108</v>
      </c>
      <c r="O448" s="33"/>
      <c r="R448" t="str">
        <f t="shared" si="195"/>
        <v>A0446</v>
      </c>
      <c r="S448" t="s">
        <v>1061</v>
      </c>
    </row>
    <row r="449" spans="1:19" x14ac:dyDescent="0.3">
      <c r="A449" s="74">
        <f t="shared" si="189"/>
        <v>447</v>
      </c>
      <c r="B449" s="5" t="s">
        <v>994</v>
      </c>
      <c r="C449" s="217">
        <f t="shared" si="191"/>
        <v>37</v>
      </c>
      <c r="D449" s="217">
        <f t="shared" si="192"/>
        <v>35</v>
      </c>
      <c r="E449" s="217">
        <f t="shared" si="194"/>
        <v>34</v>
      </c>
      <c r="F449" t="s">
        <v>80</v>
      </c>
      <c r="G449" t="s">
        <v>119</v>
      </c>
      <c r="H449" t="s">
        <v>955</v>
      </c>
      <c r="I449" t="s">
        <v>107</v>
      </c>
      <c r="J449" t="s">
        <v>108</v>
      </c>
      <c r="K449" t="s">
        <v>108</v>
      </c>
      <c r="L449" t="s">
        <v>108</v>
      </c>
      <c r="O449" s="33"/>
      <c r="R449" t="str">
        <f t="shared" si="195"/>
        <v>A0447</v>
      </c>
      <c r="S449" t="s">
        <v>1062</v>
      </c>
    </row>
    <row r="450" spans="1:19" x14ac:dyDescent="0.3">
      <c r="A450" s="74">
        <f t="shared" si="189"/>
        <v>448</v>
      </c>
      <c r="B450" s="5" t="s">
        <v>995</v>
      </c>
      <c r="C450" s="217">
        <f t="shared" si="191"/>
        <v>38</v>
      </c>
      <c r="D450" s="217">
        <f t="shared" si="192"/>
        <v>36</v>
      </c>
      <c r="E450" s="217">
        <f t="shared" si="194"/>
        <v>35</v>
      </c>
      <c r="F450" t="s">
        <v>80</v>
      </c>
      <c r="G450" t="s">
        <v>119</v>
      </c>
      <c r="H450" t="s">
        <v>955</v>
      </c>
      <c r="I450" t="s">
        <v>107</v>
      </c>
      <c r="J450" t="s">
        <v>108</v>
      </c>
      <c r="K450" t="s">
        <v>108</v>
      </c>
      <c r="L450" t="s">
        <v>108</v>
      </c>
      <c r="O450" s="33"/>
      <c r="R450" t="str">
        <f t="shared" si="195"/>
        <v>A0448</v>
      </c>
      <c r="S450" t="s">
        <v>1063</v>
      </c>
    </row>
    <row r="451" spans="1:19" x14ac:dyDescent="0.3">
      <c r="A451" s="183">
        <f t="shared" si="189"/>
        <v>449</v>
      </c>
      <c r="B451" s="184" t="s">
        <v>997</v>
      </c>
      <c r="C451" s="254">
        <f>+D451+2</f>
        <v>28</v>
      </c>
      <c r="D451" s="254">
        <f>+E451+1</f>
        <v>26</v>
      </c>
      <c r="E451" s="254">
        <f>+PRECIO!E180+1</f>
        <v>25</v>
      </c>
      <c r="F451" s="185" t="s">
        <v>80</v>
      </c>
      <c r="G451" s="185" t="s">
        <v>119</v>
      </c>
      <c r="H451" s="185" t="s">
        <v>955</v>
      </c>
      <c r="I451" s="185" t="s">
        <v>107</v>
      </c>
      <c r="J451" s="185" t="s">
        <v>108</v>
      </c>
      <c r="K451" s="185" t="s">
        <v>108</v>
      </c>
      <c r="L451" s="185" t="s">
        <v>108</v>
      </c>
      <c r="M451" s="172" t="s">
        <v>19</v>
      </c>
      <c r="N451" s="172" t="s">
        <v>986</v>
      </c>
      <c r="O451" s="44">
        <f>ROUND(VLOOKUP(N451,[1]INDICE!$A$5:$D$424,4,FALSE),2)</f>
        <v>22.21</v>
      </c>
      <c r="R451" t="str">
        <f t="shared" ref="R451:R505" si="196">+TEXT(A451,"A000#")</f>
        <v>A0449</v>
      </c>
      <c r="S451" t="s">
        <v>1064</v>
      </c>
    </row>
    <row r="452" spans="1:19" x14ac:dyDescent="0.3">
      <c r="A452" s="183">
        <f t="shared" si="189"/>
        <v>450</v>
      </c>
      <c r="B452" s="184" t="s">
        <v>998</v>
      </c>
      <c r="C452" s="254">
        <f t="shared" ref="C452:C459" si="197">+D452+2</f>
        <v>29</v>
      </c>
      <c r="D452" s="254">
        <f t="shared" ref="D452:D459" si="198">+E452+1</f>
        <v>27</v>
      </c>
      <c r="E452" s="254">
        <f>+E451+1</f>
        <v>26</v>
      </c>
      <c r="F452" s="185" t="s">
        <v>80</v>
      </c>
      <c r="G452" s="185" t="s">
        <v>119</v>
      </c>
      <c r="H452" s="185" t="s">
        <v>955</v>
      </c>
      <c r="I452" s="185" t="s">
        <v>107</v>
      </c>
      <c r="J452" s="185" t="s">
        <v>108</v>
      </c>
      <c r="K452" s="185" t="s">
        <v>108</v>
      </c>
      <c r="L452" s="185" t="s">
        <v>108</v>
      </c>
      <c r="O452" s="33"/>
      <c r="R452" t="str">
        <f t="shared" si="196"/>
        <v>A0450</v>
      </c>
      <c r="S452" t="s">
        <v>1065</v>
      </c>
    </row>
    <row r="453" spans="1:19" x14ac:dyDescent="0.3">
      <c r="A453" s="183">
        <f t="shared" si="189"/>
        <v>451</v>
      </c>
      <c r="B453" s="184" t="s">
        <v>999</v>
      </c>
      <c r="C453" s="254">
        <f t="shared" si="197"/>
        <v>30</v>
      </c>
      <c r="D453" s="254">
        <f t="shared" si="198"/>
        <v>28</v>
      </c>
      <c r="E453" s="254">
        <f t="shared" ref="E453:E459" si="199">+E452+1</f>
        <v>27</v>
      </c>
      <c r="F453" s="185" t="s">
        <v>80</v>
      </c>
      <c r="G453" s="185" t="s">
        <v>119</v>
      </c>
      <c r="H453" s="185" t="s">
        <v>955</v>
      </c>
      <c r="I453" s="185" t="s">
        <v>107</v>
      </c>
      <c r="J453" s="185" t="s">
        <v>108</v>
      </c>
      <c r="K453" s="185" t="s">
        <v>108</v>
      </c>
      <c r="L453" s="185" t="s">
        <v>108</v>
      </c>
      <c r="O453" s="33"/>
      <c r="R453" t="str">
        <f t="shared" si="196"/>
        <v>A0451</v>
      </c>
      <c r="S453" t="s">
        <v>1066</v>
      </c>
    </row>
    <row r="454" spans="1:19" x14ac:dyDescent="0.3">
      <c r="A454" s="183">
        <f t="shared" si="189"/>
        <v>452</v>
      </c>
      <c r="B454" s="184" t="s">
        <v>1000</v>
      </c>
      <c r="C454" s="254">
        <f t="shared" si="197"/>
        <v>31</v>
      </c>
      <c r="D454" s="254">
        <f t="shared" si="198"/>
        <v>29</v>
      </c>
      <c r="E454" s="254">
        <f t="shared" si="199"/>
        <v>28</v>
      </c>
      <c r="F454" s="185" t="s">
        <v>80</v>
      </c>
      <c r="G454" s="185" t="s">
        <v>119</v>
      </c>
      <c r="H454" s="185" t="s">
        <v>955</v>
      </c>
      <c r="I454" s="185" t="s">
        <v>107</v>
      </c>
      <c r="J454" s="185" t="s">
        <v>108</v>
      </c>
      <c r="K454" s="185" t="s">
        <v>108</v>
      </c>
      <c r="L454" s="185" t="s">
        <v>108</v>
      </c>
      <c r="O454" s="33"/>
      <c r="R454" t="str">
        <f t="shared" si="196"/>
        <v>A0452</v>
      </c>
      <c r="S454" t="s">
        <v>1067</v>
      </c>
    </row>
    <row r="455" spans="1:19" x14ac:dyDescent="0.3">
      <c r="A455" s="183">
        <f t="shared" si="189"/>
        <v>453</v>
      </c>
      <c r="B455" s="184" t="s">
        <v>1001</v>
      </c>
      <c r="C455" s="254">
        <f t="shared" si="197"/>
        <v>32</v>
      </c>
      <c r="D455" s="254">
        <f t="shared" si="198"/>
        <v>30</v>
      </c>
      <c r="E455" s="254">
        <f t="shared" si="199"/>
        <v>29</v>
      </c>
      <c r="F455" s="185" t="s">
        <v>80</v>
      </c>
      <c r="G455" s="185" t="s">
        <v>119</v>
      </c>
      <c r="H455" s="185" t="s">
        <v>955</v>
      </c>
      <c r="I455" s="185" t="s">
        <v>107</v>
      </c>
      <c r="J455" s="185" t="s">
        <v>108</v>
      </c>
      <c r="K455" s="185" t="s">
        <v>108</v>
      </c>
      <c r="L455" s="185" t="s">
        <v>108</v>
      </c>
      <c r="O455" s="33"/>
      <c r="R455" t="str">
        <f t="shared" si="196"/>
        <v>A0453</v>
      </c>
      <c r="S455" t="s">
        <v>1068</v>
      </c>
    </row>
    <row r="456" spans="1:19" x14ac:dyDescent="0.3">
      <c r="A456" s="183">
        <f t="shared" si="189"/>
        <v>454</v>
      </c>
      <c r="B456" s="184" t="s">
        <v>1002</v>
      </c>
      <c r="C456" s="254">
        <f t="shared" si="197"/>
        <v>33</v>
      </c>
      <c r="D456" s="254">
        <f t="shared" si="198"/>
        <v>31</v>
      </c>
      <c r="E456" s="254">
        <f t="shared" si="199"/>
        <v>30</v>
      </c>
      <c r="F456" s="185" t="s">
        <v>80</v>
      </c>
      <c r="G456" s="185" t="s">
        <v>119</v>
      </c>
      <c r="H456" s="185" t="s">
        <v>955</v>
      </c>
      <c r="I456" s="185" t="s">
        <v>107</v>
      </c>
      <c r="J456" s="185" t="s">
        <v>108</v>
      </c>
      <c r="K456" s="185" t="s">
        <v>108</v>
      </c>
      <c r="L456" s="185" t="s">
        <v>108</v>
      </c>
      <c r="O456" s="33"/>
      <c r="R456" t="str">
        <f t="shared" si="196"/>
        <v>A0454</v>
      </c>
      <c r="S456" t="s">
        <v>1069</v>
      </c>
    </row>
    <row r="457" spans="1:19" x14ac:dyDescent="0.3">
      <c r="A457" s="183">
        <f t="shared" si="189"/>
        <v>455</v>
      </c>
      <c r="B457" s="184" t="s">
        <v>1003</v>
      </c>
      <c r="C457" s="254">
        <f t="shared" si="197"/>
        <v>34</v>
      </c>
      <c r="D457" s="254">
        <f t="shared" si="198"/>
        <v>32</v>
      </c>
      <c r="E457" s="254">
        <f t="shared" si="199"/>
        <v>31</v>
      </c>
      <c r="F457" s="185" t="s">
        <v>80</v>
      </c>
      <c r="G457" s="185" t="s">
        <v>119</v>
      </c>
      <c r="H457" s="185" t="s">
        <v>955</v>
      </c>
      <c r="I457" s="185" t="s">
        <v>107</v>
      </c>
      <c r="J457" s="185" t="s">
        <v>108</v>
      </c>
      <c r="K457" s="185" t="s">
        <v>108</v>
      </c>
      <c r="L457" s="185" t="s">
        <v>108</v>
      </c>
      <c r="O457" s="33"/>
      <c r="R457" t="str">
        <f t="shared" si="196"/>
        <v>A0455</v>
      </c>
      <c r="S457" t="s">
        <v>1070</v>
      </c>
    </row>
    <row r="458" spans="1:19" x14ac:dyDescent="0.3">
      <c r="A458" s="183">
        <f t="shared" si="189"/>
        <v>456</v>
      </c>
      <c r="B458" s="184" t="s">
        <v>1004</v>
      </c>
      <c r="C458" s="254">
        <f t="shared" si="197"/>
        <v>35</v>
      </c>
      <c r="D458" s="254">
        <f t="shared" si="198"/>
        <v>33</v>
      </c>
      <c r="E458" s="254">
        <f t="shared" si="199"/>
        <v>32</v>
      </c>
      <c r="F458" s="185" t="s">
        <v>80</v>
      </c>
      <c r="G458" s="185" t="s">
        <v>119</v>
      </c>
      <c r="H458" s="185" t="s">
        <v>955</v>
      </c>
      <c r="I458" s="185" t="s">
        <v>107</v>
      </c>
      <c r="J458" s="185" t="s">
        <v>108</v>
      </c>
      <c r="K458" s="185" t="s">
        <v>108</v>
      </c>
      <c r="L458" s="185" t="s">
        <v>108</v>
      </c>
      <c r="O458" s="33"/>
      <c r="R458" t="str">
        <f t="shared" si="196"/>
        <v>A0456</v>
      </c>
      <c r="S458" t="s">
        <v>1071</v>
      </c>
    </row>
    <row r="459" spans="1:19" x14ac:dyDescent="0.3">
      <c r="A459" s="183">
        <f t="shared" si="189"/>
        <v>457</v>
      </c>
      <c r="B459" s="184" t="s">
        <v>1005</v>
      </c>
      <c r="C459" s="254">
        <f t="shared" si="197"/>
        <v>36</v>
      </c>
      <c r="D459" s="254">
        <f t="shared" si="198"/>
        <v>34</v>
      </c>
      <c r="E459" s="254">
        <f t="shared" si="199"/>
        <v>33</v>
      </c>
      <c r="F459" s="185" t="s">
        <v>80</v>
      </c>
      <c r="G459" s="185" t="s">
        <v>119</v>
      </c>
      <c r="H459" s="185" t="s">
        <v>955</v>
      </c>
      <c r="I459" s="185" t="s">
        <v>107</v>
      </c>
      <c r="J459" s="185" t="s">
        <v>108</v>
      </c>
      <c r="K459" s="185" t="s">
        <v>108</v>
      </c>
      <c r="L459" s="185" t="s">
        <v>108</v>
      </c>
      <c r="O459" s="33"/>
      <c r="R459" t="str">
        <f t="shared" si="196"/>
        <v>A0457</v>
      </c>
      <c r="S459" t="s">
        <v>1072</v>
      </c>
    </row>
    <row r="460" spans="1:19" x14ac:dyDescent="0.3">
      <c r="A460" s="80">
        <f t="shared" si="189"/>
        <v>458</v>
      </c>
      <c r="B460" s="28" t="s">
        <v>1021</v>
      </c>
      <c r="C460" s="241">
        <f>+D460+2</f>
        <v>30</v>
      </c>
      <c r="D460" s="241">
        <f>+E460+1</f>
        <v>28</v>
      </c>
      <c r="E460" s="241">
        <f>+E213+1</f>
        <v>27</v>
      </c>
      <c r="F460" t="s">
        <v>84</v>
      </c>
      <c r="G460" t="s">
        <v>119</v>
      </c>
      <c r="H460" t="s">
        <v>955</v>
      </c>
      <c r="I460" t="s">
        <v>107</v>
      </c>
      <c r="J460" t="s">
        <v>108</v>
      </c>
      <c r="K460" t="s">
        <v>108</v>
      </c>
      <c r="L460" t="s">
        <v>108</v>
      </c>
      <c r="O460" s="35"/>
      <c r="R460" t="str">
        <f t="shared" si="196"/>
        <v>A0458</v>
      </c>
      <c r="S460" t="s">
        <v>1073</v>
      </c>
    </row>
    <row r="461" spans="1:19" x14ac:dyDescent="0.3">
      <c r="A461" s="80">
        <f t="shared" si="189"/>
        <v>459</v>
      </c>
      <c r="B461" s="28" t="s">
        <v>1022</v>
      </c>
      <c r="C461" s="241">
        <f>+D461+2</f>
        <v>31</v>
      </c>
      <c r="D461" s="241">
        <f>+E461+1</f>
        <v>29</v>
      </c>
      <c r="E461" s="241">
        <f>+E460+1</f>
        <v>28</v>
      </c>
      <c r="F461" t="s">
        <v>84</v>
      </c>
      <c r="G461" t="s">
        <v>119</v>
      </c>
      <c r="H461" t="s">
        <v>955</v>
      </c>
      <c r="I461" t="s">
        <v>107</v>
      </c>
      <c r="J461" t="s">
        <v>108</v>
      </c>
      <c r="K461" t="s">
        <v>108</v>
      </c>
      <c r="L461" t="s">
        <v>108</v>
      </c>
      <c r="O461" s="35"/>
      <c r="R461" t="str">
        <f t="shared" si="196"/>
        <v>A0459</v>
      </c>
      <c r="S461" t="s">
        <v>1074</v>
      </c>
    </row>
    <row r="462" spans="1:19" x14ac:dyDescent="0.3">
      <c r="A462" s="80">
        <f t="shared" si="189"/>
        <v>460</v>
      </c>
      <c r="B462" s="28" t="s">
        <v>1023</v>
      </c>
      <c r="C462" s="241">
        <f t="shared" ref="C462:C467" si="200">+D462+2</f>
        <v>32</v>
      </c>
      <c r="D462" s="241">
        <f t="shared" ref="D462:D467" si="201">+E462+1</f>
        <v>30</v>
      </c>
      <c r="E462" s="241">
        <f t="shared" ref="E462:E467" si="202">+E461+1</f>
        <v>29</v>
      </c>
      <c r="F462" t="s">
        <v>84</v>
      </c>
      <c r="G462" t="s">
        <v>119</v>
      </c>
      <c r="H462" t="s">
        <v>955</v>
      </c>
      <c r="I462" t="s">
        <v>107</v>
      </c>
      <c r="J462" t="s">
        <v>108</v>
      </c>
      <c r="K462" t="s">
        <v>108</v>
      </c>
      <c r="L462" t="s">
        <v>108</v>
      </c>
      <c r="O462" s="35"/>
      <c r="R462" t="str">
        <f t="shared" si="196"/>
        <v>A0460</v>
      </c>
      <c r="S462" t="s">
        <v>1075</v>
      </c>
    </row>
    <row r="463" spans="1:19" x14ac:dyDescent="0.3">
      <c r="A463" s="80">
        <f t="shared" si="189"/>
        <v>461</v>
      </c>
      <c r="B463" s="28" t="s">
        <v>1024</v>
      </c>
      <c r="C463" s="241">
        <f t="shared" si="200"/>
        <v>33</v>
      </c>
      <c r="D463" s="241">
        <f t="shared" si="201"/>
        <v>31</v>
      </c>
      <c r="E463" s="241">
        <f t="shared" si="202"/>
        <v>30</v>
      </c>
      <c r="F463" t="s">
        <v>84</v>
      </c>
      <c r="G463" t="s">
        <v>119</v>
      </c>
      <c r="H463" t="s">
        <v>955</v>
      </c>
      <c r="I463" t="s">
        <v>107</v>
      </c>
      <c r="J463" t="s">
        <v>108</v>
      </c>
      <c r="K463" t="s">
        <v>108</v>
      </c>
      <c r="L463" t="s">
        <v>108</v>
      </c>
      <c r="O463" s="35"/>
      <c r="R463" t="str">
        <f t="shared" si="196"/>
        <v>A0461</v>
      </c>
      <c r="S463" t="s">
        <v>1076</v>
      </c>
    </row>
    <row r="464" spans="1:19" x14ac:dyDescent="0.3">
      <c r="A464" s="80">
        <f t="shared" si="189"/>
        <v>462</v>
      </c>
      <c r="B464" s="28" t="s">
        <v>1025</v>
      </c>
      <c r="C464" s="241">
        <f t="shared" si="200"/>
        <v>34</v>
      </c>
      <c r="D464" s="241">
        <f t="shared" si="201"/>
        <v>32</v>
      </c>
      <c r="E464" s="241">
        <f t="shared" si="202"/>
        <v>31</v>
      </c>
      <c r="F464" t="s">
        <v>84</v>
      </c>
      <c r="G464" t="s">
        <v>119</v>
      </c>
      <c r="H464" t="s">
        <v>955</v>
      </c>
      <c r="I464" t="s">
        <v>107</v>
      </c>
      <c r="J464" t="s">
        <v>108</v>
      </c>
      <c r="K464" t="s">
        <v>108</v>
      </c>
      <c r="L464" t="s">
        <v>108</v>
      </c>
      <c r="O464" s="35"/>
      <c r="R464" t="str">
        <f t="shared" si="196"/>
        <v>A0462</v>
      </c>
      <c r="S464" t="s">
        <v>1077</v>
      </c>
    </row>
    <row r="465" spans="1:19" x14ac:dyDescent="0.3">
      <c r="A465" s="80">
        <f t="shared" si="189"/>
        <v>463</v>
      </c>
      <c r="B465" s="28" t="s">
        <v>1026</v>
      </c>
      <c r="C465" s="241">
        <f t="shared" si="200"/>
        <v>35</v>
      </c>
      <c r="D465" s="241">
        <f t="shared" si="201"/>
        <v>33</v>
      </c>
      <c r="E465" s="241">
        <f t="shared" si="202"/>
        <v>32</v>
      </c>
      <c r="F465" t="s">
        <v>84</v>
      </c>
      <c r="G465" t="s">
        <v>119</v>
      </c>
      <c r="H465" t="s">
        <v>955</v>
      </c>
      <c r="I465" t="s">
        <v>107</v>
      </c>
      <c r="J465" t="s">
        <v>108</v>
      </c>
      <c r="K465" t="s">
        <v>108</v>
      </c>
      <c r="L465" t="s">
        <v>108</v>
      </c>
      <c r="O465" s="35"/>
      <c r="R465" t="str">
        <f t="shared" si="196"/>
        <v>A0463</v>
      </c>
      <c r="S465" t="s">
        <v>1078</v>
      </c>
    </row>
    <row r="466" spans="1:19" x14ac:dyDescent="0.3">
      <c r="A466" s="80">
        <f t="shared" si="189"/>
        <v>464</v>
      </c>
      <c r="B466" s="28" t="s">
        <v>1027</v>
      </c>
      <c r="C466" s="241">
        <f t="shared" si="200"/>
        <v>36</v>
      </c>
      <c r="D466" s="241">
        <f t="shared" si="201"/>
        <v>34</v>
      </c>
      <c r="E466" s="241">
        <f t="shared" si="202"/>
        <v>33</v>
      </c>
      <c r="F466" t="s">
        <v>84</v>
      </c>
      <c r="G466" t="s">
        <v>119</v>
      </c>
      <c r="H466" t="s">
        <v>955</v>
      </c>
      <c r="I466" t="s">
        <v>107</v>
      </c>
      <c r="J466" t="s">
        <v>108</v>
      </c>
      <c r="K466" t="s">
        <v>108</v>
      </c>
      <c r="L466" t="s">
        <v>108</v>
      </c>
      <c r="O466" s="35"/>
      <c r="R466" t="str">
        <f t="shared" si="196"/>
        <v>A0464</v>
      </c>
      <c r="S466" t="s">
        <v>1079</v>
      </c>
    </row>
    <row r="467" spans="1:19" x14ac:dyDescent="0.3">
      <c r="A467" s="80">
        <f t="shared" si="189"/>
        <v>465</v>
      </c>
      <c r="B467" s="28" t="s">
        <v>1028</v>
      </c>
      <c r="C467" s="241">
        <f t="shared" si="200"/>
        <v>37</v>
      </c>
      <c r="D467" s="241">
        <f t="shared" si="201"/>
        <v>35</v>
      </c>
      <c r="E467" s="241">
        <f t="shared" si="202"/>
        <v>34</v>
      </c>
      <c r="F467" t="s">
        <v>84</v>
      </c>
      <c r="G467" t="s">
        <v>119</v>
      </c>
      <c r="H467" t="s">
        <v>955</v>
      </c>
      <c r="I467" t="s">
        <v>107</v>
      </c>
      <c r="J467" t="s">
        <v>108</v>
      </c>
      <c r="K467" t="s">
        <v>108</v>
      </c>
      <c r="L467" t="s">
        <v>108</v>
      </c>
      <c r="O467" s="35"/>
      <c r="R467" t="str">
        <f t="shared" si="196"/>
        <v>A0465</v>
      </c>
      <c r="S467" t="s">
        <v>1080</v>
      </c>
    </row>
    <row r="468" spans="1:19" x14ac:dyDescent="0.3">
      <c r="A468" s="68">
        <f t="shared" si="189"/>
        <v>466</v>
      </c>
      <c r="B468" s="31" t="s">
        <v>1011</v>
      </c>
      <c r="C468" s="230">
        <f>+D468+2</f>
        <v>14</v>
      </c>
      <c r="D468" s="230">
        <f>+E468+1</f>
        <v>12</v>
      </c>
      <c r="E468" s="230">
        <f>+E139</f>
        <v>11</v>
      </c>
      <c r="F468" t="s">
        <v>91</v>
      </c>
      <c r="G468" t="s">
        <v>195</v>
      </c>
      <c r="H468" t="s">
        <v>955</v>
      </c>
      <c r="I468" t="s">
        <v>107</v>
      </c>
      <c r="J468" t="s">
        <v>108</v>
      </c>
      <c r="K468" t="s">
        <v>108</v>
      </c>
      <c r="L468" t="s">
        <v>108</v>
      </c>
      <c r="M468" s="172" t="s">
        <v>19</v>
      </c>
      <c r="N468" s="172" t="s">
        <v>1050</v>
      </c>
      <c r="O468" s="188">
        <f>ROUND(VLOOKUP(N468,[1]INDICE!$A$5:$D$424,4,FALSE),2)</f>
        <v>9.7799999999999994</v>
      </c>
      <c r="R468" t="str">
        <f t="shared" si="196"/>
        <v>A0466</v>
      </c>
      <c r="S468" t="s">
        <v>1081</v>
      </c>
    </row>
    <row r="469" spans="1:19" x14ac:dyDescent="0.3">
      <c r="A469" s="68">
        <f t="shared" si="189"/>
        <v>467</v>
      </c>
      <c r="B469" s="31" t="s">
        <v>1012</v>
      </c>
      <c r="C469" s="230">
        <f t="shared" ref="C469:C482" si="203">+D469+2</f>
        <v>15</v>
      </c>
      <c r="D469" s="230">
        <f t="shared" ref="D469:D476" si="204">+E469+1</f>
        <v>13</v>
      </c>
      <c r="E469" s="230">
        <f t="shared" ref="E469:E476" si="205">+E140</f>
        <v>12</v>
      </c>
      <c r="F469" t="s">
        <v>91</v>
      </c>
      <c r="G469" t="s">
        <v>195</v>
      </c>
      <c r="H469" t="s">
        <v>955</v>
      </c>
      <c r="I469" t="s">
        <v>107</v>
      </c>
      <c r="J469" t="s">
        <v>108</v>
      </c>
      <c r="K469" t="s">
        <v>108</v>
      </c>
      <c r="L469" t="s">
        <v>108</v>
      </c>
      <c r="O469" s="44"/>
      <c r="R469" t="str">
        <f t="shared" si="196"/>
        <v>A0467</v>
      </c>
      <c r="S469" t="s">
        <v>1082</v>
      </c>
    </row>
    <row r="470" spans="1:19" x14ac:dyDescent="0.3">
      <c r="A470" s="68">
        <f t="shared" si="189"/>
        <v>468</v>
      </c>
      <c r="B470" s="31" t="s">
        <v>1013</v>
      </c>
      <c r="C470" s="230">
        <f t="shared" si="203"/>
        <v>16</v>
      </c>
      <c r="D470" s="230">
        <f t="shared" si="204"/>
        <v>14</v>
      </c>
      <c r="E470" s="230">
        <f t="shared" si="205"/>
        <v>13</v>
      </c>
      <c r="F470" t="s">
        <v>91</v>
      </c>
      <c r="G470" t="s">
        <v>195</v>
      </c>
      <c r="H470" t="s">
        <v>955</v>
      </c>
      <c r="I470" t="s">
        <v>107</v>
      </c>
      <c r="J470" t="s">
        <v>108</v>
      </c>
      <c r="K470" t="s">
        <v>108</v>
      </c>
      <c r="L470" t="s">
        <v>108</v>
      </c>
      <c r="O470" s="44"/>
      <c r="R470" t="str">
        <f t="shared" si="196"/>
        <v>A0468</v>
      </c>
      <c r="S470" t="s">
        <v>1083</v>
      </c>
    </row>
    <row r="471" spans="1:19" x14ac:dyDescent="0.3">
      <c r="A471" s="68">
        <f t="shared" si="189"/>
        <v>469</v>
      </c>
      <c r="B471" s="31" t="s">
        <v>1014</v>
      </c>
      <c r="C471" s="230">
        <f t="shared" si="203"/>
        <v>17</v>
      </c>
      <c r="D471" s="230">
        <f t="shared" si="204"/>
        <v>15</v>
      </c>
      <c r="E471" s="230">
        <f t="shared" si="205"/>
        <v>14</v>
      </c>
      <c r="F471" t="s">
        <v>91</v>
      </c>
      <c r="G471" t="s">
        <v>195</v>
      </c>
      <c r="H471" t="s">
        <v>955</v>
      </c>
      <c r="I471" t="s">
        <v>107</v>
      </c>
      <c r="J471" t="s">
        <v>108</v>
      </c>
      <c r="K471" t="s">
        <v>108</v>
      </c>
      <c r="L471" t="s">
        <v>108</v>
      </c>
      <c r="O471" s="44"/>
      <c r="R471" t="str">
        <f t="shared" si="196"/>
        <v>A0469</v>
      </c>
      <c r="S471" t="s">
        <v>1084</v>
      </c>
    </row>
    <row r="472" spans="1:19" x14ac:dyDescent="0.3">
      <c r="A472" s="68">
        <f t="shared" si="189"/>
        <v>470</v>
      </c>
      <c r="B472" s="31" t="s">
        <v>1015</v>
      </c>
      <c r="C472" s="230">
        <f t="shared" si="203"/>
        <v>18</v>
      </c>
      <c r="D472" s="230">
        <f t="shared" si="204"/>
        <v>16</v>
      </c>
      <c r="E472" s="230">
        <f t="shared" si="205"/>
        <v>15</v>
      </c>
      <c r="F472" t="s">
        <v>91</v>
      </c>
      <c r="G472" t="s">
        <v>195</v>
      </c>
      <c r="H472" t="s">
        <v>955</v>
      </c>
      <c r="I472" t="s">
        <v>107</v>
      </c>
      <c r="J472" t="s">
        <v>108</v>
      </c>
      <c r="K472" t="s">
        <v>108</v>
      </c>
      <c r="L472" t="s">
        <v>108</v>
      </c>
      <c r="O472" s="44"/>
      <c r="R472" t="str">
        <f t="shared" si="196"/>
        <v>A0470</v>
      </c>
      <c r="S472" t="s">
        <v>1085</v>
      </c>
    </row>
    <row r="473" spans="1:19" x14ac:dyDescent="0.3">
      <c r="A473" s="68">
        <f t="shared" si="189"/>
        <v>471</v>
      </c>
      <c r="B473" s="31" t="s">
        <v>1016</v>
      </c>
      <c r="C473" s="230">
        <f t="shared" si="203"/>
        <v>19</v>
      </c>
      <c r="D473" s="230">
        <f t="shared" si="204"/>
        <v>17</v>
      </c>
      <c r="E473" s="230">
        <f t="shared" si="205"/>
        <v>16</v>
      </c>
      <c r="F473" t="s">
        <v>91</v>
      </c>
      <c r="G473" t="s">
        <v>195</v>
      </c>
      <c r="H473" t="s">
        <v>955</v>
      </c>
      <c r="I473" t="s">
        <v>107</v>
      </c>
      <c r="J473" t="s">
        <v>108</v>
      </c>
      <c r="K473" t="s">
        <v>108</v>
      </c>
      <c r="L473" t="s">
        <v>108</v>
      </c>
      <c r="O473" s="44"/>
      <c r="R473" t="str">
        <f t="shared" si="196"/>
        <v>A0471</v>
      </c>
      <c r="S473" t="s">
        <v>1086</v>
      </c>
    </row>
    <row r="474" spans="1:19" x14ac:dyDescent="0.3">
      <c r="A474" s="68">
        <f t="shared" si="189"/>
        <v>472</v>
      </c>
      <c r="B474" s="31" t="s">
        <v>1017</v>
      </c>
      <c r="C474" s="230">
        <f t="shared" si="203"/>
        <v>20</v>
      </c>
      <c r="D474" s="230">
        <f t="shared" si="204"/>
        <v>18</v>
      </c>
      <c r="E474" s="230">
        <f t="shared" si="205"/>
        <v>17</v>
      </c>
      <c r="F474" t="s">
        <v>91</v>
      </c>
      <c r="G474" t="s">
        <v>195</v>
      </c>
      <c r="H474" t="s">
        <v>955</v>
      </c>
      <c r="I474" t="s">
        <v>107</v>
      </c>
      <c r="J474" t="s">
        <v>108</v>
      </c>
      <c r="K474" t="s">
        <v>108</v>
      </c>
      <c r="L474" t="s">
        <v>108</v>
      </c>
      <c r="O474" s="44"/>
      <c r="R474" t="str">
        <f t="shared" si="196"/>
        <v>A0472</v>
      </c>
      <c r="S474" t="s">
        <v>1087</v>
      </c>
    </row>
    <row r="475" spans="1:19" x14ac:dyDescent="0.3">
      <c r="A475" s="68">
        <f t="shared" si="189"/>
        <v>473</v>
      </c>
      <c r="B475" s="31" t="s">
        <v>1018</v>
      </c>
      <c r="C475" s="230">
        <f t="shared" si="203"/>
        <v>21</v>
      </c>
      <c r="D475" s="230">
        <f t="shared" si="204"/>
        <v>19</v>
      </c>
      <c r="E475" s="230">
        <f t="shared" si="205"/>
        <v>18</v>
      </c>
      <c r="F475" t="s">
        <v>91</v>
      </c>
      <c r="G475" t="s">
        <v>195</v>
      </c>
      <c r="H475" t="s">
        <v>955</v>
      </c>
      <c r="I475" t="s">
        <v>107</v>
      </c>
      <c r="J475" t="s">
        <v>108</v>
      </c>
      <c r="K475" t="s">
        <v>108</v>
      </c>
      <c r="L475" t="s">
        <v>108</v>
      </c>
      <c r="O475" s="44"/>
      <c r="R475" t="str">
        <f t="shared" si="196"/>
        <v>A0473</v>
      </c>
      <c r="S475" t="s">
        <v>1088</v>
      </c>
    </row>
    <row r="476" spans="1:19" x14ac:dyDescent="0.3">
      <c r="A476" s="68">
        <f t="shared" si="189"/>
        <v>474</v>
      </c>
      <c r="B476" s="31" t="s">
        <v>1019</v>
      </c>
      <c r="C476" s="230">
        <f t="shared" si="203"/>
        <v>22</v>
      </c>
      <c r="D476" s="230">
        <f t="shared" si="204"/>
        <v>20</v>
      </c>
      <c r="E476" s="230">
        <f t="shared" si="205"/>
        <v>19</v>
      </c>
      <c r="F476" t="s">
        <v>91</v>
      </c>
      <c r="G476" t="s">
        <v>195</v>
      </c>
      <c r="H476" t="s">
        <v>955</v>
      </c>
      <c r="I476" t="s">
        <v>107</v>
      </c>
      <c r="J476" t="s">
        <v>108</v>
      </c>
      <c r="K476" t="s">
        <v>108</v>
      </c>
      <c r="L476" t="s">
        <v>108</v>
      </c>
      <c r="O476" s="44"/>
      <c r="R476" t="str">
        <f t="shared" si="196"/>
        <v>A0474</v>
      </c>
      <c r="S476" t="s">
        <v>1089</v>
      </c>
    </row>
    <row r="477" spans="1:19" x14ac:dyDescent="0.3">
      <c r="A477" s="61">
        <f t="shared" si="189"/>
        <v>475</v>
      </c>
      <c r="B477" s="16" t="s">
        <v>1029</v>
      </c>
      <c r="C477" s="191">
        <f t="shared" si="203"/>
        <v>24</v>
      </c>
      <c r="D477" s="191">
        <f>+E477+1</f>
        <v>22</v>
      </c>
      <c r="E477" s="191">
        <f>+E478-1</f>
        <v>21</v>
      </c>
      <c r="F477" t="s">
        <v>84</v>
      </c>
      <c r="G477" t="s">
        <v>112</v>
      </c>
      <c r="H477" t="s">
        <v>113</v>
      </c>
      <c r="I477" t="s">
        <v>107</v>
      </c>
      <c r="J477" t="s">
        <v>108</v>
      </c>
      <c r="K477" t="s">
        <v>108</v>
      </c>
      <c r="L477" t="s">
        <v>108</v>
      </c>
      <c r="O477" s="44"/>
      <c r="R477" t="str">
        <f t="shared" si="196"/>
        <v>A0475</v>
      </c>
      <c r="S477" t="s">
        <v>1090</v>
      </c>
    </row>
    <row r="478" spans="1:19" x14ac:dyDescent="0.3">
      <c r="A478" s="61">
        <f t="shared" si="189"/>
        <v>476</v>
      </c>
      <c r="B478" s="16" t="s">
        <v>1030</v>
      </c>
      <c r="C478" s="191">
        <f t="shared" si="203"/>
        <v>25</v>
      </c>
      <c r="D478" s="191">
        <f>+E478+1</f>
        <v>23</v>
      </c>
      <c r="E478" s="191">
        <f>+E479-1</f>
        <v>22</v>
      </c>
      <c r="F478" t="s">
        <v>84</v>
      </c>
      <c r="G478" t="s">
        <v>112</v>
      </c>
      <c r="H478" t="s">
        <v>113</v>
      </c>
      <c r="I478" t="s">
        <v>107</v>
      </c>
      <c r="J478" t="s">
        <v>108</v>
      </c>
      <c r="K478" t="s">
        <v>108</v>
      </c>
      <c r="L478" t="s">
        <v>108</v>
      </c>
      <c r="O478" s="44"/>
      <c r="R478" t="str">
        <f t="shared" si="196"/>
        <v>A0476</v>
      </c>
      <c r="S478" t="s">
        <v>1091</v>
      </c>
    </row>
    <row r="479" spans="1:19" x14ac:dyDescent="0.3">
      <c r="A479" s="146">
        <f t="shared" si="189"/>
        <v>477</v>
      </c>
      <c r="B479" s="147" t="s">
        <v>1031</v>
      </c>
      <c r="C479" s="127">
        <f t="shared" si="203"/>
        <v>26</v>
      </c>
      <c r="D479" s="127">
        <f>+E479+1</f>
        <v>24</v>
      </c>
      <c r="E479" s="127">
        <f>+E213-3</f>
        <v>23</v>
      </c>
      <c r="F479" t="s">
        <v>84</v>
      </c>
      <c r="G479" t="s">
        <v>112</v>
      </c>
      <c r="H479" t="s">
        <v>115</v>
      </c>
      <c r="I479" t="s">
        <v>107</v>
      </c>
      <c r="J479" t="s">
        <v>108</v>
      </c>
      <c r="K479" t="s">
        <v>108</v>
      </c>
      <c r="L479" t="s">
        <v>108</v>
      </c>
      <c r="M479" s="33" t="s">
        <v>19</v>
      </c>
      <c r="N479" s="33" t="s">
        <v>1032</v>
      </c>
      <c r="O479" s="44">
        <f>ROUND(VLOOKUP(N479,[1]INDICE!$A$5:$D$424,4,FALSE),2)</f>
        <v>16.39</v>
      </c>
      <c r="R479" t="str">
        <f t="shared" si="196"/>
        <v>A0477</v>
      </c>
      <c r="S479" t="s">
        <v>1092</v>
      </c>
    </row>
    <row r="480" spans="1:19" x14ac:dyDescent="0.3">
      <c r="A480" s="70">
        <f t="shared" si="189"/>
        <v>478</v>
      </c>
      <c r="B480" s="39" t="s">
        <v>1045</v>
      </c>
      <c r="C480" s="136">
        <f t="shared" si="203"/>
        <v>18</v>
      </c>
      <c r="D480" s="136">
        <f t="shared" ref="D480:D481" si="206">+E480+1</f>
        <v>16</v>
      </c>
      <c r="E480" s="136">
        <f>+E481-1</f>
        <v>15</v>
      </c>
      <c r="F480" t="s">
        <v>84</v>
      </c>
      <c r="G480" t="s">
        <v>112</v>
      </c>
      <c r="H480" t="s">
        <v>113</v>
      </c>
      <c r="I480" t="s">
        <v>107</v>
      </c>
      <c r="J480" t="s">
        <v>108</v>
      </c>
      <c r="K480" t="s">
        <v>108</v>
      </c>
      <c r="L480" t="s">
        <v>108</v>
      </c>
      <c r="O480" s="44"/>
      <c r="R480" t="str">
        <f t="shared" si="196"/>
        <v>A0478</v>
      </c>
      <c r="S480" t="s">
        <v>1093</v>
      </c>
    </row>
    <row r="481" spans="1:19" x14ac:dyDescent="0.3">
      <c r="A481" s="70">
        <f t="shared" si="189"/>
        <v>479</v>
      </c>
      <c r="B481" s="39" t="s">
        <v>1046</v>
      </c>
      <c r="C481" s="136">
        <f t="shared" si="203"/>
        <v>19</v>
      </c>
      <c r="D481" s="136">
        <f t="shared" si="206"/>
        <v>17</v>
      </c>
      <c r="E481" s="136">
        <f>+E482-1</f>
        <v>16</v>
      </c>
      <c r="F481" t="s">
        <v>84</v>
      </c>
      <c r="G481" t="s">
        <v>112</v>
      </c>
      <c r="H481" t="s">
        <v>113</v>
      </c>
      <c r="I481" t="s">
        <v>107</v>
      </c>
      <c r="J481" t="s">
        <v>108</v>
      </c>
      <c r="K481" t="s">
        <v>108</v>
      </c>
      <c r="L481" t="s">
        <v>108</v>
      </c>
      <c r="O481" s="44"/>
      <c r="R481" t="str">
        <f t="shared" si="196"/>
        <v>A0479</v>
      </c>
      <c r="S481" t="s">
        <v>1094</v>
      </c>
    </row>
    <row r="482" spans="1:19" x14ac:dyDescent="0.3">
      <c r="A482" s="194">
        <f t="shared" si="189"/>
        <v>480</v>
      </c>
      <c r="B482" s="195" t="s">
        <v>1044</v>
      </c>
      <c r="C482" s="202">
        <f t="shared" si="203"/>
        <v>20</v>
      </c>
      <c r="D482" s="202">
        <f>+E482+1</f>
        <v>18</v>
      </c>
      <c r="E482" s="202">
        <f>+E483-1</f>
        <v>17</v>
      </c>
      <c r="F482" t="s">
        <v>84</v>
      </c>
      <c r="G482" t="s">
        <v>112</v>
      </c>
      <c r="H482" t="s">
        <v>115</v>
      </c>
      <c r="I482" t="s">
        <v>107</v>
      </c>
      <c r="J482" t="s">
        <v>108</v>
      </c>
      <c r="K482" t="s">
        <v>108</v>
      </c>
      <c r="L482" t="s">
        <v>108</v>
      </c>
      <c r="M482" s="33" t="s">
        <v>19</v>
      </c>
      <c r="N482" s="33" t="s">
        <v>1047</v>
      </c>
      <c r="O482" s="44">
        <f>ROUND(VLOOKUP(N482,[1]INDICE!$A$5:$D$424,4,FALSE),2)</f>
        <v>9.44</v>
      </c>
      <c r="R482" t="str">
        <f t="shared" si="196"/>
        <v>A0480</v>
      </c>
      <c r="S482" t="s">
        <v>1095</v>
      </c>
    </row>
    <row r="483" spans="1:19" x14ac:dyDescent="0.3">
      <c r="A483" s="192">
        <f t="shared" si="189"/>
        <v>481</v>
      </c>
      <c r="B483" s="193" t="s">
        <v>1035</v>
      </c>
      <c r="C483" s="255">
        <f>+D483+2</f>
        <v>21</v>
      </c>
      <c r="D483" s="255">
        <f>+E483+1</f>
        <v>19</v>
      </c>
      <c r="E483" s="255">
        <v>18</v>
      </c>
      <c r="F483" t="s">
        <v>84</v>
      </c>
      <c r="G483" t="s">
        <v>112</v>
      </c>
      <c r="H483" t="s">
        <v>955</v>
      </c>
      <c r="I483" t="s">
        <v>107</v>
      </c>
      <c r="J483" t="s">
        <v>108</v>
      </c>
      <c r="K483" t="s">
        <v>108</v>
      </c>
      <c r="L483" t="s">
        <v>108</v>
      </c>
      <c r="M483" s="33" t="s">
        <v>19</v>
      </c>
      <c r="N483" s="33" t="s">
        <v>1048</v>
      </c>
      <c r="O483" s="44">
        <f>ROUND(VLOOKUP(N483,[1]INDICE!$A$5:$D$424,4,FALSE),2)</f>
        <v>13.82</v>
      </c>
      <c r="R483" t="str">
        <f t="shared" si="196"/>
        <v>A0481</v>
      </c>
      <c r="S483" t="s">
        <v>1096</v>
      </c>
    </row>
    <row r="484" spans="1:19" x14ac:dyDescent="0.3">
      <c r="A484" s="192">
        <f t="shared" si="189"/>
        <v>482</v>
      </c>
      <c r="B484" s="193" t="s">
        <v>1036</v>
      </c>
      <c r="C484" s="255">
        <f>+D484+2</f>
        <v>22</v>
      </c>
      <c r="D484" s="255">
        <f>+E484+1</f>
        <v>20</v>
      </c>
      <c r="E484" s="255">
        <f>+E483+1</f>
        <v>19</v>
      </c>
      <c r="F484" t="s">
        <v>84</v>
      </c>
      <c r="G484" t="s">
        <v>112</v>
      </c>
      <c r="H484" t="s">
        <v>955</v>
      </c>
      <c r="I484" t="s">
        <v>107</v>
      </c>
      <c r="J484" t="s">
        <v>108</v>
      </c>
      <c r="K484" t="s">
        <v>108</v>
      </c>
      <c r="L484" t="s">
        <v>108</v>
      </c>
      <c r="O484" s="44"/>
      <c r="R484" t="str">
        <f t="shared" si="196"/>
        <v>A0482</v>
      </c>
      <c r="S484" t="s">
        <v>1097</v>
      </c>
    </row>
    <row r="485" spans="1:19" x14ac:dyDescent="0.3">
      <c r="A485" s="192">
        <f t="shared" si="189"/>
        <v>483</v>
      </c>
      <c r="B485" s="193" t="s">
        <v>1037</v>
      </c>
      <c r="C485" s="255">
        <f t="shared" ref="C485:C491" si="207">+D485+2</f>
        <v>23</v>
      </c>
      <c r="D485" s="255">
        <f t="shared" ref="D485:D491" si="208">+E485+1</f>
        <v>21</v>
      </c>
      <c r="E485" s="255">
        <f t="shared" ref="E485:E494" si="209">+E484+1</f>
        <v>20</v>
      </c>
      <c r="F485" t="s">
        <v>84</v>
      </c>
      <c r="G485" t="s">
        <v>112</v>
      </c>
      <c r="H485" t="s">
        <v>955</v>
      </c>
      <c r="I485" t="s">
        <v>107</v>
      </c>
      <c r="J485" t="s">
        <v>108</v>
      </c>
      <c r="K485" t="s">
        <v>108</v>
      </c>
      <c r="L485" t="s">
        <v>108</v>
      </c>
      <c r="O485" s="44"/>
      <c r="R485" t="str">
        <f t="shared" si="196"/>
        <v>A0483</v>
      </c>
      <c r="S485" t="s">
        <v>1098</v>
      </c>
    </row>
    <row r="486" spans="1:19" x14ac:dyDescent="0.3">
      <c r="A486" s="192">
        <f t="shared" si="189"/>
        <v>484</v>
      </c>
      <c r="B486" s="193" t="s">
        <v>1038</v>
      </c>
      <c r="C486" s="255">
        <f t="shared" si="207"/>
        <v>24</v>
      </c>
      <c r="D486" s="255">
        <f t="shared" si="208"/>
        <v>22</v>
      </c>
      <c r="E486" s="255">
        <f t="shared" si="209"/>
        <v>21</v>
      </c>
      <c r="F486" t="s">
        <v>84</v>
      </c>
      <c r="G486" t="s">
        <v>112</v>
      </c>
      <c r="H486" t="s">
        <v>955</v>
      </c>
      <c r="I486" t="s">
        <v>107</v>
      </c>
      <c r="J486" t="s">
        <v>108</v>
      </c>
      <c r="K486" t="s">
        <v>108</v>
      </c>
      <c r="L486" t="s">
        <v>108</v>
      </c>
      <c r="O486" s="44"/>
      <c r="R486" t="str">
        <f t="shared" si="196"/>
        <v>A0484</v>
      </c>
      <c r="S486" t="s">
        <v>1099</v>
      </c>
    </row>
    <row r="487" spans="1:19" x14ac:dyDescent="0.3">
      <c r="A487" s="192">
        <f t="shared" si="189"/>
        <v>485</v>
      </c>
      <c r="B487" s="193" t="s">
        <v>1039</v>
      </c>
      <c r="C487" s="255">
        <f t="shared" si="207"/>
        <v>25</v>
      </c>
      <c r="D487" s="255">
        <f t="shared" si="208"/>
        <v>23</v>
      </c>
      <c r="E487" s="255">
        <f t="shared" si="209"/>
        <v>22</v>
      </c>
      <c r="F487" t="s">
        <v>84</v>
      </c>
      <c r="G487" t="s">
        <v>112</v>
      </c>
      <c r="H487" t="s">
        <v>955</v>
      </c>
      <c r="I487" t="s">
        <v>107</v>
      </c>
      <c r="J487" t="s">
        <v>108</v>
      </c>
      <c r="K487" t="s">
        <v>108</v>
      </c>
      <c r="L487" t="s">
        <v>108</v>
      </c>
      <c r="O487" s="44"/>
      <c r="R487" t="str">
        <f t="shared" si="196"/>
        <v>A0485</v>
      </c>
      <c r="S487" t="s">
        <v>1100</v>
      </c>
    </row>
    <row r="488" spans="1:19" x14ac:dyDescent="0.3">
      <c r="A488" s="192">
        <f t="shared" si="189"/>
        <v>486</v>
      </c>
      <c r="B488" s="193" t="s">
        <v>1040</v>
      </c>
      <c r="C488" s="255">
        <f t="shared" si="207"/>
        <v>26</v>
      </c>
      <c r="D488" s="255">
        <f t="shared" si="208"/>
        <v>24</v>
      </c>
      <c r="E488" s="255">
        <f t="shared" si="209"/>
        <v>23</v>
      </c>
      <c r="F488" t="s">
        <v>84</v>
      </c>
      <c r="G488" t="s">
        <v>112</v>
      </c>
      <c r="H488" t="s">
        <v>955</v>
      </c>
      <c r="I488" t="s">
        <v>107</v>
      </c>
      <c r="J488" t="s">
        <v>108</v>
      </c>
      <c r="K488" t="s">
        <v>108</v>
      </c>
      <c r="L488" t="s">
        <v>108</v>
      </c>
      <c r="O488" s="44"/>
      <c r="R488" t="str">
        <f t="shared" si="196"/>
        <v>A0486</v>
      </c>
      <c r="S488" t="s">
        <v>1101</v>
      </c>
    </row>
    <row r="489" spans="1:19" x14ac:dyDescent="0.3">
      <c r="A489" s="192">
        <f t="shared" si="189"/>
        <v>487</v>
      </c>
      <c r="B489" s="193" t="s">
        <v>1041</v>
      </c>
      <c r="C489" s="255">
        <f t="shared" si="207"/>
        <v>27</v>
      </c>
      <c r="D489" s="255">
        <f t="shared" si="208"/>
        <v>25</v>
      </c>
      <c r="E489" s="255">
        <f t="shared" si="209"/>
        <v>24</v>
      </c>
      <c r="F489" t="s">
        <v>84</v>
      </c>
      <c r="G489" t="s">
        <v>112</v>
      </c>
      <c r="H489" t="s">
        <v>955</v>
      </c>
      <c r="I489" t="s">
        <v>107</v>
      </c>
      <c r="J489" t="s">
        <v>108</v>
      </c>
      <c r="K489" t="s">
        <v>108</v>
      </c>
      <c r="L489" t="s">
        <v>108</v>
      </c>
      <c r="O489" s="44"/>
      <c r="R489" t="str">
        <f t="shared" si="196"/>
        <v>A0487</v>
      </c>
      <c r="S489" t="s">
        <v>1102</v>
      </c>
    </row>
    <row r="490" spans="1:19" x14ac:dyDescent="0.3">
      <c r="A490" s="192">
        <f t="shared" si="189"/>
        <v>488</v>
      </c>
      <c r="B490" s="193" t="s">
        <v>1042</v>
      </c>
      <c r="C490" s="255">
        <f t="shared" si="207"/>
        <v>28</v>
      </c>
      <c r="D490" s="255">
        <f t="shared" si="208"/>
        <v>26</v>
      </c>
      <c r="E490" s="255">
        <f t="shared" si="209"/>
        <v>25</v>
      </c>
      <c r="F490" t="s">
        <v>84</v>
      </c>
      <c r="G490" t="s">
        <v>112</v>
      </c>
      <c r="H490" t="s">
        <v>955</v>
      </c>
      <c r="I490" t="s">
        <v>107</v>
      </c>
      <c r="J490" t="s">
        <v>108</v>
      </c>
      <c r="K490" t="s">
        <v>108</v>
      </c>
      <c r="L490" t="s">
        <v>108</v>
      </c>
      <c r="O490" s="44"/>
      <c r="R490" t="str">
        <f t="shared" si="196"/>
        <v>A0488</v>
      </c>
      <c r="S490" t="s">
        <v>1103</v>
      </c>
    </row>
    <row r="491" spans="1:19" x14ac:dyDescent="0.3">
      <c r="A491" s="192">
        <f t="shared" si="189"/>
        <v>489</v>
      </c>
      <c r="B491" s="193" t="s">
        <v>1043</v>
      </c>
      <c r="C491" s="255">
        <f t="shared" si="207"/>
        <v>29</v>
      </c>
      <c r="D491" s="255">
        <f t="shared" si="208"/>
        <v>27</v>
      </c>
      <c r="E491" s="255">
        <f t="shared" si="209"/>
        <v>26</v>
      </c>
      <c r="F491" t="s">
        <v>84</v>
      </c>
      <c r="G491" t="s">
        <v>112</v>
      </c>
      <c r="H491" t="s">
        <v>955</v>
      </c>
      <c r="I491" t="s">
        <v>107</v>
      </c>
      <c r="J491" t="s">
        <v>108</v>
      </c>
      <c r="K491" t="s">
        <v>108</v>
      </c>
      <c r="L491" t="s">
        <v>108</v>
      </c>
      <c r="O491" s="44"/>
      <c r="R491" t="str">
        <f t="shared" si="196"/>
        <v>A0489</v>
      </c>
      <c r="S491" t="s">
        <v>1104</v>
      </c>
    </row>
    <row r="492" spans="1:19" x14ac:dyDescent="0.3">
      <c r="A492" s="61">
        <f t="shared" si="189"/>
        <v>490</v>
      </c>
      <c r="B492" s="16" t="s">
        <v>1051</v>
      </c>
      <c r="C492" s="191">
        <f t="shared" ref="C492" si="210">+D492+2</f>
        <v>19.5</v>
      </c>
      <c r="D492" s="191">
        <f t="shared" ref="D492" si="211">+E492+1</f>
        <v>17.5</v>
      </c>
      <c r="E492" s="191">
        <f>+E7+3</f>
        <v>16.5</v>
      </c>
      <c r="F492" t="s">
        <v>75</v>
      </c>
      <c r="G492" t="s">
        <v>398</v>
      </c>
      <c r="H492" t="s">
        <v>113</v>
      </c>
      <c r="I492" t="s">
        <v>107</v>
      </c>
      <c r="J492" t="s">
        <v>108</v>
      </c>
      <c r="K492" t="s">
        <v>108</v>
      </c>
      <c r="L492" t="s">
        <v>108</v>
      </c>
      <c r="O492" s="44"/>
      <c r="R492" t="str">
        <f t="shared" si="196"/>
        <v>A0490</v>
      </c>
      <c r="S492" t="s">
        <v>1105</v>
      </c>
    </row>
    <row r="493" spans="1:19" x14ac:dyDescent="0.3">
      <c r="A493" s="61">
        <f t="shared" si="189"/>
        <v>491</v>
      </c>
      <c r="B493" s="16" t="s">
        <v>1052</v>
      </c>
      <c r="C493" s="191">
        <f t="shared" ref="C493" si="212">+D493+2</f>
        <v>20.5</v>
      </c>
      <c r="D493" s="191">
        <f t="shared" ref="D493" si="213">+E493+1</f>
        <v>18.5</v>
      </c>
      <c r="E493" s="191">
        <f t="shared" si="209"/>
        <v>17.5</v>
      </c>
      <c r="F493" t="s">
        <v>75</v>
      </c>
      <c r="G493" t="s">
        <v>398</v>
      </c>
      <c r="H493" t="s">
        <v>113</v>
      </c>
      <c r="I493" t="s">
        <v>107</v>
      </c>
      <c r="J493" t="s">
        <v>108</v>
      </c>
      <c r="K493" t="s">
        <v>108</v>
      </c>
      <c r="L493" t="s">
        <v>108</v>
      </c>
      <c r="O493" s="35"/>
      <c r="R493" t="str">
        <f t="shared" si="196"/>
        <v>A0491</v>
      </c>
      <c r="S493" t="s">
        <v>1106</v>
      </c>
    </row>
    <row r="494" spans="1:19" x14ac:dyDescent="0.3">
      <c r="A494" s="61">
        <f t="shared" si="189"/>
        <v>492</v>
      </c>
      <c r="B494" s="16" t="s">
        <v>1053</v>
      </c>
      <c r="C494" s="191">
        <f t="shared" ref="C494" si="214">+D494+2</f>
        <v>21.5</v>
      </c>
      <c r="D494" s="191">
        <f t="shared" ref="D494" si="215">+E494+1</f>
        <v>19.5</v>
      </c>
      <c r="E494" s="191">
        <f t="shared" si="209"/>
        <v>18.5</v>
      </c>
      <c r="F494" t="s">
        <v>75</v>
      </c>
      <c r="G494" t="s">
        <v>398</v>
      </c>
      <c r="H494" t="s">
        <v>113</v>
      </c>
      <c r="I494" t="s">
        <v>107</v>
      </c>
      <c r="J494" t="s">
        <v>108</v>
      </c>
      <c r="K494" t="s">
        <v>108</v>
      </c>
      <c r="L494" t="s">
        <v>108</v>
      </c>
      <c r="M494" s="33" t="s">
        <v>19</v>
      </c>
      <c r="N494" s="33" t="s">
        <v>1054</v>
      </c>
      <c r="O494" s="44">
        <f>ROUND(VLOOKUP(N494,[1]INDICE!$A$5:$D$424,4,FALSE),2)</f>
        <v>5.74</v>
      </c>
      <c r="R494" t="str">
        <f t="shared" si="196"/>
        <v>A0492</v>
      </c>
      <c r="S494" t="s">
        <v>1107</v>
      </c>
    </row>
    <row r="495" spans="1:19" x14ac:dyDescent="0.3">
      <c r="A495" s="65">
        <f>+A494+1</f>
        <v>493</v>
      </c>
      <c r="B495" s="203" t="s">
        <v>41</v>
      </c>
      <c r="C495" s="228">
        <f>+D495</f>
        <v>1.92</v>
      </c>
      <c r="D495" s="228">
        <f>+E495</f>
        <v>1.92</v>
      </c>
      <c r="E495" s="228">
        <f>+O495+0.01</f>
        <v>1.92</v>
      </c>
      <c r="F495" t="s">
        <v>74</v>
      </c>
      <c r="G495" t="s">
        <v>398</v>
      </c>
      <c r="I495" t="s">
        <v>107</v>
      </c>
      <c r="J495" t="s">
        <v>108</v>
      </c>
      <c r="K495" t="s">
        <v>108</v>
      </c>
      <c r="L495" t="s">
        <v>108</v>
      </c>
      <c r="M495" s="33" t="s">
        <v>19</v>
      </c>
      <c r="N495" s="33" t="s">
        <v>21</v>
      </c>
      <c r="O495" s="44">
        <f>ROUND(VLOOKUP(N495,[1]INDICE!$A$5:$D$424,4,FALSE),2)</f>
        <v>1.91</v>
      </c>
      <c r="R495" t="str">
        <f t="shared" si="196"/>
        <v>A0493</v>
      </c>
      <c r="S495" t="s">
        <v>1154</v>
      </c>
    </row>
    <row r="496" spans="1:19" x14ac:dyDescent="0.3">
      <c r="A496" s="57">
        <f>+A495+1</f>
        <v>494</v>
      </c>
      <c r="B496" s="5" t="s">
        <v>1108</v>
      </c>
      <c r="C496" s="217">
        <f>+D496+2</f>
        <v>7.5</v>
      </c>
      <c r="D496" s="217">
        <f>+E496+1.5</f>
        <v>5.5</v>
      </c>
      <c r="E496" s="217">
        <f>+E4+0.5</f>
        <v>4</v>
      </c>
      <c r="F496" t="s">
        <v>74</v>
      </c>
      <c r="G496" t="s">
        <v>112</v>
      </c>
      <c r="O496" s="35"/>
      <c r="R496" t="str">
        <f t="shared" si="196"/>
        <v>A0494</v>
      </c>
      <c r="S496" t="s">
        <v>1155</v>
      </c>
    </row>
    <row r="497" spans="1:55" s="204" customFormat="1" x14ac:dyDescent="0.3">
      <c r="A497" s="60">
        <f>+A496+1</f>
        <v>495</v>
      </c>
      <c r="B497" s="8" t="s">
        <v>1110</v>
      </c>
      <c r="C497" s="130">
        <f>+C11</f>
        <v>11</v>
      </c>
      <c r="D497" s="130">
        <f>+D11</f>
        <v>8.5</v>
      </c>
      <c r="E497" s="130">
        <f>+E11</f>
        <v>7.5</v>
      </c>
      <c r="F497" s="205" t="s">
        <v>76</v>
      </c>
      <c r="G497" s="205" t="s">
        <v>112</v>
      </c>
      <c r="H497" s="205" t="s">
        <v>113</v>
      </c>
      <c r="I497" s="205" t="s">
        <v>107</v>
      </c>
      <c r="J497" s="205" t="s">
        <v>108</v>
      </c>
      <c r="K497" s="205" t="s">
        <v>108</v>
      </c>
      <c r="L497" s="205" t="s">
        <v>108</v>
      </c>
      <c r="M497" s="206"/>
      <c r="N497" s="206"/>
      <c r="O497" s="207"/>
      <c r="P497" s="205"/>
      <c r="Q497" s="205"/>
      <c r="R497" s="205" t="str">
        <f t="shared" ref="R497" si="216">+TEXT(A497,"A000#")</f>
        <v>A0495</v>
      </c>
      <c r="S497" t="s">
        <v>1156</v>
      </c>
      <c r="T497" s="205"/>
      <c r="U497" s="205"/>
      <c r="V497" s="205"/>
      <c r="W497" s="205"/>
      <c r="X497" s="205"/>
      <c r="Y497" s="205"/>
      <c r="Z497" s="205"/>
      <c r="AA497" s="205"/>
      <c r="AB497" s="205"/>
      <c r="AC497" s="205"/>
      <c r="AD497" s="205"/>
      <c r="AE497" s="205"/>
      <c r="AF497" s="205"/>
      <c r="AG497" s="205"/>
      <c r="AH497" s="205"/>
      <c r="AI497" s="205"/>
      <c r="AJ497" s="205"/>
      <c r="AK497" s="205"/>
      <c r="AL497" s="205"/>
      <c r="AM497" s="205"/>
      <c r="AN497" s="205"/>
      <c r="AO497" s="205"/>
      <c r="AP497" s="205"/>
      <c r="AQ497" s="205"/>
      <c r="AR497" s="205"/>
      <c r="AS497" s="205"/>
      <c r="AT497" s="205"/>
      <c r="AU497" s="205"/>
      <c r="AV497" s="205"/>
      <c r="AW497" s="205"/>
      <c r="AX497" s="205"/>
      <c r="AY497" s="205"/>
      <c r="AZ497" s="205"/>
      <c r="BA497" s="205"/>
      <c r="BB497" s="205"/>
      <c r="BC497" s="205"/>
    </row>
    <row r="498" spans="1:55" s="204" customFormat="1" x14ac:dyDescent="0.3">
      <c r="A498" s="61">
        <f t="shared" ref="A498:A511" si="217">+A497+1</f>
        <v>496</v>
      </c>
      <c r="B498" s="17" t="s">
        <v>1111</v>
      </c>
      <c r="C498" s="191">
        <f>+C23</f>
        <v>11</v>
      </c>
      <c r="D498" s="191">
        <f>+D23</f>
        <v>9</v>
      </c>
      <c r="E498" s="191">
        <f>+E23</f>
        <v>8</v>
      </c>
      <c r="F498" s="205" t="s">
        <v>76</v>
      </c>
      <c r="G498" s="205" t="s">
        <v>112</v>
      </c>
      <c r="H498" s="205" t="s">
        <v>113</v>
      </c>
      <c r="I498" s="205" t="s">
        <v>107</v>
      </c>
      <c r="J498" s="205" t="s">
        <v>108</v>
      </c>
      <c r="K498" s="205" t="s">
        <v>108</v>
      </c>
      <c r="L498" s="205" t="s">
        <v>108</v>
      </c>
      <c r="M498" s="206"/>
      <c r="N498" s="206"/>
      <c r="O498" s="207"/>
      <c r="P498" s="205"/>
      <c r="Q498" s="205"/>
      <c r="R498" s="205" t="str">
        <f t="shared" ref="R498:R499" si="218">+TEXT(A498,"A000#")</f>
        <v>A0496</v>
      </c>
      <c r="S498" t="s">
        <v>1157</v>
      </c>
      <c r="T498" s="205"/>
      <c r="U498" s="205"/>
      <c r="V498" s="205"/>
      <c r="W498" s="205"/>
      <c r="X498" s="205"/>
      <c r="Y498" s="205"/>
      <c r="Z498" s="205"/>
      <c r="AA498" s="205"/>
      <c r="AB498" s="205"/>
      <c r="AC498" s="205"/>
      <c r="AD498" s="205"/>
      <c r="AE498" s="205"/>
      <c r="AF498" s="205"/>
      <c r="AG498" s="205"/>
      <c r="AH498" s="205"/>
      <c r="AI498" s="205"/>
      <c r="AJ498" s="205"/>
      <c r="AK498" s="205"/>
      <c r="AL498" s="205"/>
      <c r="AM498" s="205"/>
      <c r="AN498" s="205"/>
      <c r="AO498" s="205"/>
      <c r="AP498" s="205"/>
      <c r="AQ498" s="205"/>
      <c r="AR498" s="205"/>
      <c r="AS498" s="205"/>
      <c r="AT498" s="205"/>
      <c r="AU498" s="205"/>
      <c r="AV498" s="205"/>
      <c r="AW498" s="205"/>
      <c r="AX498" s="205"/>
      <c r="AY498" s="205"/>
      <c r="AZ498" s="205"/>
      <c r="BA498" s="205"/>
      <c r="BB498" s="205"/>
      <c r="BC498" s="205"/>
    </row>
    <row r="499" spans="1:55" s="204" customFormat="1" x14ac:dyDescent="0.3">
      <c r="A499" s="71">
        <f t="shared" si="217"/>
        <v>497</v>
      </c>
      <c r="B499" s="41" t="s">
        <v>1112</v>
      </c>
      <c r="C499" s="233">
        <f>+C297</f>
        <v>12</v>
      </c>
      <c r="D499" s="233">
        <f>+D297</f>
        <v>10</v>
      </c>
      <c r="E499" s="233">
        <f>+E297</f>
        <v>9</v>
      </c>
      <c r="F499" s="205" t="s">
        <v>76</v>
      </c>
      <c r="G499" s="205" t="s">
        <v>112</v>
      </c>
      <c r="H499" s="205" t="s">
        <v>115</v>
      </c>
      <c r="I499" s="205" t="s">
        <v>107</v>
      </c>
      <c r="J499" s="205" t="s">
        <v>108</v>
      </c>
      <c r="K499" s="205" t="s">
        <v>108</v>
      </c>
      <c r="L499" s="205" t="s">
        <v>108</v>
      </c>
      <c r="M499" s="206"/>
      <c r="N499" s="206"/>
      <c r="O499" s="207"/>
      <c r="P499" s="205"/>
      <c r="Q499" s="205"/>
      <c r="R499" s="205" t="str">
        <f t="shared" si="218"/>
        <v>A0497</v>
      </c>
      <c r="S499" t="s">
        <v>1158</v>
      </c>
      <c r="T499" s="205"/>
      <c r="U499" s="205"/>
      <c r="V499" s="205"/>
      <c r="W499" s="205"/>
      <c r="X499" s="205"/>
      <c r="Y499" s="205"/>
      <c r="Z499" s="205"/>
      <c r="AA499" s="205"/>
      <c r="AB499" s="205"/>
      <c r="AC499" s="205"/>
      <c r="AD499" s="205"/>
      <c r="AE499" s="205"/>
      <c r="AF499" s="205"/>
      <c r="AG499" s="205"/>
      <c r="AH499" s="205"/>
      <c r="AI499" s="205"/>
      <c r="AJ499" s="205"/>
      <c r="AK499" s="205"/>
      <c r="AL499" s="205"/>
      <c r="AM499" s="205"/>
      <c r="AN499" s="205"/>
      <c r="AO499" s="205"/>
      <c r="AP499" s="205"/>
      <c r="AQ499" s="205"/>
      <c r="AR499" s="205"/>
      <c r="AS499" s="205"/>
      <c r="AT499" s="205"/>
      <c r="AU499" s="205"/>
      <c r="AV499" s="205"/>
      <c r="AW499" s="205"/>
      <c r="AX499" s="205"/>
      <c r="AY499" s="205"/>
      <c r="AZ499" s="205"/>
      <c r="BA499" s="205"/>
      <c r="BB499" s="205"/>
      <c r="BC499" s="205"/>
    </row>
    <row r="500" spans="1:55" x14ac:dyDescent="0.3">
      <c r="A500" s="208">
        <f t="shared" si="217"/>
        <v>498</v>
      </c>
      <c r="B500" s="52" t="s">
        <v>1113</v>
      </c>
      <c r="C500" s="229">
        <f>+D500+2</f>
        <v>13</v>
      </c>
      <c r="D500" s="229">
        <f>+E500+1</f>
        <v>11</v>
      </c>
      <c r="E500" s="229">
        <f>+E75</f>
        <v>10</v>
      </c>
      <c r="F500" t="s">
        <v>76</v>
      </c>
      <c r="G500" t="s">
        <v>112</v>
      </c>
      <c r="H500" t="s">
        <v>955</v>
      </c>
      <c r="I500" t="s">
        <v>107</v>
      </c>
      <c r="J500" t="s">
        <v>108</v>
      </c>
      <c r="K500" t="s">
        <v>108</v>
      </c>
      <c r="L500" t="s">
        <v>108</v>
      </c>
      <c r="M500" s="33" t="s">
        <v>19</v>
      </c>
      <c r="N500" s="33" t="s">
        <v>50</v>
      </c>
      <c r="O500" s="44">
        <f>ROUND(VLOOKUP(N500,[1]INDICE!$A$5:$D$424,4,FALSE),2)</f>
        <v>6.58</v>
      </c>
      <c r="R500" t="str">
        <f t="shared" si="196"/>
        <v>A0498</v>
      </c>
      <c r="S500" t="s">
        <v>1159</v>
      </c>
    </row>
    <row r="501" spans="1:55" x14ac:dyDescent="0.3">
      <c r="A501" s="208">
        <f t="shared" si="217"/>
        <v>499</v>
      </c>
      <c r="B501" s="52" t="s">
        <v>1114</v>
      </c>
      <c r="C501" s="229">
        <f>+D501+2</f>
        <v>14</v>
      </c>
      <c r="D501" s="229">
        <f>+D500+1</f>
        <v>12</v>
      </c>
      <c r="E501" s="229">
        <f t="shared" ref="E501:E508" si="219">+E76</f>
        <v>11</v>
      </c>
      <c r="F501" t="s">
        <v>76</v>
      </c>
      <c r="G501" t="s">
        <v>112</v>
      </c>
      <c r="H501" t="s">
        <v>955</v>
      </c>
      <c r="I501" t="s">
        <v>107</v>
      </c>
      <c r="J501" t="s">
        <v>108</v>
      </c>
      <c r="K501" t="s">
        <v>108</v>
      </c>
      <c r="L501" t="s">
        <v>108</v>
      </c>
      <c r="O501" s="35"/>
      <c r="R501" t="str">
        <f t="shared" si="196"/>
        <v>A0499</v>
      </c>
      <c r="S501" t="s">
        <v>1160</v>
      </c>
    </row>
    <row r="502" spans="1:55" x14ac:dyDescent="0.3">
      <c r="A502" s="208">
        <f t="shared" si="217"/>
        <v>500</v>
      </c>
      <c r="B502" s="52" t="s">
        <v>1115</v>
      </c>
      <c r="C502" s="229">
        <f t="shared" ref="C502:C508" si="220">+D502+2</f>
        <v>15</v>
      </c>
      <c r="D502" s="229">
        <f t="shared" ref="D502:D508" si="221">+D501+1</f>
        <v>13</v>
      </c>
      <c r="E502" s="229">
        <f t="shared" si="219"/>
        <v>12</v>
      </c>
      <c r="F502" t="s">
        <v>76</v>
      </c>
      <c r="G502" t="s">
        <v>112</v>
      </c>
      <c r="H502" t="s">
        <v>955</v>
      </c>
      <c r="I502" t="s">
        <v>107</v>
      </c>
      <c r="J502" t="s">
        <v>108</v>
      </c>
      <c r="K502" t="s">
        <v>108</v>
      </c>
      <c r="L502" t="s">
        <v>108</v>
      </c>
      <c r="O502" s="35"/>
      <c r="R502" t="str">
        <f t="shared" si="196"/>
        <v>A0500</v>
      </c>
      <c r="S502" t="s">
        <v>1161</v>
      </c>
    </row>
    <row r="503" spans="1:55" x14ac:dyDescent="0.3">
      <c r="A503" s="208">
        <f t="shared" si="217"/>
        <v>501</v>
      </c>
      <c r="B503" s="52" t="s">
        <v>1116</v>
      </c>
      <c r="C503" s="229">
        <f t="shared" si="220"/>
        <v>16</v>
      </c>
      <c r="D503" s="229">
        <f t="shared" si="221"/>
        <v>14</v>
      </c>
      <c r="E503" s="229">
        <f t="shared" si="219"/>
        <v>13</v>
      </c>
      <c r="F503" t="s">
        <v>76</v>
      </c>
      <c r="G503" t="s">
        <v>112</v>
      </c>
      <c r="H503" t="s">
        <v>955</v>
      </c>
      <c r="I503" t="s">
        <v>107</v>
      </c>
      <c r="J503" t="s">
        <v>108</v>
      </c>
      <c r="K503" t="s">
        <v>108</v>
      </c>
      <c r="L503" t="s">
        <v>108</v>
      </c>
      <c r="O503" s="35"/>
      <c r="R503" t="str">
        <f t="shared" si="196"/>
        <v>A0501</v>
      </c>
      <c r="S503" t="s">
        <v>1162</v>
      </c>
    </row>
    <row r="504" spans="1:55" x14ac:dyDescent="0.3">
      <c r="A504" s="208">
        <f t="shared" si="217"/>
        <v>502</v>
      </c>
      <c r="B504" s="52" t="s">
        <v>1117</v>
      </c>
      <c r="C504" s="229">
        <f t="shared" si="220"/>
        <v>17</v>
      </c>
      <c r="D504" s="229">
        <f t="shared" si="221"/>
        <v>15</v>
      </c>
      <c r="E504" s="229">
        <f t="shared" si="219"/>
        <v>14</v>
      </c>
      <c r="F504" t="s">
        <v>76</v>
      </c>
      <c r="G504" t="s">
        <v>112</v>
      </c>
      <c r="H504" t="s">
        <v>955</v>
      </c>
      <c r="I504" t="s">
        <v>107</v>
      </c>
      <c r="J504" t="s">
        <v>108</v>
      </c>
      <c r="K504" t="s">
        <v>108</v>
      </c>
      <c r="L504" t="s">
        <v>108</v>
      </c>
      <c r="O504" s="35"/>
      <c r="R504" t="str">
        <f t="shared" si="196"/>
        <v>A0502</v>
      </c>
      <c r="S504" t="s">
        <v>1163</v>
      </c>
    </row>
    <row r="505" spans="1:55" x14ac:dyDescent="0.3">
      <c r="A505" s="208">
        <f t="shared" si="217"/>
        <v>503</v>
      </c>
      <c r="B505" s="52" t="s">
        <v>1118</v>
      </c>
      <c r="C505" s="229">
        <f t="shared" si="220"/>
        <v>18</v>
      </c>
      <c r="D505" s="229">
        <f t="shared" si="221"/>
        <v>16</v>
      </c>
      <c r="E505" s="229">
        <f t="shared" si="219"/>
        <v>15</v>
      </c>
      <c r="F505" t="s">
        <v>76</v>
      </c>
      <c r="G505" t="s">
        <v>112</v>
      </c>
      <c r="H505" t="s">
        <v>955</v>
      </c>
      <c r="I505" t="s">
        <v>107</v>
      </c>
      <c r="J505" t="s">
        <v>108</v>
      </c>
      <c r="K505" t="s">
        <v>108</v>
      </c>
      <c r="L505" t="s">
        <v>108</v>
      </c>
      <c r="O505" s="35"/>
      <c r="R505" t="str">
        <f t="shared" si="196"/>
        <v>A0503</v>
      </c>
      <c r="S505" t="s">
        <v>1164</v>
      </c>
    </row>
    <row r="506" spans="1:55" x14ac:dyDescent="0.3">
      <c r="A506" s="208">
        <f t="shared" si="217"/>
        <v>504</v>
      </c>
      <c r="B506" s="52" t="s">
        <v>1119</v>
      </c>
      <c r="C506" s="229">
        <f t="shared" si="220"/>
        <v>19</v>
      </c>
      <c r="D506" s="229">
        <f t="shared" si="221"/>
        <v>17</v>
      </c>
      <c r="E506" s="229">
        <f t="shared" si="219"/>
        <v>16</v>
      </c>
      <c r="F506" t="s">
        <v>76</v>
      </c>
      <c r="G506" t="s">
        <v>112</v>
      </c>
      <c r="H506" t="s">
        <v>955</v>
      </c>
      <c r="I506" t="s">
        <v>107</v>
      </c>
      <c r="J506" t="s">
        <v>108</v>
      </c>
      <c r="K506" t="s">
        <v>108</v>
      </c>
      <c r="L506" t="s">
        <v>108</v>
      </c>
      <c r="O506" s="35"/>
      <c r="R506" t="str">
        <f t="shared" ref="R506:R511" si="222">+TEXT(A506,"A000#")</f>
        <v>A0504</v>
      </c>
      <c r="S506" t="s">
        <v>1165</v>
      </c>
    </row>
    <row r="507" spans="1:55" x14ac:dyDescent="0.3">
      <c r="A507" s="208">
        <f t="shared" si="217"/>
        <v>505</v>
      </c>
      <c r="B507" s="52" t="s">
        <v>1120</v>
      </c>
      <c r="C507" s="229">
        <f t="shared" si="220"/>
        <v>20</v>
      </c>
      <c r="D507" s="229">
        <f t="shared" si="221"/>
        <v>18</v>
      </c>
      <c r="E507" s="229">
        <f t="shared" si="219"/>
        <v>17</v>
      </c>
      <c r="F507" t="s">
        <v>76</v>
      </c>
      <c r="G507" t="s">
        <v>112</v>
      </c>
      <c r="H507" t="s">
        <v>955</v>
      </c>
      <c r="I507" t="s">
        <v>107</v>
      </c>
      <c r="J507" t="s">
        <v>108</v>
      </c>
      <c r="K507" t="s">
        <v>108</v>
      </c>
      <c r="L507" t="s">
        <v>108</v>
      </c>
      <c r="O507" s="35"/>
      <c r="R507" t="str">
        <f t="shared" si="222"/>
        <v>A0505</v>
      </c>
      <c r="S507" t="s">
        <v>1166</v>
      </c>
    </row>
    <row r="508" spans="1:55" x14ac:dyDescent="0.3">
      <c r="A508" s="208">
        <f t="shared" si="217"/>
        <v>506</v>
      </c>
      <c r="B508" s="52" t="s">
        <v>1121</v>
      </c>
      <c r="C508" s="229">
        <f t="shared" si="220"/>
        <v>21</v>
      </c>
      <c r="D508" s="229">
        <f t="shared" si="221"/>
        <v>19</v>
      </c>
      <c r="E508" s="229">
        <f t="shared" si="219"/>
        <v>18</v>
      </c>
      <c r="F508" t="s">
        <v>76</v>
      </c>
      <c r="G508" t="s">
        <v>112</v>
      </c>
      <c r="H508" t="s">
        <v>955</v>
      </c>
      <c r="I508" t="s">
        <v>107</v>
      </c>
      <c r="J508" t="s">
        <v>108</v>
      </c>
      <c r="K508" t="s">
        <v>108</v>
      </c>
      <c r="L508" t="s">
        <v>108</v>
      </c>
      <c r="O508" s="35"/>
      <c r="R508" t="str">
        <f t="shared" si="222"/>
        <v>A0506</v>
      </c>
      <c r="S508" t="s">
        <v>1167</v>
      </c>
    </row>
    <row r="509" spans="1:55" x14ac:dyDescent="0.3">
      <c r="A509" s="208">
        <f t="shared" si="217"/>
        <v>507</v>
      </c>
      <c r="B509" s="193" t="s">
        <v>1125</v>
      </c>
      <c r="C509" s="255">
        <f>+D509+2</f>
        <v>40</v>
      </c>
      <c r="D509" s="255">
        <f>+E509+1</f>
        <v>38</v>
      </c>
      <c r="E509" s="255">
        <v>37</v>
      </c>
      <c r="F509" t="s">
        <v>84</v>
      </c>
      <c r="G509" t="s">
        <v>112</v>
      </c>
      <c r="H509" t="s">
        <v>955</v>
      </c>
      <c r="I509" t="s">
        <v>107</v>
      </c>
      <c r="J509" t="s">
        <v>108</v>
      </c>
      <c r="K509" t="s">
        <v>108</v>
      </c>
      <c r="L509" t="s">
        <v>107</v>
      </c>
      <c r="M509" s="33" t="s">
        <v>19</v>
      </c>
      <c r="N509" s="33" t="s">
        <v>1124</v>
      </c>
      <c r="O509" s="44"/>
      <c r="R509" t="str">
        <f t="shared" si="222"/>
        <v>A0507</v>
      </c>
      <c r="S509" t="s">
        <v>1168</v>
      </c>
    </row>
    <row r="510" spans="1:55" x14ac:dyDescent="0.3">
      <c r="A510" s="208">
        <f t="shared" si="217"/>
        <v>508</v>
      </c>
      <c r="B510" s="193" t="s">
        <v>1127</v>
      </c>
      <c r="C510" s="255">
        <f>+D510+2</f>
        <v>45</v>
      </c>
      <c r="D510" s="255">
        <f>+E510+1</f>
        <v>43</v>
      </c>
      <c r="E510" s="255">
        <v>42</v>
      </c>
      <c r="F510" t="s">
        <v>84</v>
      </c>
      <c r="G510" t="s">
        <v>112</v>
      </c>
      <c r="H510" t="s">
        <v>955</v>
      </c>
      <c r="I510" t="s">
        <v>107</v>
      </c>
      <c r="J510" t="s">
        <v>108</v>
      </c>
      <c r="K510" t="s">
        <v>108</v>
      </c>
      <c r="L510" t="s">
        <v>107</v>
      </c>
      <c r="M510" s="33" t="s">
        <v>19</v>
      </c>
      <c r="N510" s="33" t="s">
        <v>1124</v>
      </c>
      <c r="O510" s="35"/>
      <c r="R510" t="str">
        <f t="shared" si="222"/>
        <v>A0508</v>
      </c>
      <c r="S510" t="s">
        <v>1169</v>
      </c>
    </row>
    <row r="511" spans="1:55" x14ac:dyDescent="0.3">
      <c r="A511" s="256">
        <f t="shared" si="217"/>
        <v>509</v>
      </c>
      <c r="B511" s="193" t="s">
        <v>1126</v>
      </c>
      <c r="C511" s="255">
        <f>+D511+2</f>
        <v>38</v>
      </c>
      <c r="D511" s="255">
        <f>+E511+1</f>
        <v>36</v>
      </c>
      <c r="E511" s="255">
        <v>35</v>
      </c>
      <c r="F511" t="s">
        <v>84</v>
      </c>
      <c r="G511" t="s">
        <v>112</v>
      </c>
      <c r="H511" t="s">
        <v>955</v>
      </c>
      <c r="I511" t="s">
        <v>107</v>
      </c>
      <c r="J511" t="s">
        <v>108</v>
      </c>
      <c r="K511" t="s">
        <v>108</v>
      </c>
      <c r="L511" t="s">
        <v>107</v>
      </c>
      <c r="M511" s="33" t="s">
        <v>19</v>
      </c>
      <c r="N511" s="33" t="s">
        <v>1124</v>
      </c>
      <c r="O511" s="35"/>
      <c r="R511" t="str">
        <f t="shared" si="222"/>
        <v>A0509</v>
      </c>
      <c r="S511" t="s">
        <v>1170</v>
      </c>
    </row>
    <row r="512" spans="1:55" x14ac:dyDescent="0.3">
      <c r="A512" s="257"/>
      <c r="O512" s="35"/>
      <c r="P512" s="274"/>
    </row>
    <row r="513" spans="1:15" x14ac:dyDescent="0.3">
      <c r="A513" s="257"/>
      <c r="O513" s="35"/>
    </row>
    <row r="514" spans="1:15" x14ac:dyDescent="0.3">
      <c r="A514" s="257"/>
      <c r="O514" s="35"/>
    </row>
    <row r="515" spans="1:15" x14ac:dyDescent="0.3">
      <c r="A515" s="257"/>
      <c r="O515" s="35"/>
    </row>
    <row r="516" spans="1:15" x14ac:dyDescent="0.3">
      <c r="A516" s="257"/>
      <c r="O516" s="35"/>
    </row>
    <row r="517" spans="1:15" x14ac:dyDescent="0.3">
      <c r="O517" s="35"/>
    </row>
    <row r="518" spans="1:15" x14ac:dyDescent="0.3">
      <c r="O518" s="35"/>
    </row>
    <row r="519" spans="1:15" x14ac:dyDescent="0.3">
      <c r="O519" s="35"/>
    </row>
    <row r="520" spans="1:15" x14ac:dyDescent="0.3">
      <c r="O520" s="35"/>
    </row>
    <row r="521" spans="1:15" x14ac:dyDescent="0.3">
      <c r="O521" s="35"/>
    </row>
    <row r="522" spans="1:15" x14ac:dyDescent="0.3">
      <c r="O522" s="35"/>
    </row>
    <row r="523" spans="1:15" x14ac:dyDescent="0.3">
      <c r="O523" s="35"/>
    </row>
    <row r="524" spans="1:15" x14ac:dyDescent="0.3">
      <c r="O524" s="35"/>
    </row>
    <row r="525" spans="1:15" x14ac:dyDescent="0.3">
      <c r="O525" s="35"/>
    </row>
    <row r="526" spans="1:15" x14ac:dyDescent="0.3">
      <c r="O526" s="35"/>
    </row>
    <row r="527" spans="1:15" x14ac:dyDescent="0.3">
      <c r="O527" s="35"/>
    </row>
    <row r="528" spans="1:15" x14ac:dyDescent="0.3">
      <c r="O528" s="35"/>
    </row>
    <row r="529" spans="15:15" x14ac:dyDescent="0.3">
      <c r="O529" s="35"/>
    </row>
    <row r="530" spans="15:15" x14ac:dyDescent="0.3">
      <c r="O530" s="35"/>
    </row>
    <row r="531" spans="15:15" x14ac:dyDescent="0.3">
      <c r="O531" s="35"/>
    </row>
    <row r="532" spans="15:15" x14ac:dyDescent="0.3">
      <c r="O532" s="35"/>
    </row>
    <row r="533" spans="15:15" x14ac:dyDescent="0.3">
      <c r="O533" s="35"/>
    </row>
    <row r="534" spans="15:15" x14ac:dyDescent="0.3">
      <c r="O534" s="35"/>
    </row>
    <row r="535" spans="15:15" x14ac:dyDescent="0.3">
      <c r="O535" s="35"/>
    </row>
    <row r="536" spans="15:15" x14ac:dyDescent="0.3">
      <c r="O536" s="35"/>
    </row>
    <row r="537" spans="15:15" x14ac:dyDescent="0.3">
      <c r="O537" s="35"/>
    </row>
    <row r="538" spans="15:15" x14ac:dyDescent="0.3">
      <c r="O538" s="35"/>
    </row>
    <row r="539" spans="15:15" x14ac:dyDescent="0.3">
      <c r="O539" s="35"/>
    </row>
    <row r="540" spans="15:15" x14ac:dyDescent="0.3">
      <c r="O540" s="35"/>
    </row>
    <row r="541" spans="15:15" x14ac:dyDescent="0.3">
      <c r="O541" s="35"/>
    </row>
    <row r="542" spans="15:15" x14ac:dyDescent="0.3">
      <c r="O542" s="35"/>
    </row>
    <row r="543" spans="15:15" x14ac:dyDescent="0.3">
      <c r="O543" s="35"/>
    </row>
    <row r="544" spans="15:15" x14ac:dyDescent="0.3">
      <c r="O544" s="35"/>
    </row>
    <row r="545" spans="15:15" x14ac:dyDescent="0.3">
      <c r="O545" s="35"/>
    </row>
    <row r="546" spans="15:15" x14ac:dyDescent="0.3">
      <c r="O546" s="35"/>
    </row>
    <row r="547" spans="15:15" x14ac:dyDescent="0.3">
      <c r="O547" s="35"/>
    </row>
    <row r="548" spans="15:15" x14ac:dyDescent="0.3">
      <c r="O548" s="35"/>
    </row>
    <row r="549" spans="15:15" x14ac:dyDescent="0.3">
      <c r="O549" s="35"/>
    </row>
    <row r="550" spans="15:15" x14ac:dyDescent="0.3">
      <c r="O550" s="35"/>
    </row>
    <row r="551" spans="15:15" x14ac:dyDescent="0.3">
      <c r="O551" s="35"/>
    </row>
    <row r="552" spans="15:15" x14ac:dyDescent="0.3">
      <c r="O552" s="35"/>
    </row>
    <row r="553" spans="15:15" x14ac:dyDescent="0.3">
      <c r="O553" s="35"/>
    </row>
    <row r="554" spans="15:15" x14ac:dyDescent="0.3">
      <c r="O554" s="35"/>
    </row>
    <row r="555" spans="15:15" x14ac:dyDescent="0.3">
      <c r="O555" s="35"/>
    </row>
    <row r="556" spans="15:15" x14ac:dyDescent="0.3">
      <c r="O556" s="35"/>
    </row>
    <row r="557" spans="15:15" x14ac:dyDescent="0.3">
      <c r="O557" s="35"/>
    </row>
    <row r="558" spans="15:15" x14ac:dyDescent="0.3">
      <c r="O558" s="35"/>
    </row>
    <row r="559" spans="15:15" x14ac:dyDescent="0.3">
      <c r="O559" s="35"/>
    </row>
    <row r="560" spans="15:15" x14ac:dyDescent="0.3">
      <c r="O560" s="35"/>
    </row>
    <row r="561" spans="15:15" x14ac:dyDescent="0.3">
      <c r="O561" s="35"/>
    </row>
    <row r="562" spans="15:15" x14ac:dyDescent="0.3">
      <c r="O562" s="35"/>
    </row>
    <row r="563" spans="15:15" x14ac:dyDescent="0.3">
      <c r="O563" s="35"/>
    </row>
    <row r="564" spans="15:15" x14ac:dyDescent="0.3">
      <c r="O564" s="35"/>
    </row>
    <row r="565" spans="15:15" x14ac:dyDescent="0.3">
      <c r="O565" s="35"/>
    </row>
    <row r="566" spans="15:15" x14ac:dyDescent="0.3">
      <c r="O566" s="35"/>
    </row>
    <row r="567" spans="15:15" x14ac:dyDescent="0.3">
      <c r="O567" s="35"/>
    </row>
    <row r="568" spans="15:15" x14ac:dyDescent="0.3">
      <c r="O568" s="35"/>
    </row>
    <row r="569" spans="15:15" x14ac:dyDescent="0.3">
      <c r="O569" s="35"/>
    </row>
    <row r="570" spans="15:15" x14ac:dyDescent="0.3">
      <c r="O570" s="35"/>
    </row>
    <row r="571" spans="15:15" x14ac:dyDescent="0.3">
      <c r="O571" s="35"/>
    </row>
    <row r="572" spans="15:15" x14ac:dyDescent="0.3">
      <c r="O572" s="35"/>
    </row>
    <row r="573" spans="15:15" x14ac:dyDescent="0.3">
      <c r="O573" s="35"/>
    </row>
    <row r="574" spans="15:15" x14ac:dyDescent="0.3">
      <c r="O574" s="35"/>
    </row>
    <row r="575" spans="15:15" x14ac:dyDescent="0.3">
      <c r="O575" s="35"/>
    </row>
    <row r="576" spans="15:15" x14ac:dyDescent="0.3">
      <c r="O576" s="35"/>
    </row>
    <row r="577" spans="15:15" x14ac:dyDescent="0.3">
      <c r="O577" s="35"/>
    </row>
    <row r="578" spans="15:15" x14ac:dyDescent="0.3">
      <c r="O578" s="35"/>
    </row>
    <row r="579" spans="15:15" x14ac:dyDescent="0.3">
      <c r="O579" s="35"/>
    </row>
    <row r="580" spans="15:15" x14ac:dyDescent="0.3">
      <c r="O580" s="35"/>
    </row>
    <row r="581" spans="15:15" x14ac:dyDescent="0.3">
      <c r="O581" s="35"/>
    </row>
    <row r="582" spans="15:15" x14ac:dyDescent="0.3">
      <c r="O582" s="35"/>
    </row>
    <row r="583" spans="15:15" x14ac:dyDescent="0.3">
      <c r="O583" s="35"/>
    </row>
    <row r="584" spans="15:15" x14ac:dyDescent="0.3">
      <c r="O584" s="35"/>
    </row>
    <row r="585" spans="15:15" x14ac:dyDescent="0.3">
      <c r="O585" s="35"/>
    </row>
    <row r="586" spans="15:15" x14ac:dyDescent="0.3">
      <c r="O586" s="35"/>
    </row>
    <row r="587" spans="15:15" x14ac:dyDescent="0.3">
      <c r="O587" s="35"/>
    </row>
    <row r="588" spans="15:15" x14ac:dyDescent="0.3">
      <c r="O588" s="35"/>
    </row>
    <row r="589" spans="15:15" x14ac:dyDescent="0.3">
      <c r="O589" s="35"/>
    </row>
    <row r="590" spans="15:15" x14ac:dyDescent="0.3">
      <c r="O590" s="35"/>
    </row>
    <row r="591" spans="15:15" x14ac:dyDescent="0.3">
      <c r="O591" s="35"/>
    </row>
    <row r="592" spans="15:15" x14ac:dyDescent="0.3">
      <c r="O592" s="35"/>
    </row>
    <row r="593" spans="15:15" x14ac:dyDescent="0.3">
      <c r="O593" s="35"/>
    </row>
    <row r="594" spans="15:15" x14ac:dyDescent="0.3">
      <c r="O594" s="35"/>
    </row>
    <row r="595" spans="15:15" x14ac:dyDescent="0.3">
      <c r="O595" s="35"/>
    </row>
    <row r="596" spans="15:15" x14ac:dyDescent="0.3">
      <c r="O596" s="35"/>
    </row>
    <row r="597" spans="15:15" x14ac:dyDescent="0.3">
      <c r="O597" s="35"/>
    </row>
    <row r="598" spans="15:15" x14ac:dyDescent="0.3">
      <c r="O598" s="35"/>
    </row>
    <row r="599" spans="15:15" x14ac:dyDescent="0.3">
      <c r="O599" s="35"/>
    </row>
    <row r="600" spans="15:15" x14ac:dyDescent="0.3">
      <c r="O600" s="35"/>
    </row>
    <row r="601" spans="15:15" x14ac:dyDescent="0.3">
      <c r="O601" s="35"/>
    </row>
    <row r="602" spans="15:15" x14ac:dyDescent="0.3">
      <c r="O602" s="35"/>
    </row>
    <row r="603" spans="15:15" x14ac:dyDescent="0.3">
      <c r="O603" s="35"/>
    </row>
    <row r="604" spans="15:15" x14ac:dyDescent="0.3">
      <c r="O604" s="35"/>
    </row>
    <row r="605" spans="15:15" x14ac:dyDescent="0.3">
      <c r="O605" s="35"/>
    </row>
    <row r="606" spans="15:15" x14ac:dyDescent="0.3">
      <c r="O606" s="35"/>
    </row>
    <row r="607" spans="15:15" x14ac:dyDescent="0.3">
      <c r="O607" s="35"/>
    </row>
    <row r="608" spans="15:15" x14ac:dyDescent="0.3">
      <c r="O608" s="35"/>
    </row>
    <row r="609" spans="15:15" x14ac:dyDescent="0.3">
      <c r="O609" s="35"/>
    </row>
    <row r="610" spans="15:15" x14ac:dyDescent="0.3">
      <c r="O610" s="35"/>
    </row>
    <row r="611" spans="15:15" x14ac:dyDescent="0.3">
      <c r="O611" s="35"/>
    </row>
    <row r="612" spans="15:15" x14ac:dyDescent="0.3">
      <c r="O612" s="35"/>
    </row>
    <row r="613" spans="15:15" x14ac:dyDescent="0.3">
      <c r="O613" s="35"/>
    </row>
    <row r="614" spans="15:15" x14ac:dyDescent="0.3">
      <c r="O614" s="35"/>
    </row>
    <row r="615" spans="15:15" x14ac:dyDescent="0.3">
      <c r="O615" s="35"/>
    </row>
    <row r="616" spans="15:15" x14ac:dyDescent="0.3">
      <c r="O616" s="35"/>
    </row>
    <row r="617" spans="15:15" x14ac:dyDescent="0.3">
      <c r="O617" s="35"/>
    </row>
    <row r="618" spans="15:15" x14ac:dyDescent="0.3">
      <c r="O618" s="35"/>
    </row>
    <row r="619" spans="15:15" x14ac:dyDescent="0.3">
      <c r="O619" s="35"/>
    </row>
    <row r="620" spans="15:15" x14ac:dyDescent="0.3">
      <c r="O620" s="35"/>
    </row>
    <row r="621" spans="15:15" x14ac:dyDescent="0.3">
      <c r="O621" s="35"/>
    </row>
    <row r="622" spans="15:15" x14ac:dyDescent="0.3">
      <c r="O622" s="35"/>
    </row>
    <row r="623" spans="15:15" x14ac:dyDescent="0.3">
      <c r="O623" s="35"/>
    </row>
    <row r="624" spans="15:15" x14ac:dyDescent="0.3">
      <c r="O624" s="35"/>
    </row>
    <row r="625" spans="15:15" x14ac:dyDescent="0.3">
      <c r="O625" s="35"/>
    </row>
    <row r="626" spans="15:15" x14ac:dyDescent="0.3">
      <c r="O626" s="35"/>
    </row>
    <row r="627" spans="15:15" x14ac:dyDescent="0.3">
      <c r="O627" s="35"/>
    </row>
    <row r="628" spans="15:15" x14ac:dyDescent="0.3">
      <c r="O628" s="35"/>
    </row>
    <row r="629" spans="15:15" x14ac:dyDescent="0.3">
      <c r="O629" s="35"/>
    </row>
    <row r="630" spans="15:15" x14ac:dyDescent="0.3">
      <c r="O630" s="35"/>
    </row>
    <row r="631" spans="15:15" x14ac:dyDescent="0.3">
      <c r="O631" s="35"/>
    </row>
    <row r="632" spans="15:15" x14ac:dyDescent="0.3">
      <c r="O632" s="35"/>
    </row>
    <row r="633" spans="15:15" x14ac:dyDescent="0.3">
      <c r="O633" s="35"/>
    </row>
    <row r="634" spans="15:15" x14ac:dyDescent="0.3">
      <c r="O634" s="35"/>
    </row>
    <row r="635" spans="15:15" x14ac:dyDescent="0.3">
      <c r="O635" s="35"/>
    </row>
    <row r="636" spans="15:15" x14ac:dyDescent="0.3">
      <c r="O636" s="35"/>
    </row>
    <row r="637" spans="15:15" x14ac:dyDescent="0.3">
      <c r="O637" s="35"/>
    </row>
    <row r="638" spans="15:15" x14ac:dyDescent="0.3">
      <c r="O638" s="35"/>
    </row>
    <row r="639" spans="15:15" x14ac:dyDescent="0.3">
      <c r="O639" s="35"/>
    </row>
    <row r="640" spans="15:15" x14ac:dyDescent="0.3">
      <c r="O640" s="35"/>
    </row>
    <row r="641" spans="15:15" x14ac:dyDescent="0.3">
      <c r="O641" s="35"/>
    </row>
    <row r="642" spans="15:15" x14ac:dyDescent="0.3">
      <c r="O642" s="35"/>
    </row>
    <row r="643" spans="15:15" x14ac:dyDescent="0.3">
      <c r="O643" s="35"/>
    </row>
    <row r="644" spans="15:15" x14ac:dyDescent="0.3">
      <c r="O644" s="35"/>
    </row>
    <row r="645" spans="15:15" x14ac:dyDescent="0.3">
      <c r="O645" s="35"/>
    </row>
    <row r="646" spans="15:15" x14ac:dyDescent="0.3">
      <c r="O646" s="35"/>
    </row>
    <row r="647" spans="15:15" x14ac:dyDescent="0.3">
      <c r="O647" s="35"/>
    </row>
    <row r="648" spans="15:15" x14ac:dyDescent="0.3">
      <c r="O648" s="35"/>
    </row>
    <row r="649" spans="15:15" x14ac:dyDescent="0.3">
      <c r="O649" s="35"/>
    </row>
    <row r="650" spans="15:15" x14ac:dyDescent="0.3">
      <c r="O650" s="35"/>
    </row>
    <row r="651" spans="15:15" x14ac:dyDescent="0.3">
      <c r="O651" s="35"/>
    </row>
    <row r="652" spans="15:15" x14ac:dyDescent="0.3">
      <c r="O652" s="35"/>
    </row>
    <row r="653" spans="15:15" x14ac:dyDescent="0.3">
      <c r="O653" s="35"/>
    </row>
    <row r="654" spans="15:15" x14ac:dyDescent="0.3">
      <c r="O654" s="35"/>
    </row>
    <row r="655" spans="15:15" x14ac:dyDescent="0.3">
      <c r="O655" s="35"/>
    </row>
    <row r="656" spans="15:15" x14ac:dyDescent="0.3">
      <c r="O656" s="35"/>
    </row>
    <row r="657" spans="15:15" x14ac:dyDescent="0.3">
      <c r="O657" s="35"/>
    </row>
    <row r="658" spans="15:15" x14ac:dyDescent="0.3">
      <c r="O658" s="35"/>
    </row>
    <row r="659" spans="15:15" x14ac:dyDescent="0.3">
      <c r="O659" s="35"/>
    </row>
    <row r="660" spans="15:15" x14ac:dyDescent="0.3">
      <c r="O660" s="35"/>
    </row>
    <row r="661" spans="15:15" x14ac:dyDescent="0.3">
      <c r="O661" s="35"/>
    </row>
    <row r="662" spans="15:15" x14ac:dyDescent="0.3">
      <c r="O662" s="35"/>
    </row>
    <row r="663" spans="15:15" x14ac:dyDescent="0.3">
      <c r="O663" s="35"/>
    </row>
    <row r="664" spans="15:15" x14ac:dyDescent="0.3">
      <c r="O664" s="35"/>
    </row>
    <row r="665" spans="15:15" x14ac:dyDescent="0.3">
      <c r="O665" s="35"/>
    </row>
    <row r="666" spans="15:15" x14ac:dyDescent="0.3">
      <c r="O666" s="35"/>
    </row>
    <row r="667" spans="15:15" x14ac:dyDescent="0.3">
      <c r="O667" s="35"/>
    </row>
    <row r="668" spans="15:15" x14ac:dyDescent="0.3">
      <c r="O668" s="35"/>
    </row>
    <row r="669" spans="15:15" x14ac:dyDescent="0.3">
      <c r="O669" s="35"/>
    </row>
    <row r="670" spans="15:15" x14ac:dyDescent="0.3">
      <c r="O670" s="35"/>
    </row>
    <row r="671" spans="15:15" x14ac:dyDescent="0.3">
      <c r="O671" s="35"/>
    </row>
    <row r="672" spans="15:15" x14ac:dyDescent="0.3">
      <c r="O672" s="35"/>
    </row>
    <row r="673" spans="15:15" x14ac:dyDescent="0.3">
      <c r="O673" s="35"/>
    </row>
    <row r="674" spans="15:15" x14ac:dyDescent="0.3">
      <c r="O674" s="35"/>
    </row>
    <row r="675" spans="15:15" x14ac:dyDescent="0.3">
      <c r="O675" s="35"/>
    </row>
    <row r="676" spans="15:15" x14ac:dyDescent="0.3">
      <c r="O676" s="35"/>
    </row>
    <row r="677" spans="15:15" x14ac:dyDescent="0.3">
      <c r="O677" s="35"/>
    </row>
    <row r="678" spans="15:15" x14ac:dyDescent="0.3">
      <c r="O678" s="35"/>
    </row>
    <row r="679" spans="15:15" x14ac:dyDescent="0.3">
      <c r="O679" s="35"/>
    </row>
    <row r="680" spans="15:15" x14ac:dyDescent="0.3">
      <c r="O680" s="35"/>
    </row>
    <row r="681" spans="15:15" x14ac:dyDescent="0.3">
      <c r="O681" s="35"/>
    </row>
    <row r="682" spans="15:15" x14ac:dyDescent="0.3">
      <c r="O682" s="35"/>
    </row>
    <row r="683" spans="15:15" x14ac:dyDescent="0.3">
      <c r="O683" s="35"/>
    </row>
    <row r="684" spans="15:15" x14ac:dyDescent="0.3">
      <c r="O684" s="35"/>
    </row>
    <row r="685" spans="15:15" x14ac:dyDescent="0.3">
      <c r="O685" s="35"/>
    </row>
    <row r="686" spans="15:15" x14ac:dyDescent="0.3">
      <c r="O686" s="35"/>
    </row>
    <row r="687" spans="15:15" x14ac:dyDescent="0.3">
      <c r="O687" s="35"/>
    </row>
    <row r="688" spans="15:15" x14ac:dyDescent="0.3">
      <c r="O688" s="35"/>
    </row>
    <row r="689" spans="15:15" x14ac:dyDescent="0.3">
      <c r="O689" s="35"/>
    </row>
    <row r="690" spans="15:15" x14ac:dyDescent="0.3">
      <c r="O690" s="35"/>
    </row>
    <row r="691" spans="15:15" x14ac:dyDescent="0.3">
      <c r="O691" s="35"/>
    </row>
    <row r="692" spans="15:15" x14ac:dyDescent="0.3">
      <c r="O692" s="35"/>
    </row>
    <row r="693" spans="15:15" x14ac:dyDescent="0.3">
      <c r="O693" s="35"/>
    </row>
    <row r="694" spans="15:15" x14ac:dyDescent="0.3">
      <c r="O694" s="35"/>
    </row>
    <row r="695" spans="15:15" x14ac:dyDescent="0.3">
      <c r="O695" s="35"/>
    </row>
    <row r="696" spans="15:15" x14ac:dyDescent="0.3">
      <c r="O696" s="35"/>
    </row>
    <row r="697" spans="15:15" x14ac:dyDescent="0.3">
      <c r="O697" s="35"/>
    </row>
    <row r="698" spans="15:15" x14ac:dyDescent="0.3">
      <c r="O698" s="35"/>
    </row>
    <row r="699" spans="15:15" x14ac:dyDescent="0.3">
      <c r="O699" s="35"/>
    </row>
    <row r="700" spans="15:15" x14ac:dyDescent="0.3">
      <c r="O700" s="35"/>
    </row>
    <row r="701" spans="15:15" x14ac:dyDescent="0.3">
      <c r="O701" s="35"/>
    </row>
    <row r="702" spans="15:15" x14ac:dyDescent="0.3">
      <c r="O702" s="35"/>
    </row>
    <row r="703" spans="15:15" x14ac:dyDescent="0.3">
      <c r="O703" s="35"/>
    </row>
    <row r="704" spans="15:15" x14ac:dyDescent="0.3">
      <c r="O704" s="35"/>
    </row>
    <row r="705" spans="15:15" x14ac:dyDescent="0.3">
      <c r="O705" s="35"/>
    </row>
    <row r="706" spans="15:15" x14ac:dyDescent="0.3">
      <c r="O706" s="35"/>
    </row>
    <row r="707" spans="15:15" x14ac:dyDescent="0.3">
      <c r="O707" s="35"/>
    </row>
    <row r="708" spans="15:15" x14ac:dyDescent="0.3">
      <c r="O708" s="35"/>
    </row>
    <row r="709" spans="15:15" x14ac:dyDescent="0.3">
      <c r="O709" s="35"/>
    </row>
    <row r="710" spans="15:15" x14ac:dyDescent="0.3">
      <c r="O710" s="35"/>
    </row>
    <row r="711" spans="15:15" x14ac:dyDescent="0.3">
      <c r="O711" s="35"/>
    </row>
    <row r="712" spans="15:15" x14ac:dyDescent="0.3">
      <c r="O712" s="35"/>
    </row>
    <row r="713" spans="15:15" x14ac:dyDescent="0.3">
      <c r="O713" s="35"/>
    </row>
    <row r="714" spans="15:15" x14ac:dyDescent="0.3">
      <c r="O714" s="35"/>
    </row>
    <row r="715" spans="15:15" x14ac:dyDescent="0.3">
      <c r="O715" s="35"/>
    </row>
    <row r="716" spans="15:15" x14ac:dyDescent="0.3">
      <c r="O716" s="35"/>
    </row>
    <row r="717" spans="15:15" x14ac:dyDescent="0.3">
      <c r="O717" s="35"/>
    </row>
    <row r="718" spans="15:15" x14ac:dyDescent="0.3">
      <c r="O718" s="35"/>
    </row>
    <row r="719" spans="15:15" x14ac:dyDescent="0.3">
      <c r="O719" s="35"/>
    </row>
    <row r="720" spans="15:15" x14ac:dyDescent="0.3">
      <c r="O720" s="35"/>
    </row>
    <row r="721" spans="15:15" x14ac:dyDescent="0.3">
      <c r="O721" s="35"/>
    </row>
    <row r="722" spans="15:15" x14ac:dyDescent="0.3">
      <c r="O722" s="35"/>
    </row>
    <row r="723" spans="15:15" x14ac:dyDescent="0.3">
      <c r="O723" s="35"/>
    </row>
    <row r="724" spans="15:15" x14ac:dyDescent="0.3">
      <c r="O724" s="35"/>
    </row>
    <row r="725" spans="15:15" x14ac:dyDescent="0.3">
      <c r="O725" s="35"/>
    </row>
    <row r="726" spans="15:15" x14ac:dyDescent="0.3">
      <c r="O726" s="35"/>
    </row>
    <row r="727" spans="15:15" x14ac:dyDescent="0.3">
      <c r="O727" s="35"/>
    </row>
    <row r="728" spans="15:15" x14ac:dyDescent="0.3">
      <c r="O728" s="35"/>
    </row>
    <row r="729" spans="15:15" x14ac:dyDescent="0.3">
      <c r="O729" s="35"/>
    </row>
    <row r="730" spans="15:15" x14ac:dyDescent="0.3">
      <c r="O730" s="35"/>
    </row>
    <row r="731" spans="15:15" x14ac:dyDescent="0.3">
      <c r="O731" s="35"/>
    </row>
    <row r="732" spans="15:15" x14ac:dyDescent="0.3">
      <c r="O732" s="35"/>
    </row>
    <row r="733" spans="15:15" x14ac:dyDescent="0.3">
      <c r="O733" s="35"/>
    </row>
    <row r="734" spans="15:15" x14ac:dyDescent="0.3">
      <c r="O734" s="35"/>
    </row>
    <row r="735" spans="15:15" x14ac:dyDescent="0.3">
      <c r="O735" s="35"/>
    </row>
    <row r="736" spans="15:15" x14ac:dyDescent="0.3">
      <c r="O736" s="35"/>
    </row>
    <row r="737" spans="15:15" x14ac:dyDescent="0.3">
      <c r="O737" s="35"/>
    </row>
    <row r="738" spans="15:15" x14ac:dyDescent="0.3">
      <c r="O738" s="35"/>
    </row>
    <row r="739" spans="15:15" x14ac:dyDescent="0.3">
      <c r="O739" s="35"/>
    </row>
    <row r="740" spans="15:15" x14ac:dyDescent="0.3">
      <c r="O740" s="35"/>
    </row>
    <row r="741" spans="15:15" x14ac:dyDescent="0.3">
      <c r="O741" s="35"/>
    </row>
    <row r="742" spans="15:15" x14ac:dyDescent="0.3">
      <c r="O742" s="35"/>
    </row>
    <row r="743" spans="15:15" x14ac:dyDescent="0.3">
      <c r="O743" s="35"/>
    </row>
    <row r="744" spans="15:15" x14ac:dyDescent="0.3">
      <c r="O744" s="35"/>
    </row>
    <row r="745" spans="15:15" x14ac:dyDescent="0.3">
      <c r="O745" s="35"/>
    </row>
    <row r="746" spans="15:15" x14ac:dyDescent="0.3">
      <c r="O746" s="35"/>
    </row>
    <row r="747" spans="15:15" x14ac:dyDescent="0.3">
      <c r="O747" s="35"/>
    </row>
    <row r="748" spans="15:15" x14ac:dyDescent="0.3">
      <c r="O748" s="35"/>
    </row>
    <row r="749" spans="15:15" x14ac:dyDescent="0.3">
      <c r="O749" s="35"/>
    </row>
    <row r="750" spans="15:15" x14ac:dyDescent="0.3">
      <c r="O750" s="35"/>
    </row>
    <row r="751" spans="15:15" x14ac:dyDescent="0.3">
      <c r="O751" s="35"/>
    </row>
    <row r="752" spans="15:15" x14ac:dyDescent="0.3">
      <c r="O752" s="35"/>
    </row>
    <row r="753" spans="15:15" x14ac:dyDescent="0.3">
      <c r="O753" s="35"/>
    </row>
    <row r="754" spans="15:15" x14ac:dyDescent="0.3">
      <c r="O754" s="35"/>
    </row>
    <row r="755" spans="15:15" x14ac:dyDescent="0.3">
      <c r="O755" s="35"/>
    </row>
    <row r="756" spans="15:15" x14ac:dyDescent="0.3">
      <c r="O756" s="35"/>
    </row>
    <row r="757" spans="15:15" x14ac:dyDescent="0.3">
      <c r="O757" s="35"/>
    </row>
    <row r="758" spans="15:15" x14ac:dyDescent="0.3">
      <c r="O758" s="35"/>
    </row>
    <row r="759" spans="15:15" x14ac:dyDescent="0.3">
      <c r="O759" s="35"/>
    </row>
    <row r="760" spans="15:15" x14ac:dyDescent="0.3">
      <c r="O760" s="35"/>
    </row>
    <row r="761" spans="15:15" x14ac:dyDescent="0.3">
      <c r="O761" s="35"/>
    </row>
    <row r="762" spans="15:15" x14ac:dyDescent="0.3">
      <c r="O762" s="35"/>
    </row>
    <row r="763" spans="15:15" x14ac:dyDescent="0.3">
      <c r="O763" s="35"/>
    </row>
    <row r="764" spans="15:15" x14ac:dyDescent="0.3">
      <c r="O764" s="35"/>
    </row>
    <row r="765" spans="15:15" x14ac:dyDescent="0.3">
      <c r="O765" s="35"/>
    </row>
    <row r="766" spans="15:15" x14ac:dyDescent="0.3">
      <c r="O766" s="35"/>
    </row>
    <row r="767" spans="15:15" x14ac:dyDescent="0.3">
      <c r="O767" s="35"/>
    </row>
    <row r="768" spans="15:15" x14ac:dyDescent="0.3">
      <c r="O768" s="35"/>
    </row>
    <row r="769" spans="15:15" x14ac:dyDescent="0.3">
      <c r="O769" s="35"/>
    </row>
    <row r="770" spans="15:15" x14ac:dyDescent="0.3">
      <c r="O770" s="35"/>
    </row>
    <row r="771" spans="15:15" x14ac:dyDescent="0.3">
      <c r="O771" s="35"/>
    </row>
    <row r="772" spans="15:15" x14ac:dyDescent="0.3">
      <c r="O772" s="35"/>
    </row>
    <row r="773" spans="15:15" x14ac:dyDescent="0.3">
      <c r="O773" s="35"/>
    </row>
    <row r="774" spans="15:15" x14ac:dyDescent="0.3">
      <c r="O774" s="35"/>
    </row>
    <row r="775" spans="15:15" x14ac:dyDescent="0.3">
      <c r="O775" s="35"/>
    </row>
    <row r="776" spans="15:15" x14ac:dyDescent="0.3">
      <c r="O776" s="35"/>
    </row>
    <row r="777" spans="15:15" x14ac:dyDescent="0.3">
      <c r="O777" s="35"/>
    </row>
    <row r="778" spans="15:15" x14ac:dyDescent="0.3">
      <c r="O778" s="35"/>
    </row>
    <row r="779" spans="15:15" x14ac:dyDescent="0.3">
      <c r="O779" s="35"/>
    </row>
    <row r="780" spans="15:15" x14ac:dyDescent="0.3">
      <c r="O780" s="35"/>
    </row>
    <row r="781" spans="15:15" x14ac:dyDescent="0.3">
      <c r="O781" s="35"/>
    </row>
    <row r="782" spans="15:15" x14ac:dyDescent="0.3">
      <c r="O782" s="35"/>
    </row>
    <row r="783" spans="15:15" x14ac:dyDescent="0.3">
      <c r="O783" s="35"/>
    </row>
    <row r="784" spans="15:15" x14ac:dyDescent="0.3">
      <c r="O784" s="35"/>
    </row>
    <row r="785" spans="15:15" x14ac:dyDescent="0.3">
      <c r="O785" s="35"/>
    </row>
    <row r="786" spans="15:15" x14ac:dyDescent="0.3">
      <c r="O786" s="35"/>
    </row>
    <row r="787" spans="15:15" x14ac:dyDescent="0.3">
      <c r="O787" s="35"/>
    </row>
    <row r="788" spans="15:15" x14ac:dyDescent="0.3">
      <c r="O788" s="35"/>
    </row>
    <row r="789" spans="15:15" x14ac:dyDescent="0.3">
      <c r="O789" s="35"/>
    </row>
    <row r="790" spans="15:15" x14ac:dyDescent="0.3">
      <c r="O790" s="35"/>
    </row>
    <row r="791" spans="15:15" x14ac:dyDescent="0.3">
      <c r="O791" s="35"/>
    </row>
    <row r="792" spans="15:15" x14ac:dyDescent="0.3">
      <c r="O792" s="35"/>
    </row>
    <row r="793" spans="15:15" x14ac:dyDescent="0.3">
      <c r="O793" s="35"/>
    </row>
    <row r="794" spans="15:15" x14ac:dyDescent="0.3">
      <c r="O794" s="35"/>
    </row>
    <row r="795" spans="15:15" x14ac:dyDescent="0.3">
      <c r="O795" s="35"/>
    </row>
    <row r="796" spans="15:15" x14ac:dyDescent="0.3">
      <c r="O796" s="35"/>
    </row>
    <row r="797" spans="15:15" x14ac:dyDescent="0.3">
      <c r="O797" s="35"/>
    </row>
    <row r="798" spans="15:15" x14ac:dyDescent="0.3">
      <c r="O798" s="35"/>
    </row>
    <row r="799" spans="15:15" x14ac:dyDescent="0.3">
      <c r="O799" s="35"/>
    </row>
    <row r="800" spans="15:15" x14ac:dyDescent="0.3">
      <c r="O800" s="35"/>
    </row>
    <row r="801" spans="15:15" x14ac:dyDescent="0.3">
      <c r="O801" s="35"/>
    </row>
    <row r="802" spans="15:15" x14ac:dyDescent="0.3">
      <c r="O802" s="35"/>
    </row>
    <row r="803" spans="15:15" x14ac:dyDescent="0.3">
      <c r="O803" s="35"/>
    </row>
    <row r="804" spans="15:15" x14ac:dyDescent="0.3">
      <c r="O804" s="35"/>
    </row>
    <row r="805" spans="15:15" x14ac:dyDescent="0.3">
      <c r="O805" s="35"/>
    </row>
    <row r="806" spans="15:15" x14ac:dyDescent="0.3">
      <c r="O806" s="35"/>
    </row>
    <row r="807" spans="15:15" x14ac:dyDescent="0.3">
      <c r="O807" s="35"/>
    </row>
    <row r="808" spans="15:15" x14ac:dyDescent="0.3">
      <c r="O808" s="35"/>
    </row>
    <row r="809" spans="15:15" x14ac:dyDescent="0.3">
      <c r="O809" s="35"/>
    </row>
    <row r="810" spans="15:15" x14ac:dyDescent="0.3">
      <c r="O810" s="35"/>
    </row>
    <row r="811" spans="15:15" x14ac:dyDescent="0.3">
      <c r="O811" s="35"/>
    </row>
    <row r="812" spans="15:15" x14ac:dyDescent="0.3">
      <c r="O812" s="35"/>
    </row>
    <row r="813" spans="15:15" x14ac:dyDescent="0.3">
      <c r="O813" s="35"/>
    </row>
    <row r="814" spans="15:15" x14ac:dyDescent="0.3">
      <c r="O814" s="35"/>
    </row>
    <row r="815" spans="15:15" x14ac:dyDescent="0.3">
      <c r="O815" s="35"/>
    </row>
    <row r="816" spans="15:15" x14ac:dyDescent="0.3">
      <c r="O816" s="35"/>
    </row>
    <row r="817" spans="15:15" x14ac:dyDescent="0.3">
      <c r="O817" s="35"/>
    </row>
    <row r="818" spans="15:15" x14ac:dyDescent="0.3">
      <c r="O818" s="35"/>
    </row>
    <row r="819" spans="15:15" x14ac:dyDescent="0.3">
      <c r="O819" s="35"/>
    </row>
    <row r="820" spans="15:15" x14ac:dyDescent="0.3">
      <c r="O820" s="35"/>
    </row>
    <row r="821" spans="15:15" x14ac:dyDescent="0.3">
      <c r="O821" s="35"/>
    </row>
    <row r="822" spans="15:15" x14ac:dyDescent="0.3">
      <c r="O822" s="35"/>
    </row>
    <row r="823" spans="15:15" x14ac:dyDescent="0.3">
      <c r="O823" s="35"/>
    </row>
    <row r="824" spans="15:15" x14ac:dyDescent="0.3">
      <c r="O824" s="35"/>
    </row>
    <row r="825" spans="15:15" x14ac:dyDescent="0.3">
      <c r="O825" s="35"/>
    </row>
    <row r="826" spans="15:15" x14ac:dyDescent="0.3">
      <c r="O826" s="35"/>
    </row>
    <row r="827" spans="15:15" x14ac:dyDescent="0.3">
      <c r="O827" s="35"/>
    </row>
    <row r="828" spans="15:15" x14ac:dyDescent="0.3">
      <c r="O828" s="35"/>
    </row>
    <row r="829" spans="15:15" x14ac:dyDescent="0.3">
      <c r="O829" s="35"/>
    </row>
    <row r="830" spans="15:15" x14ac:dyDescent="0.3">
      <c r="O830" s="35"/>
    </row>
    <row r="831" spans="15:15" x14ac:dyDescent="0.3">
      <c r="O831" s="35"/>
    </row>
    <row r="832" spans="15:15" x14ac:dyDescent="0.3">
      <c r="O832" s="35"/>
    </row>
    <row r="833" spans="15:15" x14ac:dyDescent="0.3">
      <c r="O833" s="35"/>
    </row>
    <row r="834" spans="15:15" x14ac:dyDescent="0.3">
      <c r="O834" s="35"/>
    </row>
    <row r="835" spans="15:15" x14ac:dyDescent="0.3">
      <c r="O835" s="35"/>
    </row>
    <row r="836" spans="15:15" x14ac:dyDescent="0.3">
      <c r="O836" s="35"/>
    </row>
    <row r="837" spans="15:15" x14ac:dyDescent="0.3">
      <c r="O837" s="35"/>
    </row>
    <row r="838" spans="15:15" x14ac:dyDescent="0.3">
      <c r="O838" s="35"/>
    </row>
    <row r="839" spans="15:15" x14ac:dyDescent="0.3">
      <c r="O839" s="35"/>
    </row>
    <row r="840" spans="15:15" x14ac:dyDescent="0.3">
      <c r="O840" s="35"/>
    </row>
    <row r="841" spans="15:15" x14ac:dyDescent="0.3">
      <c r="O841" s="35"/>
    </row>
    <row r="842" spans="15:15" x14ac:dyDescent="0.3">
      <c r="O842" s="35"/>
    </row>
    <row r="843" spans="15:15" x14ac:dyDescent="0.3">
      <c r="O843" s="35"/>
    </row>
    <row r="844" spans="15:15" x14ac:dyDescent="0.3">
      <c r="O844" s="35"/>
    </row>
    <row r="845" spans="15:15" x14ac:dyDescent="0.3">
      <c r="O845" s="35"/>
    </row>
    <row r="846" spans="15:15" x14ac:dyDescent="0.3">
      <c r="O846" s="35"/>
    </row>
    <row r="847" spans="15:15" x14ac:dyDescent="0.3">
      <c r="O847" s="35"/>
    </row>
    <row r="848" spans="15:15" x14ac:dyDescent="0.3">
      <c r="O848" s="35"/>
    </row>
    <row r="849" spans="15:15" x14ac:dyDescent="0.3">
      <c r="O849" s="35"/>
    </row>
    <row r="850" spans="15:15" x14ac:dyDescent="0.3">
      <c r="O850" s="35"/>
    </row>
    <row r="851" spans="15:15" x14ac:dyDescent="0.3">
      <c r="O851" s="35"/>
    </row>
    <row r="852" spans="15:15" x14ac:dyDescent="0.3">
      <c r="O852" s="35"/>
    </row>
    <row r="853" spans="15:15" x14ac:dyDescent="0.3">
      <c r="O853" s="35"/>
    </row>
    <row r="854" spans="15:15" x14ac:dyDescent="0.3">
      <c r="O854" s="35"/>
    </row>
    <row r="855" spans="15:15" x14ac:dyDescent="0.3">
      <c r="O855" s="35"/>
    </row>
    <row r="856" spans="15:15" x14ac:dyDescent="0.3">
      <c r="O856" s="35"/>
    </row>
    <row r="857" spans="15:15" x14ac:dyDescent="0.3">
      <c r="O857" s="35"/>
    </row>
    <row r="858" spans="15:15" x14ac:dyDescent="0.3">
      <c r="O858" s="35"/>
    </row>
    <row r="859" spans="15:15" x14ac:dyDescent="0.3">
      <c r="O859" s="35"/>
    </row>
    <row r="860" spans="15:15" x14ac:dyDescent="0.3">
      <c r="O860" s="35"/>
    </row>
    <row r="861" spans="15:15" x14ac:dyDescent="0.3">
      <c r="O861" s="35"/>
    </row>
    <row r="862" spans="15:15" x14ac:dyDescent="0.3">
      <c r="O862" s="35"/>
    </row>
    <row r="863" spans="15:15" x14ac:dyDescent="0.3">
      <c r="O863" s="35"/>
    </row>
    <row r="864" spans="15:15" x14ac:dyDescent="0.3">
      <c r="O864" s="35"/>
    </row>
    <row r="865" spans="15:15" x14ac:dyDescent="0.3">
      <c r="O865" s="35"/>
    </row>
    <row r="866" spans="15:15" x14ac:dyDescent="0.3">
      <c r="O866" s="35"/>
    </row>
    <row r="867" spans="15:15" x14ac:dyDescent="0.3">
      <c r="O867" s="35"/>
    </row>
    <row r="868" spans="15:15" x14ac:dyDescent="0.3">
      <c r="O868" s="35"/>
    </row>
    <row r="869" spans="15:15" x14ac:dyDescent="0.3">
      <c r="O869" s="35"/>
    </row>
    <row r="870" spans="15:15" x14ac:dyDescent="0.3">
      <c r="O870" s="35"/>
    </row>
    <row r="871" spans="15:15" x14ac:dyDescent="0.3">
      <c r="O871" s="35"/>
    </row>
    <row r="872" spans="15:15" x14ac:dyDescent="0.3">
      <c r="O872" s="35"/>
    </row>
    <row r="873" spans="15:15" x14ac:dyDescent="0.3">
      <c r="O873" s="35"/>
    </row>
    <row r="874" spans="15:15" x14ac:dyDescent="0.3">
      <c r="O874" s="35"/>
    </row>
    <row r="875" spans="15:15" x14ac:dyDescent="0.3">
      <c r="O875" s="35"/>
    </row>
    <row r="876" spans="15:15" x14ac:dyDescent="0.3">
      <c r="O876" s="35"/>
    </row>
    <row r="877" spans="15:15" x14ac:dyDescent="0.3">
      <c r="O877" s="35"/>
    </row>
    <row r="878" spans="15:15" x14ac:dyDescent="0.3">
      <c r="O878" s="35"/>
    </row>
    <row r="879" spans="15:15" x14ac:dyDescent="0.3">
      <c r="O879" s="35"/>
    </row>
    <row r="880" spans="15:15" x14ac:dyDescent="0.3">
      <c r="O880" s="35"/>
    </row>
    <row r="881" spans="15:15" x14ac:dyDescent="0.3">
      <c r="O881" s="35"/>
    </row>
    <row r="882" spans="15:15" x14ac:dyDescent="0.3">
      <c r="O882" s="35"/>
    </row>
    <row r="883" spans="15:15" x14ac:dyDescent="0.3">
      <c r="O883" s="35"/>
    </row>
    <row r="884" spans="15:15" x14ac:dyDescent="0.3">
      <c r="O884" s="35"/>
    </row>
    <row r="885" spans="15:15" x14ac:dyDescent="0.3">
      <c r="O885" s="35"/>
    </row>
    <row r="886" spans="15:15" x14ac:dyDescent="0.3">
      <c r="O886" s="35"/>
    </row>
    <row r="887" spans="15:15" x14ac:dyDescent="0.3">
      <c r="O887" s="35"/>
    </row>
    <row r="888" spans="15:15" x14ac:dyDescent="0.3">
      <c r="O888" s="35"/>
    </row>
    <row r="889" spans="15:15" x14ac:dyDescent="0.3">
      <c r="O889" s="35"/>
    </row>
    <row r="890" spans="15:15" x14ac:dyDescent="0.3">
      <c r="O890" s="35"/>
    </row>
    <row r="891" spans="15:15" x14ac:dyDescent="0.3">
      <c r="O891" s="35"/>
    </row>
    <row r="892" spans="15:15" x14ac:dyDescent="0.3">
      <c r="O892" s="35"/>
    </row>
    <row r="893" spans="15:15" x14ac:dyDescent="0.3">
      <c r="O893" s="35"/>
    </row>
    <row r="894" spans="15:15" x14ac:dyDescent="0.3">
      <c r="O894" s="35"/>
    </row>
    <row r="895" spans="15:15" x14ac:dyDescent="0.3">
      <c r="O895" s="35"/>
    </row>
    <row r="896" spans="15:15" x14ac:dyDescent="0.3">
      <c r="O896" s="35"/>
    </row>
    <row r="897" spans="15:15" x14ac:dyDescent="0.3">
      <c r="O897" s="35"/>
    </row>
    <row r="898" spans="15:15" x14ac:dyDescent="0.3">
      <c r="O898" s="35"/>
    </row>
    <row r="899" spans="15:15" x14ac:dyDescent="0.3">
      <c r="O899" s="35"/>
    </row>
    <row r="900" spans="15:15" x14ac:dyDescent="0.3">
      <c r="O900" s="35"/>
    </row>
    <row r="901" spans="15:15" x14ac:dyDescent="0.3">
      <c r="O901" s="35"/>
    </row>
    <row r="902" spans="15:15" x14ac:dyDescent="0.3">
      <c r="O902" s="35"/>
    </row>
    <row r="903" spans="15:15" x14ac:dyDescent="0.3">
      <c r="O903" s="35"/>
    </row>
    <row r="904" spans="15:15" x14ac:dyDescent="0.3">
      <c r="O904" s="35"/>
    </row>
    <row r="905" spans="15:15" x14ac:dyDescent="0.3">
      <c r="O905" s="35"/>
    </row>
    <row r="906" spans="15:15" x14ac:dyDescent="0.3">
      <c r="O906" s="35"/>
    </row>
    <row r="907" spans="15:15" x14ac:dyDescent="0.3">
      <c r="O907" s="35"/>
    </row>
    <row r="908" spans="15:15" x14ac:dyDescent="0.3">
      <c r="O908" s="35"/>
    </row>
    <row r="909" spans="15:15" x14ac:dyDescent="0.3">
      <c r="O909" s="35"/>
    </row>
    <row r="910" spans="15:15" x14ac:dyDescent="0.3">
      <c r="O910" s="35"/>
    </row>
    <row r="911" spans="15:15" x14ac:dyDescent="0.3">
      <c r="O911" s="35"/>
    </row>
    <row r="912" spans="15:15" x14ac:dyDescent="0.3">
      <c r="O912" s="35"/>
    </row>
    <row r="913" spans="15:15" x14ac:dyDescent="0.3">
      <c r="O913" s="35"/>
    </row>
    <row r="914" spans="15:15" x14ac:dyDescent="0.3">
      <c r="O914" s="35"/>
    </row>
    <row r="915" spans="15:15" x14ac:dyDescent="0.3">
      <c r="O915" s="35"/>
    </row>
    <row r="916" spans="15:15" x14ac:dyDescent="0.3">
      <c r="O916" s="35"/>
    </row>
    <row r="917" spans="15:15" x14ac:dyDescent="0.3">
      <c r="O917" s="35"/>
    </row>
    <row r="918" spans="15:15" x14ac:dyDescent="0.3">
      <c r="O918" s="35"/>
    </row>
    <row r="919" spans="15:15" x14ac:dyDescent="0.3">
      <c r="O919" s="35"/>
    </row>
    <row r="920" spans="15:15" x14ac:dyDescent="0.3">
      <c r="O920" s="35"/>
    </row>
    <row r="921" spans="15:15" x14ac:dyDescent="0.3">
      <c r="O921" s="35"/>
    </row>
    <row r="922" spans="15:15" x14ac:dyDescent="0.3">
      <c r="O922" s="35"/>
    </row>
    <row r="923" spans="15:15" x14ac:dyDescent="0.3">
      <c r="O923" s="35"/>
    </row>
    <row r="924" spans="15:15" x14ac:dyDescent="0.3">
      <c r="O924" s="35"/>
    </row>
    <row r="925" spans="15:15" x14ac:dyDescent="0.3">
      <c r="O925" s="35"/>
    </row>
    <row r="926" spans="15:15" x14ac:dyDescent="0.3">
      <c r="O926" s="35"/>
    </row>
    <row r="927" spans="15:15" x14ac:dyDescent="0.3">
      <c r="O927" s="35"/>
    </row>
    <row r="928" spans="15:15" x14ac:dyDescent="0.3">
      <c r="O928" s="35"/>
    </row>
    <row r="929" spans="15:15" x14ac:dyDescent="0.3">
      <c r="O929" s="35"/>
    </row>
    <row r="930" spans="15:15" x14ac:dyDescent="0.3">
      <c r="O930" s="35"/>
    </row>
    <row r="931" spans="15:15" x14ac:dyDescent="0.3">
      <c r="O931" s="35"/>
    </row>
    <row r="932" spans="15:15" x14ac:dyDescent="0.3">
      <c r="O932" s="35"/>
    </row>
    <row r="933" spans="15:15" x14ac:dyDescent="0.3">
      <c r="O933" s="35"/>
    </row>
    <row r="934" spans="15:15" x14ac:dyDescent="0.3">
      <c r="O934" s="35"/>
    </row>
    <row r="935" spans="15:15" x14ac:dyDescent="0.3">
      <c r="O935" s="35"/>
    </row>
    <row r="936" spans="15:15" x14ac:dyDescent="0.3">
      <c r="O936" s="35"/>
    </row>
    <row r="937" spans="15:15" x14ac:dyDescent="0.3">
      <c r="O937" s="35"/>
    </row>
    <row r="938" spans="15:15" x14ac:dyDescent="0.3">
      <c r="O938" s="35"/>
    </row>
    <row r="939" spans="15:15" x14ac:dyDescent="0.3">
      <c r="O939" s="35"/>
    </row>
    <row r="940" spans="15:15" x14ac:dyDescent="0.3">
      <c r="O940" s="35"/>
    </row>
    <row r="941" spans="15:15" x14ac:dyDescent="0.3">
      <c r="O941" s="35"/>
    </row>
    <row r="942" spans="15:15" x14ac:dyDescent="0.3">
      <c r="O942" s="35"/>
    </row>
    <row r="943" spans="15:15" x14ac:dyDescent="0.3">
      <c r="O943" s="35"/>
    </row>
    <row r="944" spans="15:15" x14ac:dyDescent="0.3">
      <c r="O944" s="35"/>
    </row>
    <row r="945" spans="15:15" x14ac:dyDescent="0.3">
      <c r="O945" s="35"/>
    </row>
    <row r="946" spans="15:15" x14ac:dyDescent="0.3">
      <c r="O946" s="35"/>
    </row>
    <row r="947" spans="15:15" x14ac:dyDescent="0.3">
      <c r="O947" s="35"/>
    </row>
    <row r="948" spans="15:15" x14ac:dyDescent="0.3">
      <c r="O948" s="35"/>
    </row>
  </sheetData>
  <autoFilter ref="A2:O511" xr:uid="{7B391F00-5DCA-4C3E-B9DC-1C68FB05CF42}"/>
  <mergeCells count="1">
    <mergeCell ref="A1:E1"/>
  </mergeCells>
  <phoneticPr fontId="2" type="noConversion"/>
  <conditionalFormatting sqref="A517:A1048576 A1:A18 A20:A38 A57:A168 A170 A172:A491">
    <cfRule type="duplicateValues" dxfId="14" priority="16"/>
  </conditionalFormatting>
  <conditionalFormatting sqref="A492">
    <cfRule type="duplicateValues" dxfId="13" priority="15"/>
  </conditionalFormatting>
  <conditionalFormatting sqref="A493">
    <cfRule type="duplicateValues" dxfId="12" priority="14"/>
  </conditionalFormatting>
  <conditionalFormatting sqref="A494">
    <cfRule type="duplicateValues" dxfId="11" priority="13"/>
  </conditionalFormatting>
  <conditionalFormatting sqref="A495">
    <cfRule type="duplicateValues" dxfId="10" priority="12"/>
  </conditionalFormatting>
  <conditionalFormatting sqref="A496">
    <cfRule type="duplicateValues" dxfId="9" priority="11"/>
  </conditionalFormatting>
  <conditionalFormatting sqref="A499">
    <cfRule type="duplicateValues" dxfId="8" priority="9"/>
  </conditionalFormatting>
  <conditionalFormatting sqref="A497:A498">
    <cfRule type="duplicateValues" dxfId="7" priority="8"/>
  </conditionalFormatting>
  <conditionalFormatting sqref="A500:A508">
    <cfRule type="duplicateValues" dxfId="6" priority="7"/>
  </conditionalFormatting>
  <conditionalFormatting sqref="A509:A516">
    <cfRule type="duplicateValues" dxfId="5" priority="6"/>
  </conditionalFormatting>
  <conditionalFormatting sqref="A19">
    <cfRule type="duplicateValues" dxfId="4" priority="5"/>
  </conditionalFormatting>
  <conditionalFormatting sqref="A39:A47">
    <cfRule type="duplicateValues" dxfId="3" priority="4"/>
  </conditionalFormatting>
  <conditionalFormatting sqref="A48:A56">
    <cfRule type="duplicateValues" dxfId="2" priority="3"/>
  </conditionalFormatting>
  <conditionalFormatting sqref="A169">
    <cfRule type="duplicateValues" dxfId="1" priority="2"/>
  </conditionalFormatting>
  <conditionalFormatting sqref="A171">
    <cfRule type="duplicateValues" dxfId="0" priority="1"/>
  </conditionalFormatting>
  <pageMargins left="1.1811023622047245" right="0.23622047244094491" top="0.74803149606299213" bottom="0.74803149606299213" header="0.31496062992125984" footer="0.31496062992125984"/>
  <pageSetup paperSize="9" scale="85" fitToHeight="0" orientation="portrait" horizontalDpi="360" verticalDpi="36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6A6DD-CAEC-4DF8-9611-9994D11D6F3D}">
  <sheetPr codeName="Hoja2"/>
  <dimension ref="A1:F65"/>
  <sheetViews>
    <sheetView zoomScaleNormal="100" workbookViewId="0">
      <pane ySplit="3" topLeftCell="A4" activePane="bottomLeft" state="frozenSplit"/>
      <selection activeCell="I14" sqref="I14"/>
      <selection pane="bottomLeft" activeCell="F18" sqref="F18"/>
    </sheetView>
  </sheetViews>
  <sheetFormatPr baseColWidth="10" defaultRowHeight="14.4" x14ac:dyDescent="0.3"/>
  <cols>
    <col min="1" max="1" width="6.33203125" style="109" bestFit="1" customWidth="1"/>
    <col min="2" max="2" width="33.6640625" style="109" customWidth="1"/>
    <col min="3" max="6" width="11.44140625" style="109"/>
  </cols>
  <sheetData>
    <row r="1" spans="1:6" ht="25.8" x14ac:dyDescent="0.3">
      <c r="A1" s="280" t="s">
        <v>1128</v>
      </c>
      <c r="B1" s="280"/>
      <c r="C1" s="280"/>
      <c r="D1" s="280"/>
      <c r="E1" s="280"/>
    </row>
    <row r="2" spans="1:6" ht="29.25" customHeight="1" x14ac:dyDescent="0.3">
      <c r="A2" s="277" t="s">
        <v>316</v>
      </c>
      <c r="B2" s="277"/>
      <c r="C2" s="277"/>
      <c r="D2" s="277"/>
      <c r="E2" s="277"/>
      <c r="F2" s="118"/>
    </row>
    <row r="3" spans="1:6" x14ac:dyDescent="0.3">
      <c r="A3" s="120" t="str">
        <f>+PRECIO!A2</f>
        <v>COD.</v>
      </c>
      <c r="B3" s="121" t="str">
        <f>+PRECIO!B2</f>
        <v>DESCRIPCION</v>
      </c>
      <c r="C3" s="120" t="str">
        <f>+PRECIO!C2</f>
        <v>UNI</v>
      </c>
      <c r="D3" s="121" t="str">
        <f>+PRECIO!D2</f>
        <v>&gt;12</v>
      </c>
      <c r="E3" s="120" t="str">
        <f>+PRECIO!E2</f>
        <v>&gt;25</v>
      </c>
      <c r="F3" s="108" t="str">
        <f>+PRECIO!O2</f>
        <v>VALOR</v>
      </c>
    </row>
    <row r="4" spans="1:6" s="36" customFormat="1" x14ac:dyDescent="0.3">
      <c r="A4" s="122">
        <v>7</v>
      </c>
      <c r="B4" s="124" t="str">
        <f>INDEX(PRECIO!B3:B423, MATCH(A4, PRECIO!A3:A423, 0))</f>
        <v>CAMI|ECO|T26-30|NIÑOS</v>
      </c>
      <c r="C4" s="124">
        <f>INDEX(PRECIO!C3:C423, MATCH(A4, PRECIO!A3:A423, 0))</f>
        <v>9</v>
      </c>
      <c r="D4" s="124">
        <f>INDEX(PRECIO!D3:D423, MATCH(A4, PRECIO!A3:A423, 0))</f>
        <v>6.5</v>
      </c>
      <c r="E4" s="124">
        <f>INDEX(PRECIO!E3:E423, MATCH(A4, PRECIO!A3:A423, 0))</f>
        <v>5.5</v>
      </c>
      <c r="F4" s="112">
        <f>INDEX(PRECIO!O3:O423, MATCH(A4, PRECIO!A3:A423, 0))</f>
        <v>0</v>
      </c>
    </row>
    <row r="5" spans="1:6" s="36" customFormat="1" x14ac:dyDescent="0.3">
      <c r="A5" s="122">
        <v>19</v>
      </c>
      <c r="B5" s="124" t="str">
        <f>INDEX(PRECIO!B3:B423, MATCH(A5, PRECIO!A3:A423, 0))</f>
        <v>CAMI|ECO|T32-36│NIÑOS</v>
      </c>
      <c r="C5" s="124">
        <f>INDEX(PRECIO!C3:C423, MATCH(A5, PRECIO!A3:A423, 0))</f>
        <v>9</v>
      </c>
      <c r="D5" s="124">
        <f>INDEX(PRECIO!D3:D423, MATCH(A5, PRECIO!A3:A423, 0))</f>
        <v>7</v>
      </c>
      <c r="E5" s="124">
        <f>INDEX(PRECIO!E3:E423, MATCH(A5, PRECIO!A3:A423, 0))</f>
        <v>6</v>
      </c>
      <c r="F5" s="112">
        <f>INDEX(PRECIO!O3:O423, MATCH(A5, PRECIO!A3:A423, 0))</f>
        <v>4.7699999999999996</v>
      </c>
    </row>
    <row r="6" spans="1:6" s="90" customFormat="1" x14ac:dyDescent="0.3">
      <c r="A6" s="125">
        <v>293</v>
      </c>
      <c r="B6" s="127" t="str">
        <f>INDEX(PRECIO!B3:B423, MATCH(A6, PRECIO!A3:A423, 0))</f>
        <v>CAMI|ECO|T38-42│JOV</v>
      </c>
      <c r="C6" s="127">
        <f>INDEX(PRECIO!C3:C423, MATCH(A6, PRECIO!A3:A423, 0))</f>
        <v>10</v>
      </c>
      <c r="D6" s="127">
        <f>INDEX(PRECIO!D3:D423, MATCH(A6, PRECIO!A3:A423, 0))</f>
        <v>8</v>
      </c>
      <c r="E6" s="127">
        <f>INDEX(PRECIO!E3:E423, MATCH(A6, PRECIO!A3:A423, 0))</f>
        <v>7</v>
      </c>
      <c r="F6" s="115">
        <f>INDEX(PRECIO!O3:O423, MATCH(A6, PRECIO!A3:A423, 0))</f>
        <v>5.68</v>
      </c>
    </row>
    <row r="7" spans="1:6" s="10" customFormat="1" x14ac:dyDescent="0.3">
      <c r="A7" s="128">
        <v>55</v>
      </c>
      <c r="B7" s="130" t="str">
        <f>INDEX(PRECIO!B3:B423, MATCH(A7, PRECIO!A3:A423, 0))</f>
        <v>CAMI|ECO|TXS-XL│ADULTO</v>
      </c>
      <c r="C7" s="130">
        <f>INDEX(PRECIO!C3:C423, MATCH(A7, PRECIO!A3:A423, 0))</f>
        <v>11</v>
      </c>
      <c r="D7" s="130">
        <f>INDEX(PRECIO!D3:D423, MATCH(A7, PRECIO!A3:A423, 0))</f>
        <v>9</v>
      </c>
      <c r="E7" s="130">
        <f>INDEX(PRECIO!E3:E423, MATCH(A7, PRECIO!A3:A423, 0))</f>
        <v>8</v>
      </c>
      <c r="F7" s="113">
        <f>INDEX(PRECIO!O3:O423, MATCH(A7, PRECIO!A3:A423, 0))</f>
        <v>6.15</v>
      </c>
    </row>
    <row r="8" spans="1:6" s="10" customFormat="1" x14ac:dyDescent="0.3">
      <c r="A8" s="128">
        <v>56</v>
      </c>
      <c r="B8" s="130" t="str">
        <f>INDEX(PRECIO!B3:B423, MATCH(A8, PRECIO!A3:A423, 0))</f>
        <v>CAMI|ECO|T2XL│ADULTO</v>
      </c>
      <c r="C8" s="130">
        <f>INDEX(PRECIO!C3:C423, MATCH(A8, PRECIO!A3:A423, 0))</f>
        <v>12</v>
      </c>
      <c r="D8" s="130">
        <f>INDEX(PRECIO!D3:D423, MATCH(A8, PRECIO!A3:A423, 0))</f>
        <v>10</v>
      </c>
      <c r="E8" s="130">
        <f>INDEX(PRECIO!E3:E423, MATCH(A8, PRECIO!A3:A423, 0))</f>
        <v>9</v>
      </c>
      <c r="F8" s="113">
        <f>INDEX(PRECIO!O3:O423, MATCH(A8, PRECIO!A3:A423, 0))</f>
        <v>0</v>
      </c>
    </row>
    <row r="9" spans="1:6" s="10" customFormat="1" x14ac:dyDescent="0.3">
      <c r="A9" s="128">
        <v>57</v>
      </c>
      <c r="B9" s="130" t="str">
        <f>INDEX(PRECIO!B3:B423, MATCH(A9, PRECIO!A3:A423, 0))</f>
        <v>CAMI|ECO|T3XL│ADULTO</v>
      </c>
      <c r="C9" s="130">
        <f>INDEX(PRECIO!C3:C423, MATCH(A9, PRECIO!A3:A423, 0))</f>
        <v>13</v>
      </c>
      <c r="D9" s="130">
        <f>INDEX(PRECIO!D3:D423, MATCH(A9, PRECIO!A3:A423, 0))</f>
        <v>11</v>
      </c>
      <c r="E9" s="130">
        <f>INDEX(PRECIO!E3:E423, MATCH(A9, PRECIO!A3:A423, 0))</f>
        <v>10</v>
      </c>
      <c r="F9" s="113">
        <f>INDEX(PRECIO!O3:O423, MATCH(A9, PRECIO!A3:A423, 0))</f>
        <v>0</v>
      </c>
    </row>
    <row r="10" spans="1:6" s="10" customFormat="1" x14ac:dyDescent="0.3">
      <c r="A10" s="128">
        <v>58</v>
      </c>
      <c r="B10" s="130" t="str">
        <f>INDEX(PRECIO!B3:B423, MATCH(A10, PRECIO!A3:A423, 0))</f>
        <v>CAMI|ECO|T4XL│ADULTO</v>
      </c>
      <c r="C10" s="130">
        <f>INDEX(PRECIO!C3:C423, MATCH(A10, PRECIO!A3:A423, 0))</f>
        <v>14</v>
      </c>
      <c r="D10" s="130">
        <f>INDEX(PRECIO!D3:D423, MATCH(A10, PRECIO!A3:A423, 0))</f>
        <v>12</v>
      </c>
      <c r="E10" s="130">
        <f>INDEX(PRECIO!E3:E423, MATCH(A10, PRECIO!A3:A423, 0))</f>
        <v>11</v>
      </c>
      <c r="F10" s="113">
        <f>INDEX(PRECIO!O3:O423, MATCH(A10, PRECIO!A3:A423, 0))</f>
        <v>0</v>
      </c>
    </row>
    <row r="11" spans="1:6" s="10" customFormat="1" x14ac:dyDescent="0.3">
      <c r="A11" s="128">
        <v>59</v>
      </c>
      <c r="B11" s="130" t="str">
        <f>INDEX(PRECIO!B3:B423, MATCH(A11, PRECIO!A3:A423, 0))</f>
        <v>CAMI|ECO|T5XL│ADULTO</v>
      </c>
      <c r="C11" s="130">
        <f>INDEX(PRECIO!C3:C423, MATCH(A11, PRECIO!A3:A423, 0))</f>
        <v>15</v>
      </c>
      <c r="D11" s="130">
        <f>INDEX(PRECIO!D3:D423, MATCH(A11, PRECIO!A3:A423, 0))</f>
        <v>13</v>
      </c>
      <c r="E11" s="130">
        <f>INDEX(PRECIO!E3:E423, MATCH(A11, PRECIO!A3:A423, 0))</f>
        <v>12</v>
      </c>
      <c r="F11" s="113">
        <f>INDEX(PRECIO!O3:O423, MATCH(A11, PRECIO!A3:A423, 0))</f>
        <v>0</v>
      </c>
    </row>
    <row r="12" spans="1:6" s="10" customFormat="1" x14ac:dyDescent="0.3">
      <c r="A12" s="128">
        <v>60</v>
      </c>
      <c r="B12" s="130" t="str">
        <f>INDEX(PRECIO!B3:B423, MATCH(A12, PRECIO!A3:A423, 0))</f>
        <v>CAMI|ECO|T6XL│ADULTO</v>
      </c>
      <c r="C12" s="130">
        <f>INDEX(PRECIO!C3:C423, MATCH(A12, PRECIO!A3:A423, 0))</f>
        <v>16</v>
      </c>
      <c r="D12" s="130">
        <f>INDEX(PRECIO!D3:D423, MATCH(A12, PRECIO!A3:A423, 0))</f>
        <v>14</v>
      </c>
      <c r="E12" s="130">
        <f>INDEX(PRECIO!E3:E423, MATCH(A12, PRECIO!A3:A423, 0))</f>
        <v>13</v>
      </c>
      <c r="F12" s="113">
        <f>INDEX(PRECIO!O3:O423, MATCH(A12, PRECIO!A3:A423, 0))</f>
        <v>0</v>
      </c>
    </row>
    <row r="13" spans="1:6" s="10" customFormat="1" x14ac:dyDescent="0.3">
      <c r="A13" s="128">
        <v>61</v>
      </c>
      <c r="B13" s="130" t="str">
        <f>INDEX(PRECIO!B3:B423, MATCH(A13, PRECIO!A3:A423, 0))</f>
        <v>CAMI|ECO|T7XL│ADULTO</v>
      </c>
      <c r="C13" s="130">
        <f>INDEX(PRECIO!C3:C423, MATCH(A13, PRECIO!A3:A423, 0))</f>
        <v>17</v>
      </c>
      <c r="D13" s="130">
        <f>INDEX(PRECIO!D3:D423, MATCH(A13, PRECIO!A3:A423, 0))</f>
        <v>15</v>
      </c>
      <c r="E13" s="130">
        <f>INDEX(PRECIO!E3:E423, MATCH(A13, PRECIO!A3:A423, 0))</f>
        <v>14</v>
      </c>
      <c r="F13" s="113">
        <f>INDEX(PRECIO!O3:O423, MATCH(A13, PRECIO!A3:A423, 0))</f>
        <v>0</v>
      </c>
    </row>
    <row r="14" spans="1:6" s="10" customFormat="1" x14ac:dyDescent="0.3">
      <c r="A14" s="128">
        <v>62</v>
      </c>
      <c r="B14" s="130" t="str">
        <f>INDEX(PRECIO!B3:B423, MATCH(A14, PRECIO!A3:A423, 0))</f>
        <v>CAMI|ECO|T8XL│ADULTO</v>
      </c>
      <c r="C14" s="130">
        <f>INDEX(PRECIO!C3:C423, MATCH(A14, PRECIO!A3:A423, 0))</f>
        <v>18</v>
      </c>
      <c r="D14" s="130">
        <f>INDEX(PRECIO!D3:D423, MATCH(A14, PRECIO!A3:A423, 0))</f>
        <v>16</v>
      </c>
      <c r="E14" s="130">
        <f>INDEX(PRECIO!E3:E423, MATCH(A14, PRECIO!A3:A423, 0))</f>
        <v>15</v>
      </c>
      <c r="F14" s="113">
        <f>INDEX(PRECIO!O3:O423, MATCH(A14, PRECIO!A3:A423, 0))</f>
        <v>0</v>
      </c>
    </row>
    <row r="15" spans="1:6" s="10" customFormat="1" x14ac:dyDescent="0.3">
      <c r="A15" s="128">
        <v>63</v>
      </c>
      <c r="B15" s="130" t="str">
        <f>INDEX(PRECIO!B3:B423, MATCH(A15, PRECIO!A3:A423, 0))</f>
        <v>CAMI|ECO|T9XL│ADULTO</v>
      </c>
      <c r="C15" s="130">
        <f>INDEX(PRECIO!C3:C423, MATCH(A15, PRECIO!A3:A423, 0))</f>
        <v>19</v>
      </c>
      <c r="D15" s="130">
        <f>INDEX(PRECIO!D3:D423, MATCH(A15, PRECIO!A3:A423, 0))</f>
        <v>17</v>
      </c>
      <c r="E15" s="130">
        <f>INDEX(PRECIO!E3:E423, MATCH(A15, PRECIO!A3:A423, 0))</f>
        <v>16</v>
      </c>
      <c r="F15" s="113">
        <f>INDEX(PRECIO!O3:O423, MATCH(A15, PRECIO!A3:A423, 0))</f>
        <v>0</v>
      </c>
    </row>
    <row r="16" spans="1:6" ht="25.8" x14ac:dyDescent="0.3">
      <c r="A16" s="277" t="s">
        <v>317</v>
      </c>
      <c r="B16" s="277"/>
      <c r="C16" s="277"/>
      <c r="D16" s="277"/>
      <c r="E16" s="277"/>
      <c r="F16" s="118"/>
    </row>
    <row r="17" spans="1:6" x14ac:dyDescent="0.3">
      <c r="A17" s="120" t="str">
        <f>+PRECIO!A2</f>
        <v>COD.</v>
      </c>
      <c r="B17" s="120" t="str">
        <f>+PRECIO!B2</f>
        <v>DESCRIPCION</v>
      </c>
      <c r="C17" s="120" t="str">
        <f>+PRECIO!C2</f>
        <v>UNI</v>
      </c>
      <c r="D17" s="120" t="str">
        <f>+PRECIO!D2</f>
        <v>&gt;12</v>
      </c>
      <c r="E17" s="120" t="str">
        <f>+PRECIO!E2</f>
        <v>&gt;25</v>
      </c>
      <c r="F17" s="114" t="str">
        <f>+PRECIO!O2</f>
        <v>VALOR</v>
      </c>
    </row>
    <row r="18" spans="1:6" s="36" customFormat="1" x14ac:dyDescent="0.3">
      <c r="A18" s="122">
        <v>8</v>
      </c>
      <c r="B18" s="124" t="str">
        <f>INDEX(PRECIO!B3:B423, MATCH(A18, PRECIO!A3:A423, 0))</f>
        <v>CAMI ESTANDAR T26-30|NIÑOS</v>
      </c>
      <c r="C18" s="124">
        <f>INDEX(PRECIO!C3:C423, MATCH(A18, PRECIO!A3:A423, 0))</f>
        <v>10</v>
      </c>
      <c r="D18" s="124">
        <f>INDEX(PRECIO!D3:D423, MATCH(A18, PRECIO!A3:A423, 0))</f>
        <v>7.5</v>
      </c>
      <c r="E18" s="124">
        <f>INDEX(PRECIO!E3:E423, MATCH(A18, PRECIO!A3:A423, 0))</f>
        <v>6.5</v>
      </c>
      <c r="F18" s="112">
        <f>INDEX(PRECIO!O3:O423, MATCH(A18, PRECIO!A3:A423, 0))</f>
        <v>4.3600000000000003</v>
      </c>
    </row>
    <row r="19" spans="1:6" s="36" customFormat="1" x14ac:dyDescent="0.3">
      <c r="A19" s="122">
        <v>20</v>
      </c>
      <c r="B19" s="124" t="str">
        <f>INDEX(PRECIO!B3:B423, MATCH(A19, PRECIO!A3:A423, 0))</f>
        <v>CAMI ESTANDAR T32-36│NIÑOS</v>
      </c>
      <c r="C19" s="124">
        <f>INDEX(PRECIO!C3:C423, MATCH(A19, PRECIO!A3:A423, 0))</f>
        <v>10</v>
      </c>
      <c r="D19" s="124">
        <f>INDEX(PRECIO!D3:D423, MATCH(A19, PRECIO!A3:A423, 0))</f>
        <v>8</v>
      </c>
      <c r="E19" s="124">
        <f>INDEX(PRECIO!E3:E423, MATCH(A19, PRECIO!A3:A423, 0))</f>
        <v>7</v>
      </c>
      <c r="F19" s="112">
        <f>INDEX(PRECIO!O3:O423, MATCH(A19, PRECIO!A3:A423, 0))</f>
        <v>4.76</v>
      </c>
    </row>
    <row r="20" spans="1:6" s="90" customFormat="1" x14ac:dyDescent="0.3">
      <c r="A20" s="125">
        <v>294</v>
      </c>
      <c r="B20" s="127" t="str">
        <f>INDEX(PRECIO!B3:B423, MATCH(A20, PRECIO!A3:A423, 0))</f>
        <v>CAMI ESTANDAR T38-42│JOV</v>
      </c>
      <c r="C20" s="127">
        <f>INDEX(PRECIO!C3:C423, MATCH(A20, PRECIO!A3:A423, 0))</f>
        <v>11</v>
      </c>
      <c r="D20" s="127">
        <f>INDEX(PRECIO!D3:D423, MATCH(A20, PRECIO!A3:A423, 0))</f>
        <v>9</v>
      </c>
      <c r="E20" s="127">
        <f>INDEX(PRECIO!E3:E423, MATCH(A20, PRECIO!A3:A423, 0))</f>
        <v>8</v>
      </c>
      <c r="F20" s="115">
        <f>INDEX(PRECIO!O3:O423, MATCH(A20, PRECIO!A3:A423, 0))</f>
        <v>0</v>
      </c>
    </row>
    <row r="21" spans="1:6" s="117" customFormat="1" x14ac:dyDescent="0.3">
      <c r="A21" s="135">
        <v>64</v>
      </c>
      <c r="B21" s="136" t="str">
        <f>INDEX(PRECIO!B3:B423, MATCH(A21, PRECIO!A3:A423, 0))</f>
        <v>CAMI ESTANDAR TXS-XL│ADULTO</v>
      </c>
      <c r="C21" s="136">
        <f>INDEX(PRECIO!C3:C423, MATCH(A21, PRECIO!A3:A423, 0))</f>
        <v>12</v>
      </c>
      <c r="D21" s="136">
        <f>INDEX(PRECIO!D3:D423, MATCH(A21, PRECIO!A3:A423, 0))</f>
        <v>10</v>
      </c>
      <c r="E21" s="136">
        <f>INDEX(PRECIO!E3:E423, MATCH(A21, PRECIO!A3:A423, 0))</f>
        <v>9</v>
      </c>
      <c r="F21" s="116">
        <f>INDEX(PRECIO!O3:O423, MATCH(A21, PRECIO!A3:A423, 0))</f>
        <v>6.15</v>
      </c>
    </row>
    <row r="22" spans="1:6" s="117" customFormat="1" x14ac:dyDescent="0.3">
      <c r="A22" s="135">
        <v>65</v>
      </c>
      <c r="B22" s="136" t="str">
        <f>INDEX(PRECIO!B3:B423, MATCH(A22, PRECIO!A3:A423, 0))</f>
        <v>CAMI ESTANDAR T2XL│ADULTO</v>
      </c>
      <c r="C22" s="136">
        <f>INDEX(PRECIO!C3:C423, MATCH(A22, PRECIO!A3:A423, 0))</f>
        <v>13</v>
      </c>
      <c r="D22" s="136">
        <f>INDEX(PRECIO!D3:D423, MATCH(A22, PRECIO!A3:A423, 0))</f>
        <v>11</v>
      </c>
      <c r="E22" s="136">
        <f>INDEX(PRECIO!E3:E423, MATCH(A22, PRECIO!A3:A423, 0))</f>
        <v>10</v>
      </c>
      <c r="F22" s="116">
        <f>INDEX(PRECIO!O3:O423, MATCH(A22, PRECIO!A3:A423, 0))</f>
        <v>0</v>
      </c>
    </row>
    <row r="23" spans="1:6" s="117" customFormat="1" x14ac:dyDescent="0.3">
      <c r="A23" s="135">
        <v>66</v>
      </c>
      <c r="B23" s="136" t="str">
        <f>INDEX(PRECIO!B3:B423, MATCH(A23, PRECIO!A3:A423, 0))</f>
        <v>CAMI ESTANDAR T3XL│ADULTO</v>
      </c>
      <c r="C23" s="136">
        <f>INDEX(PRECIO!C3:C423, MATCH(A23, PRECIO!A3:A423, 0))</f>
        <v>14</v>
      </c>
      <c r="D23" s="136">
        <f>INDEX(PRECIO!D3:D423, MATCH(A23, PRECIO!A3:A423, 0))</f>
        <v>12</v>
      </c>
      <c r="E23" s="136">
        <f>INDEX(PRECIO!E3:E423, MATCH(A23, PRECIO!A3:A423, 0))</f>
        <v>11</v>
      </c>
      <c r="F23" s="116">
        <f>INDEX(PRECIO!O3:O423, MATCH(A23, PRECIO!A3:A423, 0))</f>
        <v>0</v>
      </c>
    </row>
    <row r="24" spans="1:6" s="117" customFormat="1" x14ac:dyDescent="0.3">
      <c r="A24" s="135">
        <v>67</v>
      </c>
      <c r="B24" s="136" t="str">
        <f>INDEX(PRECIO!B3:B423, MATCH(A24, PRECIO!A3:A423, 0))</f>
        <v>CAMI ESTANDAR T4XL│ADULTO</v>
      </c>
      <c r="C24" s="136">
        <f>INDEX(PRECIO!C3:C423, MATCH(A24, PRECIO!A3:A423, 0))</f>
        <v>15</v>
      </c>
      <c r="D24" s="136">
        <f>INDEX(PRECIO!D3:D423, MATCH(A24, PRECIO!A3:A423, 0))</f>
        <v>13</v>
      </c>
      <c r="E24" s="136">
        <f>INDEX(PRECIO!E3:E423, MATCH(A24, PRECIO!A3:A423, 0))</f>
        <v>12</v>
      </c>
      <c r="F24" s="116">
        <f>INDEX(PRECIO!O3:O423, MATCH(A24, PRECIO!A3:A423, 0))</f>
        <v>0</v>
      </c>
    </row>
    <row r="25" spans="1:6" s="117" customFormat="1" x14ac:dyDescent="0.3">
      <c r="A25" s="135">
        <v>68</v>
      </c>
      <c r="B25" s="136" t="str">
        <f>INDEX(PRECIO!B3:B423, MATCH(A25, PRECIO!A3:A423, 0))</f>
        <v>CAMI ESTANDAR T5XL│ADULTO</v>
      </c>
      <c r="C25" s="136">
        <f>INDEX(PRECIO!C3:C423, MATCH(A25, PRECIO!A3:A423, 0))</f>
        <v>16</v>
      </c>
      <c r="D25" s="136">
        <f>INDEX(PRECIO!D3:D423, MATCH(A25, PRECIO!A3:A423, 0))</f>
        <v>14</v>
      </c>
      <c r="E25" s="136">
        <f>INDEX(PRECIO!E3:E423, MATCH(A25, PRECIO!A3:A423, 0))</f>
        <v>13</v>
      </c>
      <c r="F25" s="116">
        <f>INDEX(PRECIO!O3:O423, MATCH(A25, PRECIO!A3:A423, 0))</f>
        <v>0</v>
      </c>
    </row>
    <row r="26" spans="1:6" s="117" customFormat="1" x14ac:dyDescent="0.3">
      <c r="A26" s="135">
        <v>69</v>
      </c>
      <c r="B26" s="136" t="str">
        <f>INDEX(PRECIO!B3:B423, MATCH(A26, PRECIO!A3:A423, 0))</f>
        <v>CAMI ESTANDAR T6XL│ADULTO</v>
      </c>
      <c r="C26" s="136">
        <f>INDEX(PRECIO!C3:C423, MATCH(A26, PRECIO!A3:A423, 0))</f>
        <v>17</v>
      </c>
      <c r="D26" s="136">
        <f>INDEX(PRECIO!D3:D423, MATCH(A26, PRECIO!A3:A423, 0))</f>
        <v>15</v>
      </c>
      <c r="E26" s="136">
        <f>INDEX(PRECIO!E3:E423, MATCH(A26, PRECIO!A3:A423, 0))</f>
        <v>14</v>
      </c>
      <c r="F26" s="116">
        <f>INDEX(PRECIO!O3:O423, MATCH(A26, PRECIO!A3:A423, 0))</f>
        <v>0</v>
      </c>
    </row>
    <row r="27" spans="1:6" s="117" customFormat="1" x14ac:dyDescent="0.3">
      <c r="A27" s="135">
        <v>70</v>
      </c>
      <c r="B27" s="136" t="str">
        <f>INDEX(PRECIO!B3:B423, MATCH(A27, PRECIO!A3:A423, 0))</f>
        <v>CAMI ESTANDAR T7XL│ADULTO</v>
      </c>
      <c r="C27" s="136">
        <f>INDEX(PRECIO!C3:C423, MATCH(A27, PRECIO!A3:A423, 0))</f>
        <v>18</v>
      </c>
      <c r="D27" s="136">
        <f>INDEX(PRECIO!D3:D423, MATCH(A27, PRECIO!A3:A423, 0))</f>
        <v>16</v>
      </c>
      <c r="E27" s="136">
        <f>INDEX(PRECIO!E3:E423, MATCH(A27, PRECIO!A3:A423, 0))</f>
        <v>15</v>
      </c>
      <c r="F27" s="116">
        <f>INDEX(PRECIO!O3:O423, MATCH(A27, PRECIO!A3:A423, 0))</f>
        <v>0</v>
      </c>
    </row>
    <row r="28" spans="1:6" s="117" customFormat="1" x14ac:dyDescent="0.3">
      <c r="A28" s="135">
        <v>71</v>
      </c>
      <c r="B28" s="136" t="str">
        <f>INDEX(PRECIO!B3:B423, MATCH(A28, PRECIO!A3:A423, 0))</f>
        <v>CAMI ESTANDAR T8XL│ADULTO</v>
      </c>
      <c r="C28" s="136">
        <f>INDEX(PRECIO!C3:C423, MATCH(A28, PRECIO!A3:A423, 0))</f>
        <v>19</v>
      </c>
      <c r="D28" s="136">
        <f>INDEX(PRECIO!D3:D423, MATCH(A28, PRECIO!A3:A423, 0))</f>
        <v>17</v>
      </c>
      <c r="E28" s="136">
        <f>INDEX(PRECIO!E3:E423, MATCH(A28, PRECIO!A3:A423, 0))</f>
        <v>16</v>
      </c>
      <c r="F28" s="116">
        <f>INDEX(PRECIO!O3:O423, MATCH(A28, PRECIO!A3:A423, 0))</f>
        <v>0</v>
      </c>
    </row>
    <row r="29" spans="1:6" s="117" customFormat="1" x14ac:dyDescent="0.3">
      <c r="A29" s="135">
        <v>72</v>
      </c>
      <c r="B29" s="136" t="str">
        <f>INDEX(PRECIO!B3:B423, MATCH(A29, PRECIO!A3:A423, 0))</f>
        <v>CAMI ESTANDAR T9XL│ADULTO</v>
      </c>
      <c r="C29" s="136">
        <f>INDEX(PRECIO!C3:C423, MATCH(A29, PRECIO!A3:A423, 0))</f>
        <v>20</v>
      </c>
      <c r="D29" s="136">
        <f>INDEX(PRECIO!D3:D423, MATCH(A29, PRECIO!A3:A423, 0))</f>
        <v>18</v>
      </c>
      <c r="E29" s="136">
        <f>INDEX(PRECIO!E3:E423, MATCH(A29, PRECIO!A3:A423, 0))</f>
        <v>17</v>
      </c>
      <c r="F29" s="116">
        <f>INDEX(PRECIO!O3:O423, MATCH(A29, PRECIO!A3:A423, 0))</f>
        <v>0</v>
      </c>
    </row>
    <row r="30" spans="1:6" ht="25.8" x14ac:dyDescent="0.3">
      <c r="A30" s="278" t="s">
        <v>1122</v>
      </c>
      <c r="B30" s="278"/>
      <c r="C30" s="278"/>
      <c r="D30" s="278"/>
      <c r="E30" s="278"/>
      <c r="F30" s="118"/>
    </row>
    <row r="31" spans="1:6" x14ac:dyDescent="0.3">
      <c r="A31" s="120" t="str">
        <f>+PRECIO!A2</f>
        <v>COD.</v>
      </c>
      <c r="B31" s="121" t="str">
        <f>+PRECIO!B2</f>
        <v>DESCRIPCION</v>
      </c>
      <c r="C31" s="120" t="str">
        <f>+PRECIO!C2</f>
        <v>UNI</v>
      </c>
      <c r="D31" s="120" t="str">
        <f>+PRECIO!D2</f>
        <v>&gt;12</v>
      </c>
      <c r="E31" s="120" t="str">
        <f>+PRECIO!E2</f>
        <v>&gt;25</v>
      </c>
      <c r="F31" s="114" t="str">
        <f>+PRECIO!O2</f>
        <v>VALOR</v>
      </c>
    </row>
    <row r="32" spans="1:6" s="36" customFormat="1" x14ac:dyDescent="0.3">
      <c r="A32" s="122">
        <v>9</v>
      </c>
      <c r="B32" s="124" t="str">
        <f>INDEX(PRECIO!B3:B423, MATCH(A32, PRECIO!A3:A423, 0))</f>
        <v>CAMI|PREMIUM|T26-30│NIÑOS</v>
      </c>
      <c r="C32" s="124">
        <f>INDEX(PRECIO!C3:C423, MATCH(A32, PRECIO!A3:A423, 0))</f>
        <v>11</v>
      </c>
      <c r="D32" s="124">
        <f>INDEX(PRECIO!D3:D423, MATCH(A32, PRECIO!A3:A423, 0))</f>
        <v>8.5</v>
      </c>
      <c r="E32" s="124">
        <f>INDEX(PRECIO!E3:E423, MATCH(A32, PRECIO!A3:A423, 0))</f>
        <v>7.5</v>
      </c>
      <c r="F32" s="112">
        <f>INDEX(PRECIO!O3:O423, MATCH(A32, PRECIO!A3:A423, 0))</f>
        <v>0</v>
      </c>
    </row>
    <row r="33" spans="1:6" s="36" customFormat="1" x14ac:dyDescent="0.3">
      <c r="A33" s="122">
        <v>21</v>
      </c>
      <c r="B33" s="124" t="str">
        <f>INDEX(PRECIO!B3:B423, MATCH(A33, PRECIO!A3:A423, 0))</f>
        <v>CAMI|PREMIUM|T32-36│NIÑOS</v>
      </c>
      <c r="C33" s="124">
        <f>INDEX(PRECIO!C3:C423, MATCH(A33, PRECIO!A3:A423, 0))</f>
        <v>11</v>
      </c>
      <c r="D33" s="124">
        <f>INDEX(PRECIO!D3:D423, MATCH(A33, PRECIO!A3:A423, 0))</f>
        <v>9</v>
      </c>
      <c r="E33" s="124">
        <f>INDEX(PRECIO!E3:E423, MATCH(A33, PRECIO!A3:A423, 0))</f>
        <v>8</v>
      </c>
      <c r="F33" s="112">
        <f>INDEX(PRECIO!O3:O423, MATCH(A33, PRECIO!A3:A423, 0))</f>
        <v>0</v>
      </c>
    </row>
    <row r="34" spans="1:6" s="90" customFormat="1" x14ac:dyDescent="0.3">
      <c r="A34" s="125">
        <v>295</v>
      </c>
      <c r="B34" s="127" t="str">
        <f>INDEX(PRECIO!B3:B423, MATCH(A34, PRECIO!A3:A423, 0))</f>
        <v>CAMI|PREMIUM|T38-42│JOV</v>
      </c>
      <c r="C34" s="127">
        <f>INDEX(PRECIO!C3:C423, MATCH(A34, PRECIO!A3:A423, 0))</f>
        <v>12</v>
      </c>
      <c r="D34" s="127">
        <f>INDEX(PRECIO!D3:D423, MATCH(A34, PRECIO!A3:A423, 0))</f>
        <v>10</v>
      </c>
      <c r="E34" s="127">
        <f>INDEX(PRECIO!E3:E423, MATCH(A34, PRECIO!A3:A423, 0))</f>
        <v>9</v>
      </c>
      <c r="F34" s="115">
        <f>INDEX(PRECIO!O3:O423, MATCH(A34, PRECIO!A3:A423, 0))</f>
        <v>0</v>
      </c>
    </row>
    <row r="35" spans="1:6" s="117" customFormat="1" x14ac:dyDescent="0.3">
      <c r="A35" s="135">
        <v>73</v>
      </c>
      <c r="B35" s="136" t="str">
        <f>INDEX(PRECIO!B3:B423, MATCH(A35, PRECIO!A3:A423, 0))</f>
        <v>CAMI|PREMIUM|TXS-XL│ADULTO</v>
      </c>
      <c r="C35" s="136">
        <f>INDEX(PRECIO!C3:C423, MATCH(A35, PRECIO!A3:A423, 0))</f>
        <v>13</v>
      </c>
      <c r="D35" s="136">
        <f>INDEX(PRECIO!D3:D423, MATCH(A35, PRECIO!A3:A423, 0))</f>
        <v>11</v>
      </c>
      <c r="E35" s="136">
        <f>INDEX(PRECIO!E3:E423, MATCH(A35, PRECIO!A3:A423, 0))</f>
        <v>10</v>
      </c>
      <c r="F35" s="116">
        <f>INDEX(PRECIO!O3:O423, MATCH(A35, PRECIO!A3:A423, 0))</f>
        <v>6.58</v>
      </c>
    </row>
    <row r="36" spans="1:6" s="117" customFormat="1" x14ac:dyDescent="0.3">
      <c r="A36" s="135">
        <v>74</v>
      </c>
      <c r="B36" s="136" t="str">
        <f>INDEX(PRECIO!B3:B423, MATCH(A36, PRECIO!A3:A423, 0))</f>
        <v>CAMI|PREMIUM|T2XL│ADULTO</v>
      </c>
      <c r="C36" s="136">
        <f>INDEX(PRECIO!C3:C423, MATCH(A36, PRECIO!A3:A423, 0))</f>
        <v>14</v>
      </c>
      <c r="D36" s="136">
        <f>INDEX(PRECIO!D3:D423, MATCH(A36, PRECIO!A3:A423, 0))</f>
        <v>12</v>
      </c>
      <c r="E36" s="136">
        <f>INDEX(PRECIO!E3:E423, MATCH(A36, PRECIO!A3:A423, 0))</f>
        <v>11</v>
      </c>
      <c r="F36" s="116">
        <f>INDEX(PRECIO!O3:O423, MATCH(A36, PRECIO!A3:A423, 0))</f>
        <v>0</v>
      </c>
    </row>
    <row r="37" spans="1:6" s="117" customFormat="1" x14ac:dyDescent="0.3">
      <c r="A37" s="135">
        <v>75</v>
      </c>
      <c r="B37" s="136" t="str">
        <f>INDEX(PRECIO!B3:B423, MATCH(A37, PRECIO!A3:A423, 0))</f>
        <v>CAMI|PREMIUM|T3XL│ADULTO</v>
      </c>
      <c r="C37" s="136">
        <f>INDEX(PRECIO!C3:C423, MATCH(A37, PRECIO!A3:A423, 0))</f>
        <v>15</v>
      </c>
      <c r="D37" s="136">
        <f>INDEX(PRECIO!D3:D423, MATCH(A37, PRECIO!A3:A423, 0))</f>
        <v>13</v>
      </c>
      <c r="E37" s="136">
        <f>INDEX(PRECIO!E3:E423, MATCH(A37, PRECIO!A3:A423, 0))</f>
        <v>12</v>
      </c>
      <c r="F37" s="116">
        <f>INDEX(PRECIO!O3:O423, MATCH(A37, PRECIO!A3:A423, 0))</f>
        <v>0</v>
      </c>
    </row>
    <row r="38" spans="1:6" s="117" customFormat="1" x14ac:dyDescent="0.3">
      <c r="A38" s="135">
        <v>76</v>
      </c>
      <c r="B38" s="136" t="str">
        <f>INDEX(PRECIO!B3:B423, MATCH(A38, PRECIO!A3:A423, 0))</f>
        <v>CAMI|PREMIUM|T4XL│ADULTO</v>
      </c>
      <c r="C38" s="136">
        <f>INDEX(PRECIO!C3:C423, MATCH(A38, PRECIO!A3:A423, 0))</f>
        <v>16</v>
      </c>
      <c r="D38" s="136">
        <f>INDEX(PRECIO!D3:D423, MATCH(A38, PRECIO!A3:A423, 0))</f>
        <v>14</v>
      </c>
      <c r="E38" s="136">
        <f>INDEX(PRECIO!E3:E423, MATCH(A38, PRECIO!A3:A423, 0))</f>
        <v>13</v>
      </c>
      <c r="F38" s="116">
        <f>INDEX(PRECIO!O3:O423, MATCH(A38, PRECIO!A3:A423, 0))</f>
        <v>0</v>
      </c>
    </row>
    <row r="39" spans="1:6" s="117" customFormat="1" x14ac:dyDescent="0.3">
      <c r="A39" s="135">
        <v>77</v>
      </c>
      <c r="B39" s="136" t="str">
        <f>INDEX(PRECIO!B3:B423, MATCH(A39, PRECIO!A3:A423, 0))</f>
        <v>CAMI|PREMIUM|T5XL│ADULTO</v>
      </c>
      <c r="C39" s="136">
        <f>INDEX(PRECIO!C3:C423, MATCH(A39, PRECIO!A3:A423, 0))</f>
        <v>17</v>
      </c>
      <c r="D39" s="136">
        <f>INDEX(PRECIO!D3:D423, MATCH(A39, PRECIO!A3:A423, 0))</f>
        <v>15</v>
      </c>
      <c r="E39" s="136">
        <f>INDEX(PRECIO!E3:E423, MATCH(A39, PRECIO!A3:A423, 0))</f>
        <v>14</v>
      </c>
      <c r="F39" s="116">
        <f>INDEX(PRECIO!O3:O423, MATCH(A39, PRECIO!A3:A423, 0))</f>
        <v>0</v>
      </c>
    </row>
    <row r="40" spans="1:6" s="117" customFormat="1" x14ac:dyDescent="0.3">
      <c r="A40" s="135">
        <v>78</v>
      </c>
      <c r="B40" s="136" t="str">
        <f>INDEX(PRECIO!B3:B423, MATCH(A40, PRECIO!A3:A423, 0))</f>
        <v>CAMI|PREMIUM|T6XL│ADULTO</v>
      </c>
      <c r="C40" s="136">
        <f>INDEX(PRECIO!C3:C423, MATCH(A40, PRECIO!A3:A423, 0))</f>
        <v>18</v>
      </c>
      <c r="D40" s="136">
        <f>INDEX(PRECIO!D3:D423, MATCH(A40, PRECIO!A3:A423, 0))</f>
        <v>16</v>
      </c>
      <c r="E40" s="136">
        <f>INDEX(PRECIO!E3:E423, MATCH(A40, PRECIO!A3:A423, 0))</f>
        <v>15</v>
      </c>
      <c r="F40" s="116">
        <f>INDEX(PRECIO!O3:O423, MATCH(A40, PRECIO!A3:A423, 0))</f>
        <v>0</v>
      </c>
    </row>
    <row r="41" spans="1:6" s="117" customFormat="1" x14ac:dyDescent="0.3">
      <c r="A41" s="135">
        <v>79</v>
      </c>
      <c r="B41" s="136" t="str">
        <f>INDEX(PRECIO!B3:B423, MATCH(A41, PRECIO!A3:A423, 0))</f>
        <v>CAMI|PREMIUM|T7XL│ADULTO</v>
      </c>
      <c r="C41" s="136">
        <f>INDEX(PRECIO!C3:C423, MATCH(A41, PRECIO!A3:A423, 0))</f>
        <v>19</v>
      </c>
      <c r="D41" s="136">
        <f>INDEX(PRECIO!D3:D423, MATCH(A41, PRECIO!A3:A423, 0))</f>
        <v>17</v>
      </c>
      <c r="E41" s="136">
        <f>INDEX(PRECIO!E3:E423, MATCH(A41, PRECIO!A3:A423, 0))</f>
        <v>16</v>
      </c>
      <c r="F41" s="116">
        <f>INDEX(PRECIO!O3:O423, MATCH(A41, PRECIO!A3:A423, 0))</f>
        <v>0</v>
      </c>
    </row>
    <row r="42" spans="1:6" s="117" customFormat="1" x14ac:dyDescent="0.3">
      <c r="A42" s="135">
        <v>80</v>
      </c>
      <c r="B42" s="136" t="str">
        <f>INDEX(PRECIO!B3:B423, MATCH(A42, PRECIO!A3:A423, 0))</f>
        <v>CAMI|PREMIUM|T8XL│ADULTO</v>
      </c>
      <c r="C42" s="136">
        <f>INDEX(PRECIO!C3:C423, MATCH(A42, PRECIO!A3:A423, 0))</f>
        <v>20</v>
      </c>
      <c r="D42" s="136">
        <f>INDEX(PRECIO!D3:D423, MATCH(A42, PRECIO!A3:A423, 0))</f>
        <v>18</v>
      </c>
      <c r="E42" s="136">
        <f>INDEX(PRECIO!E3:E423, MATCH(A42, PRECIO!A3:A423, 0))</f>
        <v>17</v>
      </c>
      <c r="F42" s="116">
        <f>INDEX(PRECIO!O3:O423, MATCH(A42, PRECIO!A3:A423, 0))</f>
        <v>0</v>
      </c>
    </row>
    <row r="43" spans="1:6" s="117" customFormat="1" x14ac:dyDescent="0.3">
      <c r="A43" s="135">
        <v>81</v>
      </c>
      <c r="B43" s="136" t="str">
        <f>INDEX(PRECIO!B3:B423, MATCH(A43, PRECIO!A3:A423, 0))</f>
        <v>CAMI|PREMIUM|T9XL│ADULTO</v>
      </c>
      <c r="C43" s="136">
        <f>INDEX(PRECIO!C3:C423, MATCH(A43, PRECIO!A3:A423, 0))</f>
        <v>21</v>
      </c>
      <c r="D43" s="136">
        <f>INDEX(PRECIO!D3:D423, MATCH(A43, PRECIO!A3:A423, 0))</f>
        <v>19</v>
      </c>
      <c r="E43" s="136">
        <f>INDEX(PRECIO!E3:E423, MATCH(A43, PRECIO!A3:A423, 0))</f>
        <v>18</v>
      </c>
      <c r="F43" s="116">
        <f>INDEX(PRECIO!O3:O423, MATCH(A43, PRECIO!A3:A423, 0))</f>
        <v>0</v>
      </c>
    </row>
    <row r="44" spans="1:6" s="212" customFormat="1" x14ac:dyDescent="0.3">
      <c r="A44" s="196"/>
      <c r="B44" s="198"/>
      <c r="C44" s="198"/>
      <c r="D44" s="198"/>
      <c r="E44" s="198"/>
      <c r="F44" s="198"/>
    </row>
    <row r="45" spans="1:6" s="212" customFormat="1" x14ac:dyDescent="0.3">
      <c r="A45" s="196"/>
      <c r="B45" s="198"/>
      <c r="C45" s="198"/>
      <c r="D45" s="198"/>
      <c r="E45" s="198"/>
      <c r="F45" s="198"/>
    </row>
    <row r="46" spans="1:6" s="212" customFormat="1" x14ac:dyDescent="0.3">
      <c r="A46" s="196"/>
      <c r="B46" s="198"/>
      <c r="C46" s="198"/>
      <c r="D46" s="198"/>
      <c r="E46" s="198"/>
      <c r="F46" s="198"/>
    </row>
    <row r="47" spans="1:6" s="212" customFormat="1" x14ac:dyDescent="0.3">
      <c r="A47" s="196"/>
      <c r="B47" s="198"/>
      <c r="C47" s="198"/>
      <c r="D47" s="198"/>
      <c r="E47" s="198"/>
      <c r="F47" s="198"/>
    </row>
    <row r="48" spans="1:6" s="212" customFormat="1" x14ac:dyDescent="0.3">
      <c r="A48" s="196"/>
      <c r="B48" s="198"/>
      <c r="C48" s="198"/>
      <c r="D48" s="198"/>
      <c r="E48" s="198"/>
      <c r="F48" s="198"/>
    </row>
    <row r="49" spans="1:6" s="212" customFormat="1" x14ac:dyDescent="0.3">
      <c r="A49" s="196"/>
      <c r="B49" s="198"/>
      <c r="C49" s="198"/>
      <c r="D49" s="198"/>
      <c r="E49" s="198"/>
      <c r="F49" s="198"/>
    </row>
    <row r="50" spans="1:6" s="212" customFormat="1" x14ac:dyDescent="0.3">
      <c r="A50" s="196"/>
      <c r="B50" s="198"/>
      <c r="C50" s="198"/>
      <c r="D50" s="198"/>
      <c r="E50" s="198"/>
      <c r="F50" s="198"/>
    </row>
    <row r="51" spans="1:6" s="212" customFormat="1" x14ac:dyDescent="0.3">
      <c r="A51" s="196"/>
      <c r="B51" s="198"/>
      <c r="C51" s="198"/>
      <c r="D51" s="198"/>
      <c r="E51" s="198"/>
      <c r="F51" s="198"/>
    </row>
    <row r="52" spans="1:6" ht="25.8" x14ac:dyDescent="0.3">
      <c r="A52" s="279" t="s">
        <v>1123</v>
      </c>
      <c r="B52" s="279"/>
      <c r="C52" s="279"/>
      <c r="D52" s="279"/>
      <c r="E52" s="279"/>
      <c r="F52" s="118"/>
    </row>
    <row r="53" spans="1:6" x14ac:dyDescent="0.3">
      <c r="A53" s="120" t="str">
        <f>+PRECIO!A2</f>
        <v>COD.</v>
      </c>
      <c r="B53" s="120" t="str">
        <f>+PRECIO!B2</f>
        <v>DESCRIPCION</v>
      </c>
      <c r="C53" s="120" t="str">
        <f>+PRECIO!C2</f>
        <v>UNI</v>
      </c>
      <c r="D53" s="120" t="str">
        <f>+PRECIO!D2</f>
        <v>&gt;12</v>
      </c>
      <c r="E53" s="120" t="str">
        <f>+PRECIO!E2</f>
        <v>&gt;25</v>
      </c>
      <c r="F53" s="134" t="str">
        <f>+PRECIO!O2</f>
        <v>VALOR</v>
      </c>
    </row>
    <row r="54" spans="1:6" x14ac:dyDescent="0.3">
      <c r="A54" s="122">
        <v>495</v>
      </c>
      <c r="B54" s="124" t="str">
        <f>INDEX(PRECIO!$B$3:$B$933, MATCH(A54, PRECIO!$A$3:$A$933, 0))</f>
        <v>CAMI|SPUN|T26-30│NIÑOS</v>
      </c>
      <c r="C54" s="124">
        <f>INDEX(PRECIO!$C$3:$C$933, MATCH(A54, PRECIO!$A$3:$A$933, 0))</f>
        <v>11</v>
      </c>
      <c r="D54" s="124">
        <f>INDEX(PRECIO!$D$3:$D$933, MATCH(A54, PRECIO!$A$3:$A$933, 0))</f>
        <v>8.5</v>
      </c>
      <c r="E54" s="124">
        <f>INDEX(PRECIO!$E$3:$E$933, MATCH(A54, PRECIO!$A$3:$A$933, 0))</f>
        <v>7.5</v>
      </c>
      <c r="F54" s="112">
        <f>INDEX(PRECIO!$O$3:$O$933, MATCH(A54, PRECIO!$A$3:$A$933, 0))</f>
        <v>0</v>
      </c>
    </row>
    <row r="55" spans="1:6" x14ac:dyDescent="0.3">
      <c r="A55" s="122">
        <v>496</v>
      </c>
      <c r="B55" s="124" t="str">
        <f>INDEX(PRECIO!$B$3:$B$933, MATCH(A55, PRECIO!$A$3:$A$933, 0))</f>
        <v>CAMI|SPUN|T32-36│NIÑOS</v>
      </c>
      <c r="C55" s="124">
        <f>INDEX(PRECIO!$C$3:$C$933, MATCH(A55, PRECIO!$A$3:$A$933, 0))</f>
        <v>11</v>
      </c>
      <c r="D55" s="124">
        <f>INDEX(PRECIO!$D$3:$D$933, MATCH(A55, PRECIO!$A$3:$A$933, 0))</f>
        <v>9</v>
      </c>
      <c r="E55" s="124">
        <f>INDEX(PRECIO!$E$3:$E$933, MATCH(A55, PRECIO!$A$3:$A$933, 0))</f>
        <v>8</v>
      </c>
      <c r="F55" s="112">
        <f>INDEX(PRECIO!$O$3:$O$933, MATCH(A55, PRECIO!$A$3:$A$933, 0))</f>
        <v>0</v>
      </c>
    </row>
    <row r="56" spans="1:6" x14ac:dyDescent="0.3">
      <c r="A56" s="125">
        <v>497</v>
      </c>
      <c r="B56" s="127" t="str">
        <f>INDEX(PRECIO!$B$3:$B$933, MATCH(A56, PRECIO!$A$3:$A$933, 0))</f>
        <v>CAMI|SPUN|T38-42│JOV</v>
      </c>
      <c r="C56" s="127">
        <f>INDEX(PRECIO!$C$3:$C$933, MATCH(A56, PRECIO!$A$3:$A$933, 0))</f>
        <v>12</v>
      </c>
      <c r="D56" s="127">
        <f>INDEX(PRECIO!$D$3:$D$933, MATCH(A56, PRECIO!$A$3:$A$933, 0))</f>
        <v>10</v>
      </c>
      <c r="E56" s="127">
        <f>INDEX(PRECIO!$E$3:$E$933, MATCH(A56, PRECIO!$A$3:$A$933, 0))</f>
        <v>9</v>
      </c>
      <c r="F56" s="115">
        <f>INDEX(PRECIO!$O$3:$O$933, MATCH(A56, PRECIO!$A$3:$A$933, 0))</f>
        <v>0</v>
      </c>
    </row>
    <row r="57" spans="1:6" x14ac:dyDescent="0.3">
      <c r="A57" s="210">
        <v>498</v>
      </c>
      <c r="B57" s="211" t="str">
        <f>INDEX(PRECIO!$B$3:$B$933, MATCH(A57, PRECIO!$A$3:$A$933, 0))</f>
        <v>CAMI|SPUN|TXS-XL│ADULTO</v>
      </c>
      <c r="C57" s="211">
        <f>INDEX(PRECIO!$C$3:$C$933, MATCH(A57, PRECIO!$A$3:$A$933, 0))</f>
        <v>13</v>
      </c>
      <c r="D57" s="211">
        <f>INDEX(PRECIO!$D$3:$D$933, MATCH(A57, PRECIO!$A$3:$A$933, 0))</f>
        <v>11</v>
      </c>
      <c r="E57" s="211">
        <f>INDEX(PRECIO!$E$3:$E$933, MATCH(A57, PRECIO!$A$3:$A$933, 0))</f>
        <v>10</v>
      </c>
      <c r="F57" s="209">
        <f>INDEX(PRECIO!$O$3:$O$933, MATCH(A57, PRECIO!$A$3:$A$933, 0))</f>
        <v>6.58</v>
      </c>
    </row>
    <row r="58" spans="1:6" x14ac:dyDescent="0.3">
      <c r="A58" s="210">
        <v>499</v>
      </c>
      <c r="B58" s="211" t="str">
        <f>INDEX(PRECIO!$B$3:$B$933, MATCH(A58, PRECIO!$A$3:$A$933, 0))</f>
        <v>CAMI|SPUN|T2XL│ADULTO</v>
      </c>
      <c r="C58" s="211">
        <f>INDEX(PRECIO!$C$3:$C$933, MATCH(A58, PRECIO!$A$3:$A$933, 0))</f>
        <v>14</v>
      </c>
      <c r="D58" s="211">
        <f>INDEX(PRECIO!$D$3:$D$933, MATCH(A58, PRECIO!$A$3:$A$933, 0))</f>
        <v>12</v>
      </c>
      <c r="E58" s="211">
        <f>INDEX(PRECIO!$E$3:$E$933, MATCH(A58, PRECIO!$A$3:$A$933, 0))</f>
        <v>11</v>
      </c>
      <c r="F58" s="209">
        <f>INDEX(PRECIO!$O$3:$O$933, MATCH(A58, PRECIO!$A$3:$A$933, 0))</f>
        <v>0</v>
      </c>
    </row>
    <row r="59" spans="1:6" x14ac:dyDescent="0.3">
      <c r="A59" s="210">
        <v>500</v>
      </c>
      <c r="B59" s="211" t="str">
        <f>INDEX(PRECIO!$B$3:$B$933, MATCH(A59, PRECIO!$A$3:$A$933, 0))</f>
        <v>CAMI|SPUN|T3XL│ADULTO</v>
      </c>
      <c r="C59" s="211">
        <f>INDEX(PRECIO!$C$3:$C$933, MATCH(A59, PRECIO!$A$3:$A$933, 0))</f>
        <v>15</v>
      </c>
      <c r="D59" s="211">
        <f>INDEX(PRECIO!$D$3:$D$933, MATCH(A59, PRECIO!$A$3:$A$933, 0))</f>
        <v>13</v>
      </c>
      <c r="E59" s="211">
        <f>INDEX(PRECIO!$E$3:$E$933, MATCH(A59, PRECIO!$A$3:$A$933, 0))</f>
        <v>12</v>
      </c>
      <c r="F59" s="209">
        <f>INDEX(PRECIO!$O$3:$O$933, MATCH(A59, PRECIO!$A$3:$A$933, 0))</f>
        <v>0</v>
      </c>
    </row>
    <row r="60" spans="1:6" x14ac:dyDescent="0.3">
      <c r="A60" s="210">
        <v>501</v>
      </c>
      <c r="B60" s="211" t="str">
        <f>INDEX(PRECIO!$B$3:$B$933, MATCH(A60, PRECIO!$A$3:$A$933, 0))</f>
        <v>CAMI|SPUN|T4XL│ADULTO</v>
      </c>
      <c r="C60" s="211">
        <f>INDEX(PRECIO!$C$3:$C$933, MATCH(A60, PRECIO!$A$3:$A$933, 0))</f>
        <v>16</v>
      </c>
      <c r="D60" s="211">
        <f>INDEX(PRECIO!$D$3:$D$933, MATCH(A60, PRECIO!$A$3:$A$933, 0))</f>
        <v>14</v>
      </c>
      <c r="E60" s="211">
        <f>INDEX(PRECIO!$E$3:$E$933, MATCH(A60, PRECIO!$A$3:$A$933, 0))</f>
        <v>13</v>
      </c>
      <c r="F60" s="209">
        <f>INDEX(PRECIO!$O$3:$O$933, MATCH(A60, PRECIO!$A$3:$A$933, 0))</f>
        <v>0</v>
      </c>
    </row>
    <row r="61" spans="1:6" x14ac:dyDescent="0.3">
      <c r="A61" s="210">
        <v>502</v>
      </c>
      <c r="B61" s="211" t="str">
        <f>INDEX(PRECIO!$B$3:$B$933, MATCH(A61, PRECIO!$A$3:$A$933, 0))</f>
        <v>CAMI|SPUN|T5XL│ADULTO</v>
      </c>
      <c r="C61" s="211">
        <f>INDEX(PRECIO!$C$3:$C$933, MATCH(A61, PRECIO!$A$3:$A$933, 0))</f>
        <v>17</v>
      </c>
      <c r="D61" s="211">
        <f>INDEX(PRECIO!$D$3:$D$933, MATCH(A61, PRECIO!$A$3:$A$933, 0))</f>
        <v>15</v>
      </c>
      <c r="E61" s="211">
        <f>INDEX(PRECIO!$E$3:$E$933, MATCH(A61, PRECIO!$A$3:$A$933, 0))</f>
        <v>14</v>
      </c>
      <c r="F61" s="209">
        <f>INDEX(PRECIO!$O$3:$O$933, MATCH(A61, PRECIO!$A$3:$A$933, 0))</f>
        <v>0</v>
      </c>
    </row>
    <row r="62" spans="1:6" x14ac:dyDescent="0.3">
      <c r="A62" s="210">
        <v>503</v>
      </c>
      <c r="B62" s="211" t="str">
        <f>INDEX(PRECIO!$B$3:$B$933, MATCH(A62, PRECIO!$A$3:$A$933, 0))</f>
        <v>CAMI|SPUN|T6XL│ADULTO</v>
      </c>
      <c r="C62" s="211">
        <f>INDEX(PRECIO!$C$3:$C$933, MATCH(A62, PRECIO!$A$3:$A$933, 0))</f>
        <v>18</v>
      </c>
      <c r="D62" s="211">
        <f>INDEX(PRECIO!$D$3:$D$933, MATCH(A62, PRECIO!$A$3:$A$933, 0))</f>
        <v>16</v>
      </c>
      <c r="E62" s="211">
        <f>INDEX(PRECIO!$E$3:$E$933, MATCH(A62, PRECIO!$A$3:$A$933, 0))</f>
        <v>15</v>
      </c>
      <c r="F62" s="209">
        <f>INDEX(PRECIO!$O$3:$O$933, MATCH(A62, PRECIO!$A$3:$A$933, 0))</f>
        <v>0</v>
      </c>
    </row>
    <row r="63" spans="1:6" x14ac:dyDescent="0.3">
      <c r="A63" s="210">
        <v>504</v>
      </c>
      <c r="B63" s="211" t="str">
        <f>INDEX(PRECIO!$B$3:$B$933, MATCH(A63, PRECIO!$A$3:$A$933, 0))</f>
        <v>CAMI|SPUN|T7XL│ADULTO</v>
      </c>
      <c r="C63" s="211">
        <f>INDEX(PRECIO!$C$3:$C$933, MATCH(A63, PRECIO!$A$3:$A$933, 0))</f>
        <v>19</v>
      </c>
      <c r="D63" s="211">
        <f>INDEX(PRECIO!$D$3:$D$933, MATCH(A63, PRECIO!$A$3:$A$933, 0))</f>
        <v>17</v>
      </c>
      <c r="E63" s="211">
        <f>INDEX(PRECIO!$E$3:$E$933, MATCH(A63, PRECIO!$A$3:$A$933, 0))</f>
        <v>16</v>
      </c>
      <c r="F63" s="209">
        <f>INDEX(PRECIO!$O$3:$O$933, MATCH(A63, PRECIO!$A$3:$A$933, 0))</f>
        <v>0</v>
      </c>
    </row>
    <row r="64" spans="1:6" x14ac:dyDescent="0.3">
      <c r="A64" s="210">
        <v>505</v>
      </c>
      <c r="B64" s="211" t="str">
        <f>INDEX(PRECIO!$B$3:$B$933, MATCH(A64, PRECIO!$A$3:$A$933, 0))</f>
        <v>CAMI|SPUN|T8XL│ADULTO</v>
      </c>
      <c r="C64" s="211">
        <f>INDEX(PRECIO!$C$3:$C$933, MATCH(A64, PRECIO!$A$3:$A$933, 0))</f>
        <v>20</v>
      </c>
      <c r="D64" s="211">
        <f>INDEX(PRECIO!$D$3:$D$933, MATCH(A64, PRECIO!$A$3:$A$933, 0))</f>
        <v>18</v>
      </c>
      <c r="E64" s="211">
        <f>INDEX(PRECIO!$E$3:$E$933, MATCH(A64, PRECIO!$A$3:$A$933, 0))</f>
        <v>17</v>
      </c>
      <c r="F64" s="209">
        <f>INDEX(PRECIO!$O$3:$O$933, MATCH(A64, PRECIO!$A$3:$A$933, 0))</f>
        <v>0</v>
      </c>
    </row>
    <row r="65" spans="1:6" x14ac:dyDescent="0.3">
      <c r="A65" s="210">
        <v>506</v>
      </c>
      <c r="B65" s="211" t="str">
        <f>INDEX(PRECIO!$B$3:$B$933, MATCH(A65, PRECIO!$A$3:$A$933, 0))</f>
        <v>CAMI|SPUN|T9XL│ADULTO</v>
      </c>
      <c r="C65" s="211">
        <f>INDEX(PRECIO!$C$3:$C$933, MATCH(A65, PRECIO!$A$3:$A$933, 0))</f>
        <v>21</v>
      </c>
      <c r="D65" s="211">
        <f>INDEX(PRECIO!$D$3:$D$933, MATCH(A65, PRECIO!$A$3:$A$933, 0))</f>
        <v>19</v>
      </c>
      <c r="E65" s="211">
        <f>INDEX(PRECIO!$E$3:$E$933, MATCH(A65, PRECIO!$A$3:$A$933, 0))</f>
        <v>18</v>
      </c>
      <c r="F65" s="209">
        <f>INDEX(PRECIO!$O$3:$O$933, MATCH(A65, PRECIO!$A$3:$A$933, 0))</f>
        <v>0</v>
      </c>
    </row>
  </sheetData>
  <mergeCells count="5">
    <mergeCell ref="A2:E2"/>
    <mergeCell ref="A16:E16"/>
    <mergeCell ref="A30:E30"/>
    <mergeCell ref="A52:E52"/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&amp;L&amp;F&amp;P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B7690-B0A6-4B2A-80CE-2E50AD252E47}">
  <sheetPr codeName="Hoja3"/>
  <dimension ref="A1:F101"/>
  <sheetViews>
    <sheetView view="pageBreakPreview" zoomScale="90" zoomScaleNormal="100" zoomScaleSheetLayoutView="90" workbookViewId="0">
      <pane ySplit="3" topLeftCell="A4" activePane="bottomLeft" state="frozenSplit"/>
      <selection activeCell="I14" sqref="I14"/>
      <selection pane="bottomLeft" activeCell="I10" sqref="I10"/>
    </sheetView>
  </sheetViews>
  <sheetFormatPr baseColWidth="10" defaultRowHeight="14.4" x14ac:dyDescent="0.3"/>
  <cols>
    <col min="1" max="1" width="11.44140625" style="109"/>
    <col min="2" max="2" width="51.88671875" style="110" bestFit="1" customWidth="1"/>
    <col min="3" max="5" width="7.6640625" style="109" customWidth="1"/>
    <col min="6" max="6" width="11.44140625" style="109"/>
  </cols>
  <sheetData>
    <row r="1" spans="1:6" ht="25.8" x14ac:dyDescent="0.3">
      <c r="A1" s="280" t="s">
        <v>1129</v>
      </c>
      <c r="B1" s="280"/>
      <c r="C1" s="280"/>
      <c r="D1" s="280"/>
      <c r="E1" s="280"/>
    </row>
    <row r="2" spans="1:6" ht="29.25" customHeight="1" x14ac:dyDescent="0.3">
      <c r="A2" s="281" t="s">
        <v>1144</v>
      </c>
      <c r="B2" s="281"/>
      <c r="C2" s="281"/>
      <c r="D2" s="281"/>
      <c r="E2" s="281"/>
      <c r="F2" s="119"/>
    </row>
    <row r="3" spans="1:6" x14ac:dyDescent="0.3">
      <c r="A3" s="120" t="str">
        <f>+PRECIO!A2</f>
        <v>COD.</v>
      </c>
      <c r="B3" s="121" t="str">
        <f>+PRECIO!B2</f>
        <v>DESCRIPCION</v>
      </c>
      <c r="C3" s="120" t="str">
        <f>+PRECIO!C2</f>
        <v>UNI</v>
      </c>
      <c r="D3" s="121" t="s">
        <v>1143</v>
      </c>
      <c r="E3" s="120" t="s">
        <v>287</v>
      </c>
      <c r="F3" s="120" t="str">
        <f>+PRECIO!O2</f>
        <v>VALOR</v>
      </c>
    </row>
    <row r="4" spans="1:6" s="36" customFormat="1" x14ac:dyDescent="0.3">
      <c r="A4" s="122">
        <v>299</v>
      </c>
      <c r="B4" s="123" t="str">
        <f>INDEX(PRECIO!B3:B423, MATCH(A4, PRECIO!A3:A423, 0))</f>
        <v>CAMI PUBLICITARIA |ECO|TICKET T26-30│NIÑOS</v>
      </c>
      <c r="C4" s="124">
        <f>INDEX(PRECIO!C3:C423, MATCH(A4, PRECIO!A3:A423, 0))</f>
        <v>0</v>
      </c>
      <c r="D4" s="124">
        <f>INDEX(PRECIO!D3:D423, MATCH(A4, PRECIO!A3:A423, 0))</f>
        <v>4.25</v>
      </c>
      <c r="E4" s="124">
        <f>INDEX(PRECIO!E3:E423, MATCH(A4, PRECIO!A3:A423, 0))</f>
        <v>3.25</v>
      </c>
      <c r="F4" s="124">
        <f>INDEX(PRECIO!O3:O423, MATCH(A4, PRECIO!A3:A423, 0))</f>
        <v>2.59</v>
      </c>
    </row>
    <row r="5" spans="1:6" s="36" customFormat="1" x14ac:dyDescent="0.3">
      <c r="A5" s="122">
        <v>300</v>
      </c>
      <c r="B5" s="123" t="str">
        <f>INDEX(PRECIO!B3:B423, MATCH(A5, PRECIO!A3:A423, 0))</f>
        <v>CAMI PUBLICITARIA |ECO| TICKET T32-36│NIÑOS</v>
      </c>
      <c r="C5" s="124">
        <f>INDEX(PRECIO!C3:C423, MATCH(A5, PRECIO!A3:A423, 0))</f>
        <v>0</v>
      </c>
      <c r="D5" s="124">
        <f>INDEX(PRECIO!D3:D423, MATCH(A5, PRECIO!A3:A423, 0))</f>
        <v>4.5</v>
      </c>
      <c r="E5" s="124">
        <f>INDEX(PRECIO!E3:E423, MATCH(A5, PRECIO!A3:A423, 0))</f>
        <v>3.5</v>
      </c>
      <c r="F5" s="124">
        <f>INDEX(PRECIO!O3:O423, MATCH(A5, PRECIO!A3:A423, 0))</f>
        <v>3.24</v>
      </c>
    </row>
    <row r="6" spans="1:6" s="90" customFormat="1" x14ac:dyDescent="0.3">
      <c r="A6" s="125">
        <v>301</v>
      </c>
      <c r="B6" s="126" t="str">
        <f>INDEX(PRECIO!B3:B423, MATCH(A6, PRECIO!A3:A423, 0))</f>
        <v>CAMI PUBLICITARIA |ECO| TICKET T38-42│NIÑOS</v>
      </c>
      <c r="C6" s="127">
        <f>INDEX(PRECIO!C3:C423, MATCH(A6, PRECIO!A3:A423, 0))</f>
        <v>0</v>
      </c>
      <c r="D6" s="127">
        <f>INDEX(PRECIO!D3:D423, MATCH(A6, PRECIO!A3:A423, 0))</f>
        <v>5</v>
      </c>
      <c r="E6" s="127">
        <f>INDEX(PRECIO!E3:E423, MATCH(A6, PRECIO!A3:A423, 0))</f>
        <v>4</v>
      </c>
      <c r="F6" s="127">
        <f>INDEX(PRECIO!O3:O423, MATCH(A6, PRECIO!A3:A423, 0))</f>
        <v>0</v>
      </c>
    </row>
    <row r="7" spans="1:6" x14ac:dyDescent="0.3">
      <c r="A7" s="128">
        <v>176</v>
      </c>
      <c r="B7" s="129" t="str">
        <f>INDEX(PRECIO!B3:B423, MATCH(A7, PRECIO!A3:A423, 0))</f>
        <v>CAMI PUBLICITARIA |ECO| TICKET TS-XL│ADULTO</v>
      </c>
      <c r="C7" s="130">
        <f>INDEX(PRECIO!C3:C423, MATCH(A7, PRECIO!A3:A423, 0))</f>
        <v>0</v>
      </c>
      <c r="D7" s="130">
        <f>INDEX(PRECIO!D3:D423, MATCH(A7, PRECIO!A3:A423, 0))</f>
        <v>6</v>
      </c>
      <c r="E7" s="130">
        <f>INDEX(PRECIO!E3:E423, MATCH(A7, PRECIO!A3:A423, 0))</f>
        <v>5</v>
      </c>
      <c r="F7" s="130">
        <f>INDEX(PRECIO!O3:O423, MATCH(A7, PRECIO!A3:A423, 0))</f>
        <v>3.91</v>
      </c>
    </row>
    <row r="8" spans="1:6" x14ac:dyDescent="0.3">
      <c r="A8" s="128">
        <v>298</v>
      </c>
      <c r="B8" s="129" t="str">
        <f>INDEX(PRECIO!B3:B423, MATCH(A8, PRECIO!A3:A423, 0))</f>
        <v>CAMI PUBLICITARIA ||ECO|COLOR | TICKET TS-XL│ADULTO</v>
      </c>
      <c r="C8" s="130">
        <f>INDEX(PRECIO!C3:C423, MATCH(A8, PRECIO!A3:A423, 0))</f>
        <v>0</v>
      </c>
      <c r="D8" s="130">
        <f>INDEX(PRECIO!D3:D423, MATCH(A8, PRECIO!A3:A423, 0))</f>
        <v>7</v>
      </c>
      <c r="E8" s="130">
        <f>INDEX(PRECIO!E3:E423, MATCH(A8, PRECIO!A3:A423, 0))</f>
        <v>6</v>
      </c>
      <c r="F8" s="130">
        <f>INDEX(PRECIO!O3:O423, MATCH(A8, PRECIO!A3:A423, 0))</f>
        <v>2.59</v>
      </c>
    </row>
    <row r="9" spans="1:6" x14ac:dyDescent="0.3">
      <c r="A9" s="131"/>
      <c r="B9" s="132"/>
      <c r="C9" s="133"/>
      <c r="D9" s="133"/>
      <c r="E9" s="133"/>
      <c r="F9" s="133"/>
    </row>
    <row r="10" spans="1:6" ht="25.8" x14ac:dyDescent="0.3">
      <c r="A10" s="277" t="s">
        <v>314</v>
      </c>
      <c r="B10" s="277"/>
      <c r="C10" s="277"/>
      <c r="D10" s="277"/>
      <c r="E10" s="277"/>
      <c r="F10" s="133"/>
    </row>
    <row r="11" spans="1:6" x14ac:dyDescent="0.3">
      <c r="A11" s="120" t="str">
        <f>+PRECIO!A2</f>
        <v>COD.</v>
      </c>
      <c r="B11" s="120" t="str">
        <f>+PRECIO!B2</f>
        <v>DESCRIPCION</v>
      </c>
      <c r="C11" s="120" t="str">
        <f>+PRECIO!C2</f>
        <v>UNI</v>
      </c>
      <c r="D11" s="120" t="str">
        <f>+PRECIO!D2</f>
        <v>&gt;12</v>
      </c>
      <c r="E11" s="120" t="str">
        <f>+PRECIO!E2</f>
        <v>&gt;25</v>
      </c>
      <c r="F11" s="134" t="str">
        <f>+PRECIO!O2</f>
        <v>VALOR</v>
      </c>
    </row>
    <row r="12" spans="1:6" s="36" customFormat="1" x14ac:dyDescent="0.3">
      <c r="A12" s="122">
        <v>165</v>
      </c>
      <c r="B12" s="123" t="str">
        <f>INDEX(PRECIO!B3:B423, MATCH(A12, PRECIO!A3:A423, 0))</f>
        <v>CAMISETA CAMPAÑA T/UNICA|X 1000</v>
      </c>
      <c r="C12" s="124">
        <f>INDEX(PRECIO!C3:C423, MATCH(A12, PRECIO!A3:A423, 0))</f>
        <v>3</v>
      </c>
      <c r="D12" s="124">
        <f>INDEX(PRECIO!D3:D423, MATCH(A12, PRECIO!A3:A423, 0))</f>
        <v>2.5</v>
      </c>
      <c r="E12" s="124">
        <f>INDEX(PRECIO!E3:E423, MATCH(A12, PRECIO!A3:A423, 0))</f>
        <v>1.9</v>
      </c>
      <c r="F12" s="124">
        <f>INDEX(PRECIO!O3:O423, MATCH(A12, PRECIO!A3:A423, 0))</f>
        <v>0</v>
      </c>
    </row>
    <row r="13" spans="1:6" x14ac:dyDescent="0.3">
      <c r="A13" s="131"/>
      <c r="B13" s="132"/>
      <c r="C13" s="133"/>
      <c r="D13" s="133"/>
      <c r="E13" s="133"/>
      <c r="F13" s="133"/>
    </row>
    <row r="14" spans="1:6" ht="25.8" x14ac:dyDescent="0.3">
      <c r="A14" s="277" t="s">
        <v>289</v>
      </c>
      <c r="B14" s="277"/>
      <c r="C14" s="277"/>
      <c r="D14" s="277"/>
      <c r="E14" s="277"/>
      <c r="F14" s="119"/>
    </row>
    <row r="15" spans="1:6" x14ac:dyDescent="0.3">
      <c r="A15" s="120" t="str">
        <f>+PRECIO!A2</f>
        <v>COD.</v>
      </c>
      <c r="B15" s="120" t="str">
        <f>+PRECIO!B2</f>
        <v>DESCRIPCION</v>
      </c>
      <c r="C15" s="120" t="str">
        <f>+PRECIO!C2</f>
        <v>UNI</v>
      </c>
      <c r="D15" s="120" t="s">
        <v>1140</v>
      </c>
      <c r="E15" s="120" t="s">
        <v>285</v>
      </c>
      <c r="F15" s="134" t="str">
        <f>+PRECIO!O2</f>
        <v>VALOR</v>
      </c>
    </row>
    <row r="16" spans="1:6" x14ac:dyDescent="0.3">
      <c r="A16" s="122">
        <v>396</v>
      </c>
      <c r="B16" s="123" t="str">
        <f>INDEX(PRECIO!B3:B423, MATCH(A16, PRECIO!A3:A423, 0))</f>
        <v>CAMI PERSON|SPUN|T26-30|SUBLI</v>
      </c>
      <c r="C16" s="124">
        <f>INDEX(PRECIO!C3:C423, MATCH(A16, PRECIO!A3:A423, 0))</f>
        <v>11.5</v>
      </c>
      <c r="D16" s="124">
        <f>INDEX(PRECIO!D3:D423, MATCH(A16, PRECIO!A3:A423, 0))</f>
        <v>9.5</v>
      </c>
      <c r="E16" s="124">
        <f>INDEX(PRECIO!E3:E423, MATCH(A16, PRECIO!A3:A423, 0))</f>
        <v>8.5</v>
      </c>
      <c r="F16" s="124">
        <f>INDEX(PRECIO!O3:O423, MATCH(A16, PRECIO!A3:A423, 0))</f>
        <v>0</v>
      </c>
    </row>
    <row r="17" spans="1:6" x14ac:dyDescent="0.3">
      <c r="A17" s="122">
        <v>397</v>
      </c>
      <c r="B17" s="123" t="str">
        <f>INDEX(PRECIO!B3:B423, MATCH(A17, PRECIO!A3:A423, 0))</f>
        <v>CAMI PERSON|SPUN|T32-36|SUBLI</v>
      </c>
      <c r="C17" s="124">
        <f>INDEX(PRECIO!C3:C423, MATCH(A17, PRECIO!A3:A423, 0))</f>
        <v>12</v>
      </c>
      <c r="D17" s="124">
        <f>INDEX(PRECIO!D3:D423, MATCH(A17, PRECIO!A3:A423, 0))</f>
        <v>10</v>
      </c>
      <c r="E17" s="124">
        <f>INDEX(PRECIO!E3:E423, MATCH(A17, PRECIO!A3:A423, 0))</f>
        <v>9</v>
      </c>
      <c r="F17" s="124">
        <f>INDEX(PRECIO!O3:O423, MATCH(A17, PRECIO!A3:A423, 0))</f>
        <v>0</v>
      </c>
    </row>
    <row r="18" spans="1:6" x14ac:dyDescent="0.3">
      <c r="A18" s="125">
        <v>398</v>
      </c>
      <c r="B18" s="126" t="str">
        <f>INDEX(PRECIO!B3:B423, MATCH(A18, PRECIO!A3:A423, 0))</f>
        <v>CAMI PERSON|SPUN|T38-42|SUBLI</v>
      </c>
      <c r="C18" s="127">
        <f>INDEX(PRECIO!C3:C423, MATCH(A18, PRECIO!A3:A423, 0))</f>
        <v>13</v>
      </c>
      <c r="D18" s="127">
        <f>INDEX(PRECIO!D3:D423, MATCH(A18, PRECIO!A3:A423, 0))</f>
        <v>11</v>
      </c>
      <c r="E18" s="127">
        <f>INDEX(PRECIO!E3:E423, MATCH(A18, PRECIO!A3:A423, 0))</f>
        <v>10</v>
      </c>
      <c r="F18" s="127">
        <f>INDEX(PRECIO!O3:O423, MATCH(A18, PRECIO!A3:A423, 0))</f>
        <v>0</v>
      </c>
    </row>
    <row r="19" spans="1:6" x14ac:dyDescent="0.3">
      <c r="A19" s="128">
        <v>351</v>
      </c>
      <c r="B19" s="129" t="str">
        <f>INDEX(PRECIO!B3:B423, MATCH(A19, PRECIO!A3:A423, 0))</f>
        <v>CAMI PERSON|SPUN|TXS-XL|SUBLI</v>
      </c>
      <c r="C19" s="130">
        <f>INDEX(PRECIO!C3:C423, MATCH(A19, PRECIO!A3:A423, 0))</f>
        <v>14</v>
      </c>
      <c r="D19" s="130">
        <f>INDEX(PRECIO!D3:D423, MATCH(A19, PRECIO!A3:A423, 0))</f>
        <v>12</v>
      </c>
      <c r="E19" s="130">
        <f>INDEX(PRECIO!E3:E423, MATCH(A19, PRECIO!A3:A423, 0))</f>
        <v>11</v>
      </c>
      <c r="F19" s="130">
        <f>INDEX(PRECIO!O3:O423, MATCH(A19, PRECIO!A3:A423, 0))</f>
        <v>0</v>
      </c>
    </row>
    <row r="20" spans="1:6" x14ac:dyDescent="0.3">
      <c r="A20" s="128">
        <v>352</v>
      </c>
      <c r="B20" s="129" t="str">
        <f>INDEX(PRECIO!B3:B423, MATCH(A20, PRECIO!A3:A423, 0))</f>
        <v>CAMI PERSON|SPUN|T2XL|SUBLI</v>
      </c>
      <c r="C20" s="130">
        <f>INDEX(PRECIO!C3:C423, MATCH(A20, PRECIO!A3:A423, 0))</f>
        <v>15</v>
      </c>
      <c r="D20" s="130">
        <f>INDEX(PRECIO!D3:D423, MATCH(A20, PRECIO!A3:A423, 0))</f>
        <v>13</v>
      </c>
      <c r="E20" s="130">
        <f>INDEX(PRECIO!E3:E423, MATCH(A20, PRECIO!A3:A423, 0))</f>
        <v>12</v>
      </c>
      <c r="F20" s="130">
        <f>INDEX(PRECIO!O3:O423, MATCH(A20, PRECIO!A3:A423, 0))</f>
        <v>0</v>
      </c>
    </row>
    <row r="21" spans="1:6" x14ac:dyDescent="0.3">
      <c r="A21" s="128">
        <v>353</v>
      </c>
      <c r="B21" s="129" t="str">
        <f>INDEX(PRECIO!B3:B423, MATCH(A21, PRECIO!A3:A423, 0))</f>
        <v>CAMI PERSON|SPUN|T3XL|SUBLI</v>
      </c>
      <c r="C21" s="130">
        <f>INDEX(PRECIO!C3:C423, MATCH(A21, PRECIO!A3:A423, 0))</f>
        <v>16</v>
      </c>
      <c r="D21" s="130">
        <f>INDEX(PRECIO!D3:D423, MATCH(A21, PRECIO!A3:A423, 0))</f>
        <v>14</v>
      </c>
      <c r="E21" s="130">
        <f>INDEX(PRECIO!E3:E423, MATCH(A21, PRECIO!A3:A423, 0))</f>
        <v>13</v>
      </c>
      <c r="F21" s="130">
        <f>INDEX(PRECIO!O3:O423, MATCH(A21, PRECIO!A3:A423, 0))</f>
        <v>0</v>
      </c>
    </row>
    <row r="22" spans="1:6" x14ac:dyDescent="0.3">
      <c r="A22" s="128">
        <v>354</v>
      </c>
      <c r="B22" s="129" t="str">
        <f>INDEX(PRECIO!B3:B423, MATCH(A22, PRECIO!A3:A423, 0))</f>
        <v>CAMI PERSON|SPUN|T4XL|SUBLI</v>
      </c>
      <c r="C22" s="130">
        <f>INDEX(PRECIO!C3:C423, MATCH(A22, PRECIO!A3:A423, 0))</f>
        <v>17</v>
      </c>
      <c r="D22" s="130">
        <f>INDEX(PRECIO!D3:D423, MATCH(A22, PRECIO!A3:A423, 0))</f>
        <v>15</v>
      </c>
      <c r="E22" s="130">
        <f>INDEX(PRECIO!E3:E423, MATCH(A22, PRECIO!A3:A423, 0))</f>
        <v>14</v>
      </c>
      <c r="F22" s="130">
        <f>INDEX(PRECIO!O3:O423, MATCH(A22, PRECIO!A3:A423, 0))</f>
        <v>0</v>
      </c>
    </row>
    <row r="23" spans="1:6" x14ac:dyDescent="0.3">
      <c r="A23" s="128">
        <v>355</v>
      </c>
      <c r="B23" s="129" t="str">
        <f>INDEX(PRECIO!B3:B423, MATCH(A23, PRECIO!A3:A423, 0))</f>
        <v>CAMI PERSON|SPUN|T5XL|SUBLI</v>
      </c>
      <c r="C23" s="130">
        <f>INDEX(PRECIO!C3:C423, MATCH(A23, PRECIO!A3:A423, 0))</f>
        <v>18</v>
      </c>
      <c r="D23" s="130">
        <f>INDEX(PRECIO!D3:D423, MATCH(A23, PRECIO!A3:A423, 0))</f>
        <v>16</v>
      </c>
      <c r="E23" s="130">
        <f>INDEX(PRECIO!E3:E423, MATCH(A23, PRECIO!A3:A423, 0))</f>
        <v>15</v>
      </c>
      <c r="F23" s="130">
        <f>INDEX(PRECIO!O3:O423, MATCH(A23, PRECIO!A3:A423, 0))</f>
        <v>0</v>
      </c>
    </row>
    <row r="24" spans="1:6" x14ac:dyDescent="0.3">
      <c r="A24" s="128">
        <v>356</v>
      </c>
      <c r="B24" s="129" t="str">
        <f>INDEX(PRECIO!B3:B423, MATCH(A24, PRECIO!A3:A423, 0))</f>
        <v>CAMI PERSON|SPUN|T6XL|SUBLI</v>
      </c>
      <c r="C24" s="130">
        <f>INDEX(PRECIO!C3:C423, MATCH(A24, PRECIO!A3:A423, 0))</f>
        <v>19</v>
      </c>
      <c r="D24" s="130">
        <f>INDEX(PRECIO!D3:D423, MATCH(A24, PRECIO!A3:A423, 0))</f>
        <v>17</v>
      </c>
      <c r="E24" s="130">
        <f>INDEX(PRECIO!E3:E423, MATCH(A24, PRECIO!A3:A423, 0))</f>
        <v>16</v>
      </c>
      <c r="F24" s="130">
        <f>INDEX(PRECIO!O3:O423, MATCH(A24, PRECIO!A3:A423, 0))</f>
        <v>0</v>
      </c>
    </row>
    <row r="25" spans="1:6" x14ac:dyDescent="0.3">
      <c r="A25" s="128">
        <v>357</v>
      </c>
      <c r="B25" s="129" t="str">
        <f>INDEX(PRECIO!B3:B423, MATCH(A25, PRECIO!A3:A423, 0))</f>
        <v>CAMI PERSON|SPUN|T7XL|SUBLI</v>
      </c>
      <c r="C25" s="130">
        <f>INDEX(PRECIO!C3:C423, MATCH(A25, PRECIO!A3:A423, 0))</f>
        <v>20</v>
      </c>
      <c r="D25" s="130">
        <f>INDEX(PRECIO!D3:D423, MATCH(A25, PRECIO!A3:A423, 0))</f>
        <v>18</v>
      </c>
      <c r="E25" s="130">
        <f>INDEX(PRECIO!E3:E423, MATCH(A25, PRECIO!A3:A423, 0))</f>
        <v>17</v>
      </c>
      <c r="F25" s="130">
        <f>INDEX(PRECIO!O3:O423, MATCH(A25, PRECIO!A3:A423, 0))</f>
        <v>0</v>
      </c>
    </row>
    <row r="26" spans="1:6" x14ac:dyDescent="0.3">
      <c r="A26" s="128">
        <v>358</v>
      </c>
      <c r="B26" s="129" t="str">
        <f>INDEX(PRECIO!B3:B423, MATCH(A26, PRECIO!A3:A423, 0))</f>
        <v>CAMI PERSON|SPUN|T8XL|SUBLI</v>
      </c>
      <c r="C26" s="130">
        <f>INDEX(PRECIO!C3:C423, MATCH(A26, PRECIO!A3:A423, 0))</f>
        <v>21</v>
      </c>
      <c r="D26" s="130">
        <f>INDEX(PRECIO!D3:D423, MATCH(A26, PRECIO!A3:A423, 0))</f>
        <v>19</v>
      </c>
      <c r="E26" s="130">
        <f>INDEX(PRECIO!E3:E423, MATCH(A26, PRECIO!A3:A423, 0))</f>
        <v>18</v>
      </c>
      <c r="F26" s="130">
        <f>INDEX(PRECIO!O3:O423, MATCH(A26, PRECIO!A3:A423, 0))</f>
        <v>0</v>
      </c>
    </row>
    <row r="27" spans="1:6" x14ac:dyDescent="0.3">
      <c r="A27" s="128">
        <v>359</v>
      </c>
      <c r="B27" s="129" t="str">
        <f>INDEX(PRECIO!B3:B423, MATCH(A27, PRECIO!A3:A423, 0))</f>
        <v>CAMI PERSON|SPUN|T9XL|SUBLI</v>
      </c>
      <c r="C27" s="130">
        <f>INDEX(PRECIO!C3:C423, MATCH(A27, PRECIO!A3:A423, 0))</f>
        <v>22</v>
      </c>
      <c r="D27" s="130">
        <f>INDEX(PRECIO!D3:D423, MATCH(A27, PRECIO!A3:A423, 0))</f>
        <v>20</v>
      </c>
      <c r="E27" s="130">
        <f>INDEX(PRECIO!E3:E423, MATCH(A27, PRECIO!A3:A423, 0))</f>
        <v>19</v>
      </c>
      <c r="F27" s="130">
        <f>INDEX(PRECIO!O3:O423, MATCH(A27, PRECIO!A3:A423, 0))</f>
        <v>0</v>
      </c>
    </row>
    <row r="28" spans="1:6" ht="26.25" customHeight="1" x14ac:dyDescent="0.3">
      <c r="A28" s="277" t="s">
        <v>286</v>
      </c>
      <c r="B28" s="277"/>
      <c r="C28" s="277"/>
      <c r="D28" s="277"/>
      <c r="E28" s="277"/>
      <c r="F28" s="133"/>
    </row>
    <row r="29" spans="1:6" x14ac:dyDescent="0.3">
      <c r="A29" s="120" t="str">
        <f>+PRECIO!A2</f>
        <v>COD.</v>
      </c>
      <c r="B29" s="121" t="str">
        <f>+PRECIO!B2</f>
        <v>DESCRIPCION</v>
      </c>
      <c r="C29" s="120" t="str">
        <f>+PRECIO!C2</f>
        <v>UNI</v>
      </c>
      <c r="D29" s="120" t="s">
        <v>1140</v>
      </c>
      <c r="E29" s="120" t="s">
        <v>285</v>
      </c>
      <c r="F29" s="134" t="str">
        <f>+PRECIO!O2</f>
        <v>VALOR</v>
      </c>
    </row>
    <row r="30" spans="1:6" x14ac:dyDescent="0.3">
      <c r="A30" s="122">
        <v>399</v>
      </c>
      <c r="B30" s="123" t="str">
        <f>INDEX(PRECIO!$B$3:$B$1000, MATCH(A30, PRECIO!$A$3:$A$1000, 0))</f>
        <v>CAMI PERSON|DEPOR|T26-30|SUBLI</v>
      </c>
      <c r="C30" s="124">
        <f>INDEX(PRECIO!$C$3:$C$1000, MATCH(A30, PRECIO!$A$3:$A$1000, 0))</f>
        <v>10.5</v>
      </c>
      <c r="D30" s="124">
        <f>INDEX(PRECIO!$D$3:$D$1000, MATCH(A30, PRECIO!$A$3:$A$1000, 0))</f>
        <v>8.5</v>
      </c>
      <c r="E30" s="124">
        <f>INDEX(PRECIO!$E$3:$E$1000, MATCH(A30, PRECIO!$A$3:$A$1000, 0))</f>
        <v>7.5</v>
      </c>
      <c r="F30" s="115">
        <f>INDEX(PRECIO!$O$3:$O$1000, MATCH(A30, PRECIO!$A$3:$A$1000, 0))</f>
        <v>0</v>
      </c>
    </row>
    <row r="31" spans="1:6" x14ac:dyDescent="0.3">
      <c r="A31" s="122">
        <v>400</v>
      </c>
      <c r="B31" s="123" t="str">
        <f>INDEX(PRECIO!$B$3:$B$1000, MATCH(A31, PRECIO!$A$3:$A$1000, 0))</f>
        <v>CAMI PERSON|DEPOR|T32-36|SUBLI</v>
      </c>
      <c r="C31" s="124">
        <f>INDEX(PRECIO!$C$3:$C$1000, MATCH(A31, PRECIO!$A$3:$A$1000, 0))</f>
        <v>11</v>
      </c>
      <c r="D31" s="124">
        <f>INDEX(PRECIO!$D$3:$D$1000, MATCH(A31, PRECIO!$A$3:$A$1000, 0))</f>
        <v>9</v>
      </c>
      <c r="E31" s="124">
        <f>INDEX(PRECIO!$E$3:$E$1000, MATCH(A31, PRECIO!$A$3:$A$1000, 0))</f>
        <v>8</v>
      </c>
      <c r="F31" s="112">
        <f>INDEX(PRECIO!$O$3:$O$1000, MATCH(A31, PRECIO!$A$3:$A$1000, 0))</f>
        <v>0</v>
      </c>
    </row>
    <row r="32" spans="1:6" x14ac:dyDescent="0.3">
      <c r="A32" s="125">
        <v>401</v>
      </c>
      <c r="B32" s="126" t="str">
        <f>INDEX(PRECIO!$B$3:$B$1000, MATCH(A32, PRECIO!$A$3:$A$1000, 0))</f>
        <v>CAMI PERSON|DEPOR|T38-42|SUBLI</v>
      </c>
      <c r="C32" s="127">
        <f>INDEX(PRECIO!$C$3:$C$1000, MATCH(A32, PRECIO!$A$3:$A$1000, 0))</f>
        <v>12</v>
      </c>
      <c r="D32" s="127">
        <f>INDEX(PRECIO!$D$3:$D$1000, MATCH(A32, PRECIO!$A$3:$A$1000, 0))</f>
        <v>10</v>
      </c>
      <c r="E32" s="127">
        <f>INDEX(PRECIO!$E$3:$E$1000, MATCH(A32, PRECIO!$A$3:$A$1000, 0))</f>
        <v>9</v>
      </c>
      <c r="F32" s="112">
        <f>INDEX(PRECIO!$O$3:$O$1000, MATCH(A32, PRECIO!$A$3:$A$1000, 0))</f>
        <v>0</v>
      </c>
    </row>
    <row r="33" spans="1:6" x14ac:dyDescent="0.3">
      <c r="A33" s="131">
        <v>378</v>
      </c>
      <c r="B33" s="132" t="str">
        <f>INDEX(PRECIO!$B$3:$B$1000, MATCH(A33, PRECIO!$A$3:$A$1000, 0))</f>
        <v>CAMI PERSON|DEPOR|TXS-XL|SUBLI</v>
      </c>
      <c r="C33" s="133">
        <f>INDEX(PRECIO!$C$3:$C$1000, MATCH(A33, PRECIO!$A$3:$A$1000, 0))</f>
        <v>13</v>
      </c>
      <c r="D33" s="133">
        <f>INDEX(PRECIO!$D$3:$D$1000, MATCH(A33, PRECIO!$A$3:$A$1000, 0))</f>
        <v>11</v>
      </c>
      <c r="E33" s="133">
        <f>INDEX(PRECIO!$E$3:$E$1000, MATCH(A33, PRECIO!$A$3:$A$1000, 0))</f>
        <v>10</v>
      </c>
      <c r="F33" s="109">
        <f>INDEX(PRECIO!$O$3:$O$1000, MATCH(A33, PRECIO!$A$3:$A$1000, 0))</f>
        <v>3.91</v>
      </c>
    </row>
    <row r="34" spans="1:6" x14ac:dyDescent="0.3">
      <c r="A34" s="131">
        <v>379</v>
      </c>
      <c r="B34" s="132" t="str">
        <f>INDEX(PRECIO!$B$3:$B$1000, MATCH(A34, PRECIO!$A$3:$A$1000, 0))</f>
        <v>CAMI PERSON|DEPOR|T2XL|SUBLI</v>
      </c>
      <c r="C34" s="133">
        <f>INDEX(PRECIO!$C$3:$C$1000, MATCH(A34, PRECIO!$A$3:$A$1000, 0))</f>
        <v>14</v>
      </c>
      <c r="D34" s="133">
        <f>INDEX(PRECIO!$D$3:$D$1000, MATCH(A34, PRECIO!$A$3:$A$1000, 0))</f>
        <v>12</v>
      </c>
      <c r="E34" s="133">
        <f>INDEX(PRECIO!$E$3:$E$1000, MATCH(A34, PRECIO!$A$3:$A$1000, 0))</f>
        <v>11</v>
      </c>
      <c r="F34" s="109">
        <f>INDEX(PRECIO!$O$3:$O$1000, MATCH(A34, PRECIO!$A$3:$A$1000, 0))</f>
        <v>0</v>
      </c>
    </row>
    <row r="35" spans="1:6" x14ac:dyDescent="0.3">
      <c r="A35" s="131">
        <v>380</v>
      </c>
      <c r="B35" s="132" t="str">
        <f>INDEX(PRECIO!$B$3:$B$1000, MATCH(A35, PRECIO!$A$3:$A$1000, 0))</f>
        <v>CAMI PERSON|DEPOR|T3XL|SUBLI</v>
      </c>
      <c r="C35" s="133">
        <f>INDEX(PRECIO!$C$3:$C$1000, MATCH(A35, PRECIO!$A$3:$A$1000, 0))</f>
        <v>15</v>
      </c>
      <c r="D35" s="133">
        <f>INDEX(PRECIO!$D$3:$D$1000, MATCH(A35, PRECIO!$A$3:$A$1000, 0))</f>
        <v>13</v>
      </c>
      <c r="E35" s="133">
        <f>INDEX(PRECIO!$E$3:$E$1000, MATCH(A35, PRECIO!$A$3:$A$1000, 0))</f>
        <v>12</v>
      </c>
      <c r="F35" s="109">
        <f>INDEX(PRECIO!$O$3:$O$1000, MATCH(A35, PRECIO!$A$3:$A$1000, 0))</f>
        <v>0</v>
      </c>
    </row>
    <row r="36" spans="1:6" x14ac:dyDescent="0.3">
      <c r="A36" s="131">
        <v>381</v>
      </c>
      <c r="B36" s="132" t="str">
        <f>INDEX(PRECIO!$B$3:$B$1000, MATCH(A36, PRECIO!$A$3:$A$1000, 0))</f>
        <v>CAMI PERSON|DEPOR|T4XL|SUBLI</v>
      </c>
      <c r="C36" s="133">
        <f>INDEX(PRECIO!$C$3:$C$1000, MATCH(A36, PRECIO!$A$3:$A$1000, 0))</f>
        <v>16</v>
      </c>
      <c r="D36" s="133">
        <f>INDEX(PRECIO!$D$3:$D$1000, MATCH(A36, PRECIO!$A$3:$A$1000, 0))</f>
        <v>14</v>
      </c>
      <c r="E36" s="133">
        <f>INDEX(PRECIO!$E$3:$E$1000, MATCH(A36, PRECIO!$A$3:$A$1000, 0))</f>
        <v>13</v>
      </c>
      <c r="F36" s="109">
        <f>INDEX(PRECIO!$O$3:$O$1000, MATCH(A36, PRECIO!$A$3:$A$1000, 0))</f>
        <v>0</v>
      </c>
    </row>
    <row r="37" spans="1:6" x14ac:dyDescent="0.3">
      <c r="A37" s="131">
        <v>382</v>
      </c>
      <c r="B37" s="132" t="str">
        <f>INDEX(PRECIO!$B$3:$B$1000, MATCH(A37, PRECIO!$A$3:$A$1000, 0))</f>
        <v>CAMI PERSON|DEPOR|T5XL|SUBLI</v>
      </c>
      <c r="C37" s="133">
        <f>INDEX(PRECIO!$C$3:$C$1000, MATCH(A37, PRECIO!$A$3:$A$1000, 0))</f>
        <v>17</v>
      </c>
      <c r="D37" s="133">
        <f>INDEX(PRECIO!$D$3:$D$1000, MATCH(A37, PRECIO!$A$3:$A$1000, 0))</f>
        <v>15</v>
      </c>
      <c r="E37" s="133">
        <f>INDEX(PRECIO!$E$3:$E$1000, MATCH(A37, PRECIO!$A$3:$A$1000, 0))</f>
        <v>14</v>
      </c>
      <c r="F37" s="109">
        <f>INDEX(PRECIO!$O$3:$O$1000, MATCH(A37, PRECIO!$A$3:$A$1000, 0))</f>
        <v>0</v>
      </c>
    </row>
    <row r="38" spans="1:6" x14ac:dyDescent="0.3">
      <c r="A38" s="131">
        <v>383</v>
      </c>
      <c r="B38" s="132" t="str">
        <f>INDEX(PRECIO!$B$3:$B$1000, MATCH(A38, PRECIO!$A$3:$A$1000, 0))</f>
        <v>CAMI PERSON|DEPOR|T6XL|SUBLI</v>
      </c>
      <c r="C38" s="133">
        <f>INDEX(PRECIO!$C$3:$C$1000, MATCH(A38, PRECIO!$A$3:$A$1000, 0))</f>
        <v>18</v>
      </c>
      <c r="D38" s="133">
        <f>INDEX(PRECIO!$D$3:$D$1000, MATCH(A38, PRECIO!$A$3:$A$1000, 0))</f>
        <v>16</v>
      </c>
      <c r="E38" s="133">
        <f>INDEX(PRECIO!$E$3:$E$1000, MATCH(A38, PRECIO!$A$3:$A$1000, 0))</f>
        <v>15</v>
      </c>
      <c r="F38" s="109">
        <f>INDEX(PRECIO!$O$3:$O$1000, MATCH(A38, PRECIO!$A$3:$A$1000, 0))</f>
        <v>0</v>
      </c>
    </row>
    <row r="39" spans="1:6" x14ac:dyDescent="0.3">
      <c r="A39" s="131">
        <v>384</v>
      </c>
      <c r="B39" s="132" t="str">
        <f>INDEX(PRECIO!$B$3:$B$1000, MATCH(A39, PRECIO!$A$3:$A$1000, 0))</f>
        <v>CAMI PERSON|DEPOR|T7XL|SUBLI</v>
      </c>
      <c r="C39" s="133">
        <f>INDEX(PRECIO!$C$3:$C$1000, MATCH(A39, PRECIO!$A$3:$A$1000, 0))</f>
        <v>19</v>
      </c>
      <c r="D39" s="133">
        <f>INDEX(PRECIO!$D$3:$D$1000, MATCH(A39, PRECIO!$A$3:$A$1000, 0))</f>
        <v>17</v>
      </c>
      <c r="E39" s="133">
        <f>INDEX(PRECIO!$E$3:$E$1000, MATCH(A39, PRECIO!$A$3:$A$1000, 0))</f>
        <v>16</v>
      </c>
      <c r="F39" s="109">
        <f>INDEX(PRECIO!$O$3:$O$1000, MATCH(A39, PRECIO!$A$3:$A$1000, 0))</f>
        <v>0</v>
      </c>
    </row>
    <row r="40" spans="1:6" x14ac:dyDescent="0.3">
      <c r="A40" s="131">
        <v>385</v>
      </c>
      <c r="B40" s="132" t="str">
        <f>INDEX(PRECIO!$B$3:$B$1000, MATCH(A40, PRECIO!$A$3:$A$1000, 0))</f>
        <v>CAMI PERSON|DEPOR|T8XL|SUBLI</v>
      </c>
      <c r="C40" s="133">
        <f>INDEX(PRECIO!$C$3:$C$1000, MATCH(A40, PRECIO!$A$3:$A$1000, 0))</f>
        <v>20</v>
      </c>
      <c r="D40" s="133">
        <f>INDEX(PRECIO!$D$3:$D$1000, MATCH(A40, PRECIO!$A$3:$A$1000, 0))</f>
        <v>18</v>
      </c>
      <c r="E40" s="133">
        <f>INDEX(PRECIO!$E$3:$E$1000, MATCH(A40, PRECIO!$A$3:$A$1000, 0))</f>
        <v>17</v>
      </c>
      <c r="F40" s="109">
        <f>INDEX(PRECIO!$O$3:$O$1000, MATCH(A40, PRECIO!$A$3:$A$1000, 0))</f>
        <v>0</v>
      </c>
    </row>
    <row r="41" spans="1:6" x14ac:dyDescent="0.3">
      <c r="A41" s="131">
        <v>386</v>
      </c>
      <c r="B41" s="132" t="str">
        <f>INDEX(PRECIO!$B$3:$B$1000, MATCH(A41, PRECIO!$A$3:$A$1000, 0))</f>
        <v>CAMI PERSON|DEPOR|T9XL|SUBLI</v>
      </c>
      <c r="C41" s="133">
        <f>INDEX(PRECIO!$C$3:$C$1000, MATCH(A41, PRECIO!$A$3:$A$1000, 0))</f>
        <v>21</v>
      </c>
      <c r="D41" s="133">
        <f>INDEX(PRECIO!$D$3:$D$1000, MATCH(A41, PRECIO!$A$3:$A$1000, 0))</f>
        <v>19</v>
      </c>
      <c r="E41" s="133">
        <f>INDEX(PRECIO!$E$3:$E$1000, MATCH(A41, PRECIO!$A$3:$A$1000, 0))</f>
        <v>18</v>
      </c>
      <c r="F41" s="109">
        <f>INDEX(PRECIO!$O$3:$O$1000, MATCH(A41, PRECIO!$A$3:$A$1000, 0))</f>
        <v>0</v>
      </c>
    </row>
    <row r="42" spans="1:6" x14ac:dyDescent="0.3">
      <c r="A42" s="111"/>
    </row>
    <row r="43" spans="1:6" x14ac:dyDescent="0.3">
      <c r="A43" s="111"/>
    </row>
    <row r="44" spans="1:6" x14ac:dyDescent="0.3">
      <c r="A44" s="111"/>
    </row>
    <row r="45" spans="1:6" x14ac:dyDescent="0.3">
      <c r="A45" s="111"/>
    </row>
    <row r="46" spans="1:6" x14ac:dyDescent="0.3">
      <c r="A46" s="111"/>
    </row>
    <row r="47" spans="1:6" x14ac:dyDescent="0.3">
      <c r="A47" s="111"/>
    </row>
    <row r="48" spans="1:6" ht="25.8" x14ac:dyDescent="0.3">
      <c r="A48" s="282" t="s">
        <v>1141</v>
      </c>
      <c r="B48" s="282"/>
      <c r="C48" s="282"/>
      <c r="D48" s="282"/>
      <c r="E48" s="282"/>
    </row>
    <row r="49" spans="1:6" x14ac:dyDescent="0.3">
      <c r="A49" s="120" t="str">
        <f>+PRECIO!A2</f>
        <v>COD.</v>
      </c>
      <c r="B49" s="120" t="str">
        <f>+PRECIO!B2</f>
        <v>DESCRIPCION</v>
      </c>
      <c r="C49" s="120" t="str">
        <f>+PRECIO!C2</f>
        <v>UNI</v>
      </c>
      <c r="D49" s="120" t="s">
        <v>1140</v>
      </c>
      <c r="E49" s="120" t="s">
        <v>285</v>
      </c>
      <c r="F49" s="134" t="str">
        <f>+PRECIO!O2</f>
        <v>VALOR</v>
      </c>
    </row>
    <row r="50" spans="1:6" x14ac:dyDescent="0.3">
      <c r="A50" s="122">
        <v>402</v>
      </c>
      <c r="B50" s="123" t="str">
        <f>INDEX(PRECIO!B3:B423, MATCH(A50, PRECIO!A3:A423, 0))</f>
        <v>CAMI PERSON|SPUN|T26-30|TICKET</v>
      </c>
      <c r="C50" s="124">
        <f>INDEX(PRECIO!C3:C423, MATCH(A50, PRECIO!A3:A423, 0))</f>
        <v>9.5</v>
      </c>
      <c r="D50" s="124">
        <f>INDEX(PRECIO!D3:D423, MATCH(A50, PRECIO!A3:A423, 0))</f>
        <v>7.5</v>
      </c>
      <c r="E50" s="124">
        <f>INDEX(PRECIO!E3:E423, MATCH(A50, PRECIO!A3:A423, 0))</f>
        <v>6.5</v>
      </c>
      <c r="F50" s="124">
        <f>INDEX(PRECIO!O3:O423, MATCH(A50, PRECIO!A3:A423, 0))</f>
        <v>0</v>
      </c>
    </row>
    <row r="51" spans="1:6" x14ac:dyDescent="0.3">
      <c r="A51" s="122">
        <v>403</v>
      </c>
      <c r="B51" s="123" t="str">
        <f>INDEX(PRECIO!B3:B423, MATCH(A51, PRECIO!A3:A423, 0))</f>
        <v>CAMI PERSON|SPUN|T32-36|TICKET</v>
      </c>
      <c r="C51" s="124">
        <f>INDEX(PRECIO!C3:C423, MATCH(A51, PRECIO!A3:A423, 0))</f>
        <v>10</v>
      </c>
      <c r="D51" s="124">
        <f>INDEX(PRECIO!D3:D423, MATCH(A51, PRECIO!A3:A423, 0))</f>
        <v>8</v>
      </c>
      <c r="E51" s="124">
        <f>INDEX(PRECIO!E3:E423, MATCH(A51, PRECIO!A3:A423, 0))</f>
        <v>7</v>
      </c>
      <c r="F51" s="124">
        <f>INDEX(PRECIO!O3:O423, MATCH(A51, PRECIO!A3:A423, 0))</f>
        <v>0</v>
      </c>
    </row>
    <row r="52" spans="1:6" x14ac:dyDescent="0.3">
      <c r="A52" s="125">
        <v>404</v>
      </c>
      <c r="B52" s="126" t="str">
        <f>INDEX(PRECIO!B3:B423, MATCH(A52, PRECIO!A3:A423, 0))</f>
        <v>CAMI PERSON|SPUN|T38-42|TICKET</v>
      </c>
      <c r="C52" s="127">
        <f>INDEX(PRECIO!C3:C423, MATCH(A52, PRECIO!A3:A423, 0))</f>
        <v>11</v>
      </c>
      <c r="D52" s="127">
        <f>INDEX(PRECIO!D3:D423, MATCH(A52, PRECIO!A3:A423, 0))</f>
        <v>9</v>
      </c>
      <c r="E52" s="127">
        <f>INDEX(PRECIO!E3:E423, MATCH(A52, PRECIO!A3:A423, 0))</f>
        <v>8</v>
      </c>
      <c r="F52" s="127">
        <f>INDEX(PRECIO!O3:O423, MATCH(A52, PRECIO!A3:A423, 0))</f>
        <v>0</v>
      </c>
    </row>
    <row r="53" spans="1:6" x14ac:dyDescent="0.3">
      <c r="A53" s="128">
        <v>360</v>
      </c>
      <c r="B53" s="129" t="str">
        <f>INDEX(PRECIO!B3:B423, MATCH(A53, PRECIO!A3:A423, 0))</f>
        <v>CAMI PERSON|SPUN|TXS-XL|TICKET</v>
      </c>
      <c r="C53" s="130">
        <f>INDEX(PRECIO!C3:C423, MATCH(A53, PRECIO!A3:A423, 0))</f>
        <v>12</v>
      </c>
      <c r="D53" s="130">
        <f>INDEX(PRECIO!D3:D423, MATCH(A53, PRECIO!A3:A423, 0))</f>
        <v>10</v>
      </c>
      <c r="E53" s="130">
        <f>INDEX(PRECIO!E3:E423, MATCH(A53, PRECIO!A3:A423, 0))</f>
        <v>9</v>
      </c>
      <c r="F53" s="130">
        <f>INDEX(PRECIO!O3:O423, MATCH(A53, PRECIO!A3:A423, 0))</f>
        <v>7.46</v>
      </c>
    </row>
    <row r="54" spans="1:6" x14ac:dyDescent="0.3">
      <c r="A54" s="128">
        <v>361</v>
      </c>
      <c r="B54" s="129" t="str">
        <f>INDEX(PRECIO!B3:B423, MATCH(A54, PRECIO!A3:A423, 0))</f>
        <v>CAMI PERSON|SPUN|T2XL|TICKET</v>
      </c>
      <c r="C54" s="130">
        <f>INDEX(PRECIO!C3:C423, MATCH(A54, PRECIO!A3:A423, 0))</f>
        <v>13</v>
      </c>
      <c r="D54" s="130">
        <f>INDEX(PRECIO!D3:D423, MATCH(A54, PRECIO!A3:A423, 0))</f>
        <v>11</v>
      </c>
      <c r="E54" s="130">
        <f>INDEX(PRECIO!E3:E423, MATCH(A54, PRECIO!A3:A423, 0))</f>
        <v>10</v>
      </c>
      <c r="F54" s="130">
        <f>INDEX(PRECIO!O3:O423, MATCH(A54, PRECIO!A3:A423, 0))</f>
        <v>0</v>
      </c>
    </row>
    <row r="55" spans="1:6" x14ac:dyDescent="0.3">
      <c r="A55" s="128">
        <v>362</v>
      </c>
      <c r="B55" s="129" t="str">
        <f>INDEX(PRECIO!B3:B423, MATCH(A55, PRECIO!A3:A423, 0))</f>
        <v>CAMI PERSON|SPUN|T3XL|TICKET</v>
      </c>
      <c r="C55" s="130">
        <f>INDEX(PRECIO!C3:C423, MATCH(A55, PRECIO!A3:A423, 0))</f>
        <v>14</v>
      </c>
      <c r="D55" s="130">
        <f>INDEX(PRECIO!D3:D423, MATCH(A55, PRECIO!A3:A423, 0))</f>
        <v>12</v>
      </c>
      <c r="E55" s="130">
        <f>INDEX(PRECIO!E3:E423, MATCH(A55, PRECIO!A3:A423, 0))</f>
        <v>11</v>
      </c>
      <c r="F55" s="130">
        <f>INDEX(PRECIO!O3:O423, MATCH(A55, PRECIO!A3:A423, 0))</f>
        <v>0</v>
      </c>
    </row>
    <row r="56" spans="1:6" x14ac:dyDescent="0.3">
      <c r="A56" s="128">
        <v>363</v>
      </c>
      <c r="B56" s="129" t="str">
        <f>INDEX(PRECIO!B3:B423, MATCH(A56, PRECIO!A3:A423, 0))</f>
        <v>CAMI PERSON|SPUN|T4XL|TICKET</v>
      </c>
      <c r="C56" s="130">
        <f>INDEX(PRECIO!C3:C423, MATCH(A56, PRECIO!A3:A423, 0))</f>
        <v>15</v>
      </c>
      <c r="D56" s="130">
        <f>INDEX(PRECIO!D3:D423, MATCH(A56, PRECIO!A3:A423, 0))</f>
        <v>13</v>
      </c>
      <c r="E56" s="130">
        <f>INDEX(PRECIO!E3:E423, MATCH(A56, PRECIO!A3:A423, 0))</f>
        <v>12</v>
      </c>
      <c r="F56" s="130">
        <f>INDEX(PRECIO!O3:O423, MATCH(A56, PRECIO!A3:A423, 0))</f>
        <v>0</v>
      </c>
    </row>
    <row r="57" spans="1:6" x14ac:dyDescent="0.3">
      <c r="A57" s="128">
        <v>364</v>
      </c>
      <c r="B57" s="129" t="str">
        <f>INDEX(PRECIO!B3:B423, MATCH(A57, PRECIO!A3:A423, 0))</f>
        <v>CAMI PERSON|SPUN|T5XL|TICKET</v>
      </c>
      <c r="C57" s="130">
        <f>INDEX(PRECIO!C3:C423, MATCH(A57, PRECIO!A3:A423, 0))</f>
        <v>16</v>
      </c>
      <c r="D57" s="130">
        <f>INDEX(PRECIO!D3:D423, MATCH(A57, PRECIO!A3:A423, 0))</f>
        <v>14</v>
      </c>
      <c r="E57" s="130">
        <f>INDEX(PRECIO!E3:E423, MATCH(A57, PRECIO!A3:A423, 0))</f>
        <v>13</v>
      </c>
      <c r="F57" s="130">
        <f>INDEX(PRECIO!O3:O423, MATCH(A57, PRECIO!A3:A423, 0))</f>
        <v>0</v>
      </c>
    </row>
    <row r="58" spans="1:6" x14ac:dyDescent="0.3">
      <c r="A58" s="128">
        <v>365</v>
      </c>
      <c r="B58" s="129" t="str">
        <f>INDEX(PRECIO!B3:B423, MATCH(A58, PRECIO!A3:A423, 0))</f>
        <v>CAMI PERSON|SPUN|T6XL|TICKET</v>
      </c>
      <c r="C58" s="130">
        <f>INDEX(PRECIO!C3:C423, MATCH(A58, PRECIO!A3:A423, 0))</f>
        <v>17</v>
      </c>
      <c r="D58" s="130">
        <f>INDEX(PRECIO!D3:D423, MATCH(A58, PRECIO!A3:A423, 0))</f>
        <v>15</v>
      </c>
      <c r="E58" s="130">
        <f>INDEX(PRECIO!E3:E423, MATCH(A58, PRECIO!A3:A423, 0))</f>
        <v>14</v>
      </c>
      <c r="F58" s="130">
        <f>INDEX(PRECIO!O3:O423, MATCH(A58, PRECIO!A3:A423, 0))</f>
        <v>0</v>
      </c>
    </row>
    <row r="59" spans="1:6" x14ac:dyDescent="0.3">
      <c r="A59" s="128">
        <v>366</v>
      </c>
      <c r="B59" s="129" t="str">
        <f>INDEX(PRECIO!B3:B423, MATCH(A59, PRECIO!A3:A423, 0))</f>
        <v>CAMI PERSON|SPUN|T7XL|TICKET</v>
      </c>
      <c r="C59" s="130">
        <f>INDEX(PRECIO!C3:C423, MATCH(A59, PRECIO!A3:A423, 0))</f>
        <v>18</v>
      </c>
      <c r="D59" s="130">
        <f>INDEX(PRECIO!D3:D423, MATCH(A59, PRECIO!A3:A423, 0))</f>
        <v>16</v>
      </c>
      <c r="E59" s="130">
        <f>INDEX(PRECIO!E3:E423, MATCH(A59, PRECIO!A3:A423, 0))</f>
        <v>15</v>
      </c>
      <c r="F59" s="130">
        <f>INDEX(PRECIO!O3:O423, MATCH(A59, PRECIO!A3:A423, 0))</f>
        <v>0</v>
      </c>
    </row>
    <row r="60" spans="1:6" x14ac:dyDescent="0.3">
      <c r="A60" s="128">
        <v>367</v>
      </c>
      <c r="B60" s="129" t="str">
        <f>INDEX(PRECIO!B3:B423, MATCH(A60, PRECIO!A3:A423, 0))</f>
        <v>CAMI PERSON|SPUN|T8XL|TICKET</v>
      </c>
      <c r="C60" s="130">
        <f>INDEX(PRECIO!C3:C423, MATCH(A60, PRECIO!A3:A423, 0))</f>
        <v>19</v>
      </c>
      <c r="D60" s="130">
        <f>INDEX(PRECIO!D3:D423, MATCH(A60, PRECIO!A3:A423, 0))</f>
        <v>17</v>
      </c>
      <c r="E60" s="130">
        <f>INDEX(PRECIO!E3:E423, MATCH(A60, PRECIO!A3:A423, 0))</f>
        <v>16</v>
      </c>
      <c r="F60" s="130">
        <f>INDEX(PRECIO!O3:O423, MATCH(A60, PRECIO!A3:A423, 0))</f>
        <v>0</v>
      </c>
    </row>
    <row r="61" spans="1:6" x14ac:dyDescent="0.3">
      <c r="A61" s="128">
        <v>368</v>
      </c>
      <c r="B61" s="129" t="str">
        <f>INDEX(PRECIO!B3:B423, MATCH(A61, PRECIO!A3:A423, 0))</f>
        <v>CAMI PERSON|SPUN|T9XL|TICKET</v>
      </c>
      <c r="C61" s="130">
        <f>INDEX(PRECIO!C3:C423, MATCH(A61, PRECIO!A3:A423, 0))</f>
        <v>20</v>
      </c>
      <c r="D61" s="130">
        <f>INDEX(PRECIO!D3:D423, MATCH(A61, PRECIO!A3:A423, 0))</f>
        <v>18</v>
      </c>
      <c r="E61" s="130">
        <f>INDEX(PRECIO!E3:E423, MATCH(A61, PRECIO!A3:A423, 0))</f>
        <v>17</v>
      </c>
      <c r="F61" s="130">
        <f>INDEX(PRECIO!O3:O423, MATCH(A61, PRECIO!A3:A423, 0))</f>
        <v>0</v>
      </c>
    </row>
    <row r="62" spans="1:6" ht="25.8" x14ac:dyDescent="0.3">
      <c r="A62" s="277" t="s">
        <v>1142</v>
      </c>
      <c r="B62" s="277"/>
      <c r="C62" s="277"/>
      <c r="D62" s="277"/>
      <c r="E62" s="277"/>
      <c r="F62" s="133"/>
    </row>
    <row r="63" spans="1:6" x14ac:dyDescent="0.3">
      <c r="A63" s="120" t="str">
        <f>+PRECIO!A2</f>
        <v>COD.</v>
      </c>
      <c r="B63" s="120" t="str">
        <f>+PRECIO!B2</f>
        <v>DESCRIPCION</v>
      </c>
      <c r="C63" s="120" t="str">
        <f>+PRECIO!C2</f>
        <v>UNI</v>
      </c>
      <c r="D63" s="120" t="s">
        <v>1140</v>
      </c>
      <c r="E63" s="120" t="s">
        <v>285</v>
      </c>
      <c r="F63" s="134" t="str">
        <f>+PRECIO!O2</f>
        <v>VALOR</v>
      </c>
    </row>
    <row r="64" spans="1:6" x14ac:dyDescent="0.3">
      <c r="A64" s="122">
        <v>405</v>
      </c>
      <c r="B64" s="123" t="str">
        <f>INDEX(PRECIO!B3:B423, MATCH(A64, PRECIO!A3:A423, 0))</f>
        <v>CAMI PERSON|DEPOR|T26-30|TICKET</v>
      </c>
      <c r="C64" s="124">
        <f>INDEX(PRECIO!C3:C423, MATCH(A64, PRECIO!A3:A423, 0))</f>
        <v>8.5</v>
      </c>
      <c r="D64" s="124">
        <f>INDEX(PRECIO!D3:D423, MATCH(A64, PRECIO!A3:A423, 0))</f>
        <v>6.5</v>
      </c>
      <c r="E64" s="124">
        <f>INDEX(PRECIO!E3:E423, MATCH(A64, PRECIO!A3:A423, 0))</f>
        <v>5.5</v>
      </c>
      <c r="F64" s="124">
        <f>INDEX(PRECIO!O3:O423, MATCH(A64, PRECIO!A3:A423, 0))</f>
        <v>0</v>
      </c>
    </row>
    <row r="65" spans="1:6" x14ac:dyDescent="0.3">
      <c r="A65" s="122">
        <v>406</v>
      </c>
      <c r="B65" s="123" t="str">
        <f>INDEX(PRECIO!B3:B423, MATCH(A65, PRECIO!A3:A423, 0))</f>
        <v>CAMI PERSON|DEPOR|T32-36|TICKET</v>
      </c>
      <c r="C65" s="124">
        <f>INDEX(PRECIO!C3:C423, MATCH(A65, PRECIO!A3:A423, 0))</f>
        <v>9</v>
      </c>
      <c r="D65" s="124">
        <f>INDEX(PRECIO!D3:D423, MATCH(A65, PRECIO!A3:A423, 0))</f>
        <v>7</v>
      </c>
      <c r="E65" s="124">
        <f>INDEX(PRECIO!E3:E423, MATCH(A65, PRECIO!A3:A423, 0))</f>
        <v>6</v>
      </c>
      <c r="F65" s="124">
        <f>INDEX(PRECIO!O3:O423, MATCH(A65, PRECIO!A3:A423, 0))</f>
        <v>0</v>
      </c>
    </row>
    <row r="66" spans="1:6" x14ac:dyDescent="0.3">
      <c r="A66" s="125">
        <v>407</v>
      </c>
      <c r="B66" s="126" t="str">
        <f>INDEX(PRECIO!B3:B423, MATCH(A66, PRECIO!A3:A423, 0))</f>
        <v>CAMI PERSON|DEPOR|T38-42|TICKET</v>
      </c>
      <c r="C66" s="127">
        <f>INDEX(PRECIO!C3:C423, MATCH(A66, PRECIO!A3:A423, 0))</f>
        <v>10</v>
      </c>
      <c r="D66" s="127">
        <f>INDEX(PRECIO!D3:D423, MATCH(A66, PRECIO!A3:A423, 0))</f>
        <v>8</v>
      </c>
      <c r="E66" s="127">
        <f>INDEX(PRECIO!E3:E423, MATCH(A66, PRECIO!A3:A423, 0))</f>
        <v>7</v>
      </c>
      <c r="F66" s="127">
        <f>INDEX(PRECIO!O3:O423, MATCH(A66, PRECIO!A3:A423, 0))</f>
        <v>0</v>
      </c>
    </row>
    <row r="67" spans="1:6" x14ac:dyDescent="0.3">
      <c r="A67" s="128">
        <v>387</v>
      </c>
      <c r="B67" s="129" t="str">
        <f>INDEX(PRECIO!B3:B423, MATCH(A67, PRECIO!A3:A423, 0))</f>
        <v>CAMI PERSON|DEPOR|TXS-XL|TICKET</v>
      </c>
      <c r="C67" s="130">
        <f>INDEX(PRECIO!C3:C423, MATCH(A67, PRECIO!A3:A423, 0))</f>
        <v>11</v>
      </c>
      <c r="D67" s="130">
        <f>INDEX(PRECIO!D3:D423, MATCH(A67, PRECIO!A3:A423, 0))</f>
        <v>9</v>
      </c>
      <c r="E67" s="130">
        <f>INDEX(PRECIO!E3:E423, MATCH(A67, PRECIO!A3:A423, 0))</f>
        <v>8</v>
      </c>
      <c r="F67" s="130">
        <f>INDEX(PRECIO!O3:O423, MATCH(A67, PRECIO!A3:A423, 0))</f>
        <v>0</v>
      </c>
    </row>
    <row r="68" spans="1:6" x14ac:dyDescent="0.3">
      <c r="A68" s="128">
        <v>388</v>
      </c>
      <c r="B68" s="129" t="str">
        <f>INDEX(PRECIO!B3:B423, MATCH(A68, PRECIO!A3:A423, 0))</f>
        <v>CAMI PERSON|DEPOR|T2XL|TICKET</v>
      </c>
      <c r="C68" s="130">
        <f>INDEX(PRECIO!C3:C423, MATCH(A68, PRECIO!A3:A423, 0))</f>
        <v>12</v>
      </c>
      <c r="D68" s="130">
        <f>INDEX(PRECIO!D3:D423, MATCH(A68, PRECIO!A3:A423, 0))</f>
        <v>10</v>
      </c>
      <c r="E68" s="130">
        <f>INDEX(PRECIO!E3:E423, MATCH(A68, PRECIO!A3:A423, 0))</f>
        <v>9</v>
      </c>
      <c r="F68" s="130">
        <f>INDEX(PRECIO!O3:O423, MATCH(A68, PRECIO!A3:A423, 0))</f>
        <v>0</v>
      </c>
    </row>
    <row r="69" spans="1:6" x14ac:dyDescent="0.3">
      <c r="A69" s="128">
        <v>389</v>
      </c>
      <c r="B69" s="129" t="str">
        <f>INDEX(PRECIO!B3:B423, MATCH(A69, PRECIO!A3:A423, 0))</f>
        <v>CAMI PERSON|DEPOR|T3XL|TICKET</v>
      </c>
      <c r="C69" s="130">
        <f>INDEX(PRECIO!C3:C423, MATCH(A69, PRECIO!A3:A423, 0))</f>
        <v>13</v>
      </c>
      <c r="D69" s="130">
        <f>INDEX(PRECIO!D3:D423, MATCH(A69, PRECIO!A3:A423, 0))</f>
        <v>11</v>
      </c>
      <c r="E69" s="130">
        <f>INDEX(PRECIO!E3:E423, MATCH(A69, PRECIO!A3:A423, 0))</f>
        <v>10</v>
      </c>
      <c r="F69" s="130">
        <f>INDEX(PRECIO!O3:O423, MATCH(A69, PRECIO!A3:A423, 0))</f>
        <v>0</v>
      </c>
    </row>
    <row r="70" spans="1:6" x14ac:dyDescent="0.3">
      <c r="A70" s="128">
        <v>390</v>
      </c>
      <c r="B70" s="129" t="str">
        <f>INDEX(PRECIO!B3:B423, MATCH(A70, PRECIO!A3:A423, 0))</f>
        <v>CAMI PERSON|DEPOR|T4XL|TICKET</v>
      </c>
      <c r="C70" s="130">
        <f>INDEX(PRECIO!C3:C423, MATCH(A70, PRECIO!A3:A423, 0))</f>
        <v>14</v>
      </c>
      <c r="D70" s="130">
        <f>INDEX(PRECIO!D3:D423, MATCH(A70, PRECIO!A3:A423, 0))</f>
        <v>12</v>
      </c>
      <c r="E70" s="130">
        <f>INDEX(PRECIO!E3:E423, MATCH(A70, PRECIO!A3:A423, 0))</f>
        <v>11</v>
      </c>
      <c r="F70" s="130">
        <f>INDEX(PRECIO!O3:O423, MATCH(A70, PRECIO!A3:A423, 0))</f>
        <v>0</v>
      </c>
    </row>
    <row r="71" spans="1:6" x14ac:dyDescent="0.3">
      <c r="A71" s="128">
        <v>391</v>
      </c>
      <c r="B71" s="129" t="str">
        <f>INDEX(PRECIO!B3:B423, MATCH(A71, PRECIO!A3:A423, 0))</f>
        <v>CAMI PERSON|DEPOR|T5XL|TICKET</v>
      </c>
      <c r="C71" s="130">
        <f>INDEX(PRECIO!C3:C423, MATCH(A71, PRECIO!A3:A423, 0))</f>
        <v>15</v>
      </c>
      <c r="D71" s="130">
        <f>INDEX(PRECIO!D3:D423, MATCH(A71, PRECIO!A3:A423, 0))</f>
        <v>13</v>
      </c>
      <c r="E71" s="130">
        <f>INDEX(PRECIO!E3:E423, MATCH(A71, PRECIO!A3:A423, 0))</f>
        <v>12</v>
      </c>
      <c r="F71" s="130">
        <f>INDEX(PRECIO!O3:O423, MATCH(A71, PRECIO!A3:A423, 0))</f>
        <v>0</v>
      </c>
    </row>
    <row r="72" spans="1:6" x14ac:dyDescent="0.3">
      <c r="A72" s="128">
        <v>392</v>
      </c>
      <c r="B72" s="129" t="str">
        <f>INDEX(PRECIO!B3:B423, MATCH(A72, PRECIO!A3:A423, 0))</f>
        <v>CAMI PERSON|DEPOR|T6XL|TICKET</v>
      </c>
      <c r="C72" s="130">
        <f>INDEX(PRECIO!C3:C423, MATCH(A72, PRECIO!A3:A423, 0))</f>
        <v>16</v>
      </c>
      <c r="D72" s="130">
        <f>INDEX(PRECIO!D3:D423, MATCH(A72, PRECIO!A3:A423, 0))</f>
        <v>14</v>
      </c>
      <c r="E72" s="130">
        <f>INDEX(PRECIO!E3:E423, MATCH(A72, PRECIO!A3:A423, 0))</f>
        <v>13</v>
      </c>
      <c r="F72" s="130">
        <f>INDEX(PRECIO!O3:O423, MATCH(A72, PRECIO!A3:A423, 0))</f>
        <v>0</v>
      </c>
    </row>
    <row r="73" spans="1:6" x14ac:dyDescent="0.3">
      <c r="A73" s="128">
        <v>393</v>
      </c>
      <c r="B73" s="129" t="str">
        <f>INDEX(PRECIO!B3:B423, MATCH(A73, PRECIO!A3:A423, 0))</f>
        <v>CAMI PERSON|DEPOR|T7XL|TICKET</v>
      </c>
      <c r="C73" s="130">
        <f>INDEX(PRECIO!C3:C423, MATCH(A73, PRECIO!A3:A423, 0))</f>
        <v>17</v>
      </c>
      <c r="D73" s="130">
        <f>INDEX(PRECIO!D3:D423, MATCH(A73, PRECIO!A3:A423, 0))</f>
        <v>15</v>
      </c>
      <c r="E73" s="130">
        <f>INDEX(PRECIO!E3:E423, MATCH(A73, PRECIO!A3:A423, 0))</f>
        <v>14</v>
      </c>
      <c r="F73" s="130">
        <f>INDEX(PRECIO!O3:O423, MATCH(A73, PRECIO!A3:A423, 0))</f>
        <v>0</v>
      </c>
    </row>
    <row r="74" spans="1:6" x14ac:dyDescent="0.3">
      <c r="A74" s="128">
        <v>394</v>
      </c>
      <c r="B74" s="129" t="str">
        <f>INDEX(PRECIO!B3:B423, MATCH(A74, PRECIO!A3:A423, 0))</f>
        <v>CAMI PERSON|DEPOR|T8XL|TICKET</v>
      </c>
      <c r="C74" s="130">
        <f>INDEX(PRECIO!C3:C423, MATCH(A74, PRECIO!A3:A423, 0))</f>
        <v>18</v>
      </c>
      <c r="D74" s="130">
        <f>INDEX(PRECIO!D3:D423, MATCH(A74, PRECIO!A3:A423, 0))</f>
        <v>16</v>
      </c>
      <c r="E74" s="130">
        <f>INDEX(PRECIO!E3:E423, MATCH(A74, PRECIO!A3:A423, 0))</f>
        <v>15</v>
      </c>
      <c r="F74" s="130">
        <f>INDEX(PRECIO!O3:O423, MATCH(A74, PRECIO!A3:A423, 0))</f>
        <v>0</v>
      </c>
    </row>
    <row r="75" spans="1:6" x14ac:dyDescent="0.3">
      <c r="A75" s="128">
        <v>395</v>
      </c>
      <c r="B75" s="129" t="str">
        <f>INDEX(PRECIO!B3:B423, MATCH(A75, PRECIO!A3:A423, 0))</f>
        <v>CAMI PERSON|DEPOR|T9XL|TICKET</v>
      </c>
      <c r="C75" s="130">
        <f>INDEX(PRECIO!C3:C423, MATCH(A75, PRECIO!A3:A423, 0))</f>
        <v>19</v>
      </c>
      <c r="D75" s="130">
        <f>INDEX(PRECIO!D3:D423, MATCH(A75, PRECIO!A3:A423, 0))</f>
        <v>17</v>
      </c>
      <c r="E75" s="130">
        <f>INDEX(PRECIO!E3:E423, MATCH(A75, PRECIO!A3:A423, 0))</f>
        <v>16</v>
      </c>
      <c r="F75" s="130">
        <f>INDEX(PRECIO!O3:O423, MATCH(A75, PRECIO!A3:A423, 0))</f>
        <v>0</v>
      </c>
    </row>
    <row r="76" spans="1:6" ht="25.8" x14ac:dyDescent="0.3">
      <c r="A76" s="277" t="s">
        <v>288</v>
      </c>
      <c r="B76" s="277"/>
      <c r="C76" s="277"/>
      <c r="D76" s="277"/>
      <c r="E76" s="277"/>
      <c r="F76" s="133"/>
    </row>
    <row r="77" spans="1:6" x14ac:dyDescent="0.3">
      <c r="A77" s="120" t="str">
        <f>+PRECIO!A2</f>
        <v>COD.</v>
      </c>
      <c r="B77" s="121" t="str">
        <f>+PRECIO!B2</f>
        <v>DESCRIPCION</v>
      </c>
      <c r="C77" s="120" t="str">
        <f>+PRECIO!C2</f>
        <v>UNI</v>
      </c>
      <c r="D77" s="120" t="str">
        <f>+PRECIO!D2</f>
        <v>&gt;12</v>
      </c>
      <c r="E77" s="120" t="str">
        <f>+PRECIO!E2</f>
        <v>&gt;25</v>
      </c>
      <c r="F77" s="134" t="str">
        <f>+PRECIO!O2</f>
        <v>VALOR</v>
      </c>
    </row>
    <row r="78" spans="1:6" x14ac:dyDescent="0.3">
      <c r="A78" s="122">
        <v>408</v>
      </c>
      <c r="B78" s="123" t="str">
        <f>INDEX(PRECIO!B3:B423, MATCH(A78, PRECIO!A3:A423, 0))</f>
        <v>CAMI PERSON|ALGODON|T26-30|DTF</v>
      </c>
      <c r="C78" s="124">
        <f>INDEX(PRECIO!C3:C423, MATCH(A78, PRECIO!A3:A423, 0))</f>
        <v>10</v>
      </c>
      <c r="D78" s="124">
        <f>INDEX(PRECIO!D3:D423, MATCH(A78, PRECIO!A3:A423, 0))</f>
        <v>8</v>
      </c>
      <c r="E78" s="124">
        <f>INDEX(PRECIO!E3:E423, MATCH(A78, PRECIO!A3:A423, 0))</f>
        <v>7</v>
      </c>
      <c r="F78" s="124">
        <f>INDEX(PRECIO!O3:O423, MATCH(A78, PRECIO!A3:A423, 0))</f>
        <v>0</v>
      </c>
    </row>
    <row r="79" spans="1:6" x14ac:dyDescent="0.3">
      <c r="A79" s="122">
        <v>409</v>
      </c>
      <c r="B79" s="123" t="str">
        <f>INDEX(PRECIO!B3:B423, MATCH(A79, PRECIO!A3:A423, 0))</f>
        <v>CAMI PERSON|ALGODON|T32-36|DTF</v>
      </c>
      <c r="C79" s="124">
        <f>INDEX(PRECIO!C3:C423, MATCH(A79, PRECIO!A3:A423, 0))</f>
        <v>11</v>
      </c>
      <c r="D79" s="124">
        <f>INDEX(PRECIO!D3:D423, MATCH(A79, PRECIO!A3:A423, 0))</f>
        <v>9</v>
      </c>
      <c r="E79" s="124">
        <f>INDEX(PRECIO!E3:E423, MATCH(A79, PRECIO!A3:A423, 0))</f>
        <v>8</v>
      </c>
      <c r="F79" s="124">
        <f>INDEX(PRECIO!O3:O423, MATCH(A79, PRECIO!A3:A423, 0))</f>
        <v>0</v>
      </c>
    </row>
    <row r="80" spans="1:6" x14ac:dyDescent="0.3">
      <c r="A80" s="125">
        <v>410</v>
      </c>
      <c r="B80" s="126" t="str">
        <f>INDEX(PRECIO!B3:B423, MATCH(A80, PRECIO!A3:A423, 0))</f>
        <v>CAMI PERSON|ALGODON|T38-42|DTF</v>
      </c>
      <c r="C80" s="127">
        <f>INDEX(PRECIO!C3:C423, MATCH(A80, PRECIO!A3:A423, 0))</f>
        <v>12</v>
      </c>
      <c r="D80" s="127">
        <f>INDEX(PRECIO!D3:D423, MATCH(A80, PRECIO!A3:A423, 0))</f>
        <v>10</v>
      </c>
      <c r="E80" s="127">
        <f>INDEX(PRECIO!E3:E423, MATCH(A80, PRECIO!A3:A423, 0))</f>
        <v>9</v>
      </c>
      <c r="F80" s="127">
        <f>INDEX(PRECIO!O3:O423, MATCH(A80, PRECIO!A3:A423, 0))</f>
        <v>0</v>
      </c>
    </row>
    <row r="81" spans="1:6" x14ac:dyDescent="0.3">
      <c r="A81" s="128">
        <v>369</v>
      </c>
      <c r="B81" s="129" t="str">
        <f>INDEX(PRECIO!B3:B423, MATCH(A81, PRECIO!A3:A423, 0))</f>
        <v>CAMI PERSON|ALGODON|TXS-XL|DTF</v>
      </c>
      <c r="C81" s="130">
        <f>INDEX(PRECIO!C3:C423, MATCH(A81, PRECIO!A3:A423, 0))</f>
        <v>13</v>
      </c>
      <c r="D81" s="130">
        <f>INDEX(PRECIO!D3:D423, MATCH(A81, PRECIO!A3:A423, 0))</f>
        <v>11</v>
      </c>
      <c r="E81" s="130">
        <f>INDEX(PRECIO!E3:E423, MATCH(A81, PRECIO!A3:A423, 0))</f>
        <v>10</v>
      </c>
      <c r="F81" s="130">
        <f>INDEX(PRECIO!O3:O423, MATCH(A81, PRECIO!A3:A423, 0))</f>
        <v>0</v>
      </c>
    </row>
    <row r="82" spans="1:6" x14ac:dyDescent="0.3">
      <c r="A82" s="128">
        <v>370</v>
      </c>
      <c r="B82" s="129" t="str">
        <f>INDEX(PRECIO!B3:B423, MATCH(A82, PRECIO!A3:A423, 0))</f>
        <v>CAMI PERSON|ALGODON|T2XL|DTF</v>
      </c>
      <c r="C82" s="130">
        <f>INDEX(PRECIO!C3:C423, MATCH(A82, PRECIO!A3:A423, 0))</f>
        <v>14</v>
      </c>
      <c r="D82" s="130">
        <f>INDEX(PRECIO!D3:D423, MATCH(A82, PRECIO!A3:A423, 0))</f>
        <v>12</v>
      </c>
      <c r="E82" s="130">
        <f>INDEX(PRECIO!E3:E423, MATCH(A82, PRECIO!A3:A423, 0))</f>
        <v>11</v>
      </c>
      <c r="F82" s="130">
        <f>INDEX(PRECIO!O3:O423, MATCH(A82, PRECIO!A3:A423, 0))</f>
        <v>0</v>
      </c>
    </row>
    <row r="83" spans="1:6" x14ac:dyDescent="0.3">
      <c r="A83" s="128">
        <v>371</v>
      </c>
      <c r="B83" s="129" t="str">
        <f>INDEX(PRECIO!B3:B423, MATCH(A83, PRECIO!A3:A423, 0))</f>
        <v>CAMI PERSON|ALGODON|T3XL|DTF</v>
      </c>
      <c r="C83" s="130">
        <f>INDEX(PRECIO!C3:C423, MATCH(A83, PRECIO!A3:A423, 0))</f>
        <v>15</v>
      </c>
      <c r="D83" s="130">
        <f>INDEX(PRECIO!D3:D423, MATCH(A83, PRECIO!A3:A423, 0))</f>
        <v>13</v>
      </c>
      <c r="E83" s="130">
        <f>INDEX(PRECIO!E3:E423, MATCH(A83, PRECIO!A3:A423, 0))</f>
        <v>12</v>
      </c>
      <c r="F83" s="130">
        <f>INDEX(PRECIO!O3:O423, MATCH(A83, PRECIO!A3:A423, 0))</f>
        <v>0</v>
      </c>
    </row>
    <row r="84" spans="1:6" x14ac:dyDescent="0.3">
      <c r="A84" s="128">
        <v>372</v>
      </c>
      <c r="B84" s="129" t="str">
        <f>INDEX(PRECIO!B3:B423, MATCH(A84, PRECIO!A3:A423, 0))</f>
        <v>CAMI PERSON|ALGODON|T4XL|DTF</v>
      </c>
      <c r="C84" s="130">
        <f>INDEX(PRECIO!C3:C423, MATCH(A84, PRECIO!A3:A423, 0))</f>
        <v>16</v>
      </c>
      <c r="D84" s="130">
        <f>INDEX(PRECIO!D3:D423, MATCH(A84, PRECIO!A3:A423, 0))</f>
        <v>14</v>
      </c>
      <c r="E84" s="130">
        <f>INDEX(PRECIO!E3:E423, MATCH(A84, PRECIO!A3:A423, 0))</f>
        <v>13</v>
      </c>
      <c r="F84" s="130">
        <f>INDEX(PRECIO!O3:O423, MATCH(A84, PRECIO!A3:A423, 0))</f>
        <v>0</v>
      </c>
    </row>
    <row r="85" spans="1:6" x14ac:dyDescent="0.3">
      <c r="A85" s="128">
        <v>373</v>
      </c>
      <c r="B85" s="129" t="str">
        <f>INDEX(PRECIO!B3:B423, MATCH(A85, PRECIO!A3:A423, 0))</f>
        <v>CAMI PERSON|ALGODON|T5XL|DTF</v>
      </c>
      <c r="C85" s="130">
        <f>INDEX(PRECIO!C3:C423, MATCH(A85, PRECIO!A3:A423, 0))</f>
        <v>17</v>
      </c>
      <c r="D85" s="130">
        <f>INDEX(PRECIO!D3:D423, MATCH(A85, PRECIO!A3:A423, 0))</f>
        <v>15</v>
      </c>
      <c r="E85" s="130">
        <f>INDEX(PRECIO!E3:E423, MATCH(A85, PRECIO!A3:A423, 0))</f>
        <v>14</v>
      </c>
      <c r="F85" s="130">
        <f>INDEX(PRECIO!O3:O423, MATCH(A85, PRECIO!A3:A423, 0))</f>
        <v>0</v>
      </c>
    </row>
    <row r="86" spans="1:6" x14ac:dyDescent="0.3">
      <c r="A86" s="128">
        <v>374</v>
      </c>
      <c r="B86" s="129" t="str">
        <f>INDEX(PRECIO!B3:B423, MATCH(A86, PRECIO!A3:A423, 0))</f>
        <v>CAMI PERSON|ALGODON|T6XL|DTF</v>
      </c>
      <c r="C86" s="130">
        <f>INDEX(PRECIO!C3:C423, MATCH(A86, PRECIO!A3:A423, 0))</f>
        <v>18</v>
      </c>
      <c r="D86" s="130">
        <f>INDEX(PRECIO!D3:D423, MATCH(A86, PRECIO!A3:A423, 0))</f>
        <v>16</v>
      </c>
      <c r="E86" s="130">
        <f>INDEX(PRECIO!E3:E423, MATCH(A86, PRECIO!A3:A423, 0))</f>
        <v>15</v>
      </c>
      <c r="F86" s="130">
        <f>INDEX(PRECIO!O3:O423, MATCH(A86, PRECIO!A3:A423, 0))</f>
        <v>0</v>
      </c>
    </row>
    <row r="87" spans="1:6" x14ac:dyDescent="0.3">
      <c r="A87" s="128">
        <v>375</v>
      </c>
      <c r="B87" s="129" t="str">
        <f>INDEX(PRECIO!B3:B423, MATCH(A87, PRECIO!A3:A423, 0))</f>
        <v>CAMI PERSON|ALGODON|T7XL|DTF</v>
      </c>
      <c r="C87" s="130">
        <f>INDEX(PRECIO!C3:C423, MATCH(A87, PRECIO!A3:A423, 0))</f>
        <v>19</v>
      </c>
      <c r="D87" s="130">
        <f>INDEX(PRECIO!D3:D423, MATCH(A87, PRECIO!A3:A423, 0))</f>
        <v>17</v>
      </c>
      <c r="E87" s="130">
        <f>INDEX(PRECIO!E3:E423, MATCH(A87, PRECIO!A3:A423, 0))</f>
        <v>16</v>
      </c>
      <c r="F87" s="130">
        <f>INDEX(PRECIO!O3:O423, MATCH(A87, PRECIO!A3:A423, 0))</f>
        <v>0</v>
      </c>
    </row>
    <row r="88" spans="1:6" x14ac:dyDescent="0.3">
      <c r="A88" s="128">
        <v>376</v>
      </c>
      <c r="B88" s="129" t="str">
        <f>INDEX(PRECIO!B3:B423, MATCH(A88, PRECIO!A3:A423, 0))</f>
        <v>CAMI PERSON|ALGODON|T8XL|DTF</v>
      </c>
      <c r="C88" s="130">
        <f>INDEX(PRECIO!C3:C423, MATCH(A88, PRECIO!A3:A423, 0))</f>
        <v>20</v>
      </c>
      <c r="D88" s="130">
        <f>INDEX(PRECIO!D3:D423, MATCH(A88, PRECIO!A3:A423, 0))</f>
        <v>18</v>
      </c>
      <c r="E88" s="130">
        <f>INDEX(PRECIO!E3:E423, MATCH(A88, PRECIO!A3:A423, 0))</f>
        <v>17</v>
      </c>
      <c r="F88" s="130">
        <f>INDEX(PRECIO!O3:O423, MATCH(A88, PRECIO!A3:A423, 0))</f>
        <v>0</v>
      </c>
    </row>
    <row r="89" spans="1:6" x14ac:dyDescent="0.3">
      <c r="A89" s="128">
        <v>377</v>
      </c>
      <c r="B89" s="129" t="str">
        <f>INDEX(PRECIO!B3:B423, MATCH(A89, PRECIO!A3:A423, 0))</f>
        <v>CAMI PERSON|ALGODON|T9XL|DTF</v>
      </c>
      <c r="C89" s="130">
        <f>INDEX(PRECIO!C3:C423, MATCH(A89, PRECIO!A3:A423, 0))</f>
        <v>21</v>
      </c>
      <c r="D89" s="130">
        <f>INDEX(PRECIO!D3:D423, MATCH(A89, PRECIO!A3:A423, 0))</f>
        <v>19</v>
      </c>
      <c r="E89" s="130">
        <f>INDEX(PRECIO!E3:E423, MATCH(A89, PRECIO!A3:A423, 0))</f>
        <v>18</v>
      </c>
      <c r="F89" s="130">
        <f>INDEX(PRECIO!O3:O423, MATCH(A89, PRECIO!A3:A423, 0))</f>
        <v>0</v>
      </c>
    </row>
    <row r="99" spans="1:1" x14ac:dyDescent="0.3">
      <c r="A99" s="111"/>
    </row>
    <row r="100" spans="1:1" x14ac:dyDescent="0.3">
      <c r="A100" s="111"/>
    </row>
    <row r="101" spans="1:1" x14ac:dyDescent="0.3">
      <c r="A101" s="111"/>
    </row>
  </sheetData>
  <mergeCells count="8">
    <mergeCell ref="A1:E1"/>
    <mergeCell ref="A62:E62"/>
    <mergeCell ref="A76:E76"/>
    <mergeCell ref="A10:E10"/>
    <mergeCell ref="A2:E2"/>
    <mergeCell ref="A14:E14"/>
    <mergeCell ref="A28:E28"/>
    <mergeCell ref="A48:E48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&amp;L&amp;F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D0A5-52D0-4F8A-AEA9-D8D7807A00DE}">
  <sheetPr codeName="Hoja8"/>
  <dimension ref="A1:F47"/>
  <sheetViews>
    <sheetView topLeftCell="A61" zoomScaleNormal="100" workbookViewId="0">
      <pane ySplit="1188" activePane="bottomLeft"/>
      <selection sqref="A1:E1"/>
      <selection pane="bottomLeft" activeCell="F54" sqref="F54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5" width="11.44140625" style="109"/>
    <col min="6" max="6" width="11.44140625" style="141"/>
  </cols>
  <sheetData>
    <row r="1" spans="1:6" ht="29.25" customHeight="1" x14ac:dyDescent="0.3">
      <c r="A1" s="277" t="s">
        <v>315</v>
      </c>
      <c r="B1" s="277"/>
      <c r="C1" s="277"/>
      <c r="D1" s="277"/>
      <c r="E1" s="277"/>
      <c r="F1" s="137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6" x14ac:dyDescent="0.3">
      <c r="A3" s="122">
        <v>10</v>
      </c>
      <c r="B3" s="124" t="str">
        <f>INDEX(PRECIO!B3:B423, MATCH(A3, PRECIO!A3:A423, 0))</f>
        <v>PANT|ECO|T26-30|NIÑOS</v>
      </c>
      <c r="C3" s="124">
        <f>INDEX(PRECIO!C3:C423, MATCH(A3, PRECIO!A3:A423, 0))</f>
        <v>3.5</v>
      </c>
      <c r="D3" s="124">
        <f>INDEX(PRECIO!D3:D423, MATCH(A3, PRECIO!A3:A423, 0))</f>
        <v>3.5</v>
      </c>
      <c r="E3" s="124">
        <f>INDEX(PRECIO!E3:E423, MATCH(A3, PRECIO!A3:A423, 0))</f>
        <v>3</v>
      </c>
      <c r="F3" s="139">
        <f>INDEX(PRECIO!O3:O423, MATCH(A3, PRECIO!A3:A423, 0))</f>
        <v>3.63</v>
      </c>
    </row>
    <row r="4" spans="1:6" x14ac:dyDescent="0.3">
      <c r="A4" s="122">
        <v>22</v>
      </c>
      <c r="B4" s="124" t="str">
        <f>INDEX(PRECIO!B3:B423, MATCH(A4, PRECIO!A3:A423, 0))</f>
        <v>PANT|ECO|T32-36|NIÑOS</v>
      </c>
      <c r="C4" s="124">
        <f>INDEX(PRECIO!C3:C423, MATCH(A4, PRECIO!A3:A423, 0))</f>
        <v>3.5</v>
      </c>
      <c r="D4" s="124">
        <f>INDEX(PRECIO!D3:D423, MATCH(A4, PRECIO!A3:A423, 0))</f>
        <v>3.5</v>
      </c>
      <c r="E4" s="124">
        <f>INDEX(PRECIO!E3:E423, MATCH(A4, PRECIO!A3:A423, 0))</f>
        <v>3.5</v>
      </c>
      <c r="F4" s="139">
        <f>INDEX(PRECIO!O3:O423, MATCH(A4, PRECIO!A3:A423, 0))</f>
        <v>2.16</v>
      </c>
    </row>
    <row r="5" spans="1:6" x14ac:dyDescent="0.3">
      <c r="A5" s="128">
        <v>82</v>
      </c>
      <c r="B5" s="130" t="str">
        <f>INDEX(PRECIO!B3:B423, MATCH(A5, PRECIO!A3:A423, 0))</f>
        <v>PANT|ECO|TXS-XL│ADULTO</v>
      </c>
      <c r="C5" s="130">
        <f>INDEX(PRECIO!C3:C423, MATCH(A5, PRECIO!A3:A423, 0))</f>
        <v>3.5</v>
      </c>
      <c r="D5" s="130">
        <f>INDEX(PRECIO!D3:D423, MATCH(A5, PRECIO!A3:A423, 0))</f>
        <v>3.5</v>
      </c>
      <c r="E5" s="130">
        <f>INDEX(PRECIO!E3:E423, MATCH(A5, PRECIO!A3:A423, 0))</f>
        <v>3.5</v>
      </c>
      <c r="F5" s="140">
        <f>INDEX(PRECIO!O3:O423, MATCH(A5, PRECIO!A3:A423, 0))</f>
        <v>3.57</v>
      </c>
    </row>
    <row r="6" spans="1:6" x14ac:dyDescent="0.3">
      <c r="A6" s="128">
        <v>83</v>
      </c>
      <c r="B6" s="130" t="str">
        <f>INDEX(PRECIO!B3:B423, MATCH(A6, PRECIO!A3:A423, 0))</f>
        <v>PANT|ECO|T2XL│ADULTO</v>
      </c>
      <c r="C6" s="130">
        <f>INDEX(PRECIO!C3:C423, MATCH(A6, PRECIO!A3:A423, 0))</f>
        <v>4.5</v>
      </c>
      <c r="D6" s="130">
        <f>INDEX(PRECIO!D3:D423, MATCH(A6, PRECIO!A3:A423, 0))</f>
        <v>4.5</v>
      </c>
      <c r="E6" s="130">
        <f>INDEX(PRECIO!E3:E423, MATCH(A6, PRECIO!A3:A423, 0))</f>
        <v>4.5</v>
      </c>
      <c r="F6" s="140">
        <f>INDEX(PRECIO!O3:O423, MATCH(A6, PRECIO!A3:A423, 0))</f>
        <v>0</v>
      </c>
    </row>
    <row r="7" spans="1:6" x14ac:dyDescent="0.3">
      <c r="A7" s="128">
        <v>84</v>
      </c>
      <c r="B7" s="130" t="str">
        <f>INDEX(PRECIO!B3:B423, MATCH(A7, PRECIO!A3:A423, 0))</f>
        <v>PANT|ECO|T3XL│ADULTO</v>
      </c>
      <c r="C7" s="130">
        <f>INDEX(PRECIO!C3:C423, MATCH(A7, PRECIO!A3:A423, 0))</f>
        <v>5.5</v>
      </c>
      <c r="D7" s="130">
        <f>INDEX(PRECIO!D3:D423, MATCH(A7, PRECIO!A3:A423, 0))</f>
        <v>5.5</v>
      </c>
      <c r="E7" s="130">
        <f>INDEX(PRECIO!E3:E423, MATCH(A7, PRECIO!A3:A423, 0))</f>
        <v>5.5</v>
      </c>
      <c r="F7" s="140">
        <f>INDEX(PRECIO!O3:O423, MATCH(A7, PRECIO!A3:A423, 0))</f>
        <v>0</v>
      </c>
    </row>
    <row r="8" spans="1:6" x14ac:dyDescent="0.3">
      <c r="A8" s="128">
        <v>85</v>
      </c>
      <c r="B8" s="130" t="str">
        <f>INDEX(PRECIO!B3:B423, MATCH(A8, PRECIO!A3:A423, 0))</f>
        <v>PANT|ECO|T4XL│ADULTO</v>
      </c>
      <c r="C8" s="130">
        <f>INDEX(PRECIO!C3:C423, MATCH(A8, PRECIO!A3:A423, 0))</f>
        <v>6.5</v>
      </c>
      <c r="D8" s="130">
        <f>INDEX(PRECIO!D3:D423, MATCH(A8, PRECIO!A3:A423, 0))</f>
        <v>6.5</v>
      </c>
      <c r="E8" s="130">
        <f>INDEX(PRECIO!E3:E423, MATCH(A8, PRECIO!A3:A423, 0))</f>
        <v>6.5</v>
      </c>
      <c r="F8" s="140">
        <f>INDEX(PRECIO!O3:O423, MATCH(A8, PRECIO!A3:A423, 0))</f>
        <v>0</v>
      </c>
    </row>
    <row r="9" spans="1:6" x14ac:dyDescent="0.3">
      <c r="A9" s="128">
        <v>86</v>
      </c>
      <c r="B9" s="130" t="str">
        <f>INDEX(PRECIO!B3:B423, MATCH(A9, PRECIO!A3:A423, 0))</f>
        <v>PANT|ECO|T5XL│ADULTO</v>
      </c>
      <c r="C9" s="130">
        <f>INDEX(PRECIO!C3:C423, MATCH(A9, PRECIO!A3:A423, 0))</f>
        <v>7.5</v>
      </c>
      <c r="D9" s="130">
        <f>INDEX(PRECIO!D3:D423, MATCH(A9, PRECIO!A3:A423, 0))</f>
        <v>7.5</v>
      </c>
      <c r="E9" s="130">
        <f>INDEX(PRECIO!E3:E423, MATCH(A9, PRECIO!A3:A423, 0))</f>
        <v>7.5</v>
      </c>
      <c r="F9" s="140">
        <f>INDEX(PRECIO!O3:O423, MATCH(A9, PRECIO!A3:A423, 0))</f>
        <v>0</v>
      </c>
    </row>
    <row r="10" spans="1:6" x14ac:dyDescent="0.3">
      <c r="A10" s="128">
        <v>87</v>
      </c>
      <c r="B10" s="130" t="str">
        <f>INDEX(PRECIO!B3:B423, MATCH(A10, PRECIO!A3:A423, 0))</f>
        <v>PANT|ECO|T6XL│ADULTO</v>
      </c>
      <c r="C10" s="130">
        <f>INDEX(PRECIO!C3:C423, MATCH(A10, PRECIO!A3:A423, 0))</f>
        <v>8.5</v>
      </c>
      <c r="D10" s="130">
        <f>INDEX(PRECIO!D3:D423, MATCH(A10, PRECIO!A3:A423, 0))</f>
        <v>8.5</v>
      </c>
      <c r="E10" s="130">
        <f>INDEX(PRECIO!E3:E423, MATCH(A10, PRECIO!A3:A423, 0))</f>
        <v>8.5</v>
      </c>
      <c r="F10" s="140">
        <f>INDEX(PRECIO!O3:O423, MATCH(A10, PRECIO!A3:A423, 0))</f>
        <v>0</v>
      </c>
    </row>
    <row r="11" spans="1:6" x14ac:dyDescent="0.3">
      <c r="A11" s="128">
        <v>88</v>
      </c>
      <c r="B11" s="130" t="str">
        <f>INDEX(PRECIO!B3:B423, MATCH(A11, PRECIO!A3:A423, 0))</f>
        <v>PANT|ECO|T7XL│ADULTO</v>
      </c>
      <c r="C11" s="130">
        <f>INDEX(PRECIO!C3:C423, MATCH(A11, PRECIO!A3:A423, 0))</f>
        <v>9.5</v>
      </c>
      <c r="D11" s="130">
        <f>INDEX(PRECIO!D3:D423, MATCH(A11, PRECIO!A3:A423, 0))</f>
        <v>9.5</v>
      </c>
      <c r="E11" s="130">
        <f>INDEX(PRECIO!E3:E423, MATCH(A11, PRECIO!A3:A423, 0))</f>
        <v>9.5</v>
      </c>
      <c r="F11" s="140">
        <f>INDEX(PRECIO!O3:O423, MATCH(A11, PRECIO!A3:A423, 0))</f>
        <v>0</v>
      </c>
    </row>
    <row r="12" spans="1:6" x14ac:dyDescent="0.3">
      <c r="A12" s="128">
        <v>89</v>
      </c>
      <c r="B12" s="130" t="str">
        <f>INDEX(PRECIO!B3:B423, MATCH(A12, PRECIO!A3:A423, 0))</f>
        <v>PANT|ECO|T8XL│ADULTO</v>
      </c>
      <c r="C12" s="130">
        <f>INDEX(PRECIO!C3:C423, MATCH(A12, PRECIO!A3:A423, 0))</f>
        <v>10.5</v>
      </c>
      <c r="D12" s="130">
        <f>INDEX(PRECIO!D3:D423, MATCH(A12, PRECIO!A3:A423, 0))</f>
        <v>10.5</v>
      </c>
      <c r="E12" s="130">
        <f>INDEX(PRECIO!E3:E423, MATCH(A12, PRECIO!A3:A423, 0))</f>
        <v>10.5</v>
      </c>
      <c r="F12" s="140">
        <f>INDEX(PRECIO!O3:O423, MATCH(A12, PRECIO!A3:A423, 0))</f>
        <v>0</v>
      </c>
    </row>
    <row r="13" spans="1:6" x14ac:dyDescent="0.3">
      <c r="A13" s="128">
        <v>90</v>
      </c>
      <c r="B13" s="130" t="str">
        <f>INDEX(PRECIO!B3:B423, MATCH(A13, PRECIO!A3:A423, 0))</f>
        <v>PANT|ECO|T9XL│ADULTO</v>
      </c>
      <c r="C13" s="130">
        <f>INDEX(PRECIO!C3:C423, MATCH(A13, PRECIO!A3:A423, 0))</f>
        <v>11.5</v>
      </c>
      <c r="D13" s="130">
        <f>INDEX(PRECIO!D3:D423, MATCH(A13, PRECIO!A3:A423, 0))</f>
        <v>11.5</v>
      </c>
      <c r="E13" s="130">
        <f>INDEX(PRECIO!E3:E423, MATCH(A13, PRECIO!A3:A423, 0))</f>
        <v>11.5</v>
      </c>
      <c r="F13" s="140">
        <f>INDEX(PRECIO!O3:O423, MATCH(A13, PRECIO!A3:A423, 0))</f>
        <v>0</v>
      </c>
    </row>
    <row r="14" spans="1:6" ht="25.8" x14ac:dyDescent="0.3">
      <c r="A14" s="277" t="s">
        <v>319</v>
      </c>
      <c r="B14" s="277"/>
      <c r="C14" s="277"/>
      <c r="D14" s="277"/>
      <c r="E14" s="277"/>
      <c r="F14" s="137"/>
    </row>
    <row r="15" spans="1:6" x14ac:dyDescent="0.3">
      <c r="A15" s="122">
        <v>11</v>
      </c>
      <c r="B15" s="124" t="str">
        <f>INDEX(PRECIO!B3:B423, MATCH(A15, PRECIO!A3:A423, 0))</f>
        <v>PANT|ESTANDAR T26-30|NIÑOS</v>
      </c>
      <c r="C15" s="124">
        <f>INDEX(PRECIO!C3:C423, MATCH(A15, PRECIO!A3:A423, 0))</f>
        <v>8.5</v>
      </c>
      <c r="D15" s="124">
        <f>INDEX(PRECIO!D3:D423, MATCH(A15, PRECIO!A3:A423, 0))</f>
        <v>6.5</v>
      </c>
      <c r="E15" s="124">
        <f>INDEX(PRECIO!E3:E423, MATCH(A15, PRECIO!A3:A423, 0))</f>
        <v>5.5</v>
      </c>
      <c r="F15" s="139">
        <f>INDEX(PRECIO!O3:O423, MATCH(A15, PRECIO!A3:A423, 0))</f>
        <v>3.99</v>
      </c>
    </row>
    <row r="16" spans="1:6" x14ac:dyDescent="0.3">
      <c r="A16" s="122">
        <v>23</v>
      </c>
      <c r="B16" s="124" t="str">
        <f>INDEX(PRECIO!B3:B423, MATCH(A16, PRECIO!A3:A423, 0))</f>
        <v>PANT|ESTANDAR T32-36|NIÑOS</v>
      </c>
      <c r="C16" s="124">
        <f>INDEX(PRECIO!C3:C423, MATCH(A16, PRECIO!A3:A423, 0))</f>
        <v>9</v>
      </c>
      <c r="D16" s="124">
        <f>INDEX(PRECIO!D3:D423, MATCH(A16, PRECIO!A3:A423, 0))</f>
        <v>7</v>
      </c>
      <c r="E16" s="124">
        <f>INDEX(PRECIO!E3:E423, MATCH(A16, PRECIO!A3:A423, 0))</f>
        <v>6</v>
      </c>
      <c r="F16" s="139">
        <f>INDEX(PRECIO!O3:O423, MATCH(A16, PRECIO!A3:A423, 0))</f>
        <v>4.24</v>
      </c>
    </row>
    <row r="17" spans="1:6" x14ac:dyDescent="0.3">
      <c r="A17" s="128">
        <v>91</v>
      </c>
      <c r="B17" s="130" t="str">
        <f>INDEX(PRECIO!B3:B423, MATCH(A17, PRECIO!A3:A423, 0))</f>
        <v>PANT|ESTANDAR TXS-XL│ADULTO|JOV</v>
      </c>
      <c r="C17" s="130">
        <f>INDEX(PRECIO!C3:C423, MATCH(A17, PRECIO!A3:A423, 0))</f>
        <v>10</v>
      </c>
      <c r="D17" s="130">
        <f>INDEX(PRECIO!D3:D423, MATCH(A17, PRECIO!A3:A423, 0))</f>
        <v>8</v>
      </c>
      <c r="E17" s="130">
        <f>INDEX(PRECIO!E3:E423, MATCH(A17, PRECIO!A3:A423, 0))</f>
        <v>7</v>
      </c>
      <c r="F17" s="140">
        <f>INDEX(PRECIO!O3:O423, MATCH(A17, PRECIO!A3:A423, 0))</f>
        <v>5.42</v>
      </c>
    </row>
    <row r="18" spans="1:6" x14ac:dyDescent="0.3">
      <c r="A18" s="128">
        <v>92</v>
      </c>
      <c r="B18" s="130" t="str">
        <f>INDEX(PRECIO!B3:B423, MATCH(A18, PRECIO!A3:A423, 0))</f>
        <v>PANT|ESTANDAR T2XL│ADULTO</v>
      </c>
      <c r="C18" s="130">
        <f>INDEX(PRECIO!C3:C423, MATCH(A18, PRECIO!A3:A423, 0))</f>
        <v>11</v>
      </c>
      <c r="D18" s="130">
        <f>INDEX(PRECIO!D3:D423, MATCH(A18, PRECIO!A3:A423, 0))</f>
        <v>9</v>
      </c>
      <c r="E18" s="130">
        <f>INDEX(PRECIO!E3:E423, MATCH(A18, PRECIO!A3:A423, 0))</f>
        <v>8</v>
      </c>
      <c r="F18" s="140">
        <f>INDEX(PRECIO!O3:O423, MATCH(A18, PRECIO!A3:A423, 0))</f>
        <v>0</v>
      </c>
    </row>
    <row r="19" spans="1:6" x14ac:dyDescent="0.3">
      <c r="A19" s="128">
        <v>93</v>
      </c>
      <c r="B19" s="130" t="str">
        <f>INDEX(PRECIO!B3:B423, MATCH(A19, PRECIO!A3:A423, 0))</f>
        <v>PANT|ESTANDAR T3XL│ADULTO</v>
      </c>
      <c r="C19" s="130">
        <f>INDEX(PRECIO!C3:C423, MATCH(A19, PRECIO!A3:A423, 0))</f>
        <v>12</v>
      </c>
      <c r="D19" s="130">
        <f>INDEX(PRECIO!D3:D423, MATCH(A19, PRECIO!A3:A423, 0))</f>
        <v>10</v>
      </c>
      <c r="E19" s="130">
        <f>INDEX(PRECIO!E3:E423, MATCH(A19, PRECIO!A3:A423, 0))</f>
        <v>9</v>
      </c>
      <c r="F19" s="140">
        <f>INDEX(PRECIO!O3:O423, MATCH(A19, PRECIO!A3:A423, 0))</f>
        <v>0</v>
      </c>
    </row>
    <row r="20" spans="1:6" x14ac:dyDescent="0.3">
      <c r="A20" s="128">
        <v>94</v>
      </c>
      <c r="B20" s="130" t="str">
        <f>INDEX(PRECIO!B3:B423, MATCH(A20, PRECIO!A3:A423, 0))</f>
        <v>PANT|ESTANDAR T4XL│ADULTO</v>
      </c>
      <c r="C20" s="130">
        <f>INDEX(PRECIO!C3:C423, MATCH(A20, PRECIO!A3:A423, 0))</f>
        <v>13</v>
      </c>
      <c r="D20" s="130">
        <f>INDEX(PRECIO!D3:D423, MATCH(A20, PRECIO!A3:A423, 0))</f>
        <v>11</v>
      </c>
      <c r="E20" s="130">
        <f>INDEX(PRECIO!E3:E423, MATCH(A20, PRECIO!A3:A423, 0))</f>
        <v>10</v>
      </c>
      <c r="F20" s="140">
        <f>INDEX(PRECIO!O3:O423, MATCH(A20, PRECIO!A3:A423, 0))</f>
        <v>0</v>
      </c>
    </row>
    <row r="21" spans="1:6" x14ac:dyDescent="0.3">
      <c r="A21" s="128">
        <v>95</v>
      </c>
      <c r="B21" s="130" t="str">
        <f>INDEX(PRECIO!B3:B423, MATCH(A21, PRECIO!A3:A423, 0))</f>
        <v>PANT|ESTANDAR T5XL│ADULTO</v>
      </c>
      <c r="C21" s="130">
        <f>INDEX(PRECIO!C3:C423, MATCH(A21, PRECIO!A3:A423, 0))</f>
        <v>14</v>
      </c>
      <c r="D21" s="130">
        <f>INDEX(PRECIO!D3:D423, MATCH(A21, PRECIO!A3:A423, 0))</f>
        <v>12</v>
      </c>
      <c r="E21" s="130">
        <f>INDEX(PRECIO!E3:E423, MATCH(A21, PRECIO!A3:A423, 0))</f>
        <v>11</v>
      </c>
      <c r="F21" s="140">
        <f>INDEX(PRECIO!O3:O423, MATCH(A21, PRECIO!A3:A423, 0))</f>
        <v>0</v>
      </c>
    </row>
    <row r="22" spans="1:6" x14ac:dyDescent="0.3">
      <c r="A22" s="128">
        <v>96</v>
      </c>
      <c r="B22" s="130" t="str">
        <f>INDEX(PRECIO!B3:B423, MATCH(A22, PRECIO!A3:A423, 0))</f>
        <v>PANT|ESTANDAR T6XL│ADULTO</v>
      </c>
      <c r="C22" s="130">
        <f>INDEX(PRECIO!C3:C423, MATCH(A22, PRECIO!A3:A423, 0))</f>
        <v>15</v>
      </c>
      <c r="D22" s="130">
        <f>INDEX(PRECIO!D3:D423, MATCH(A22, PRECIO!A3:A423, 0))</f>
        <v>13</v>
      </c>
      <c r="E22" s="130">
        <f>INDEX(PRECIO!E3:E423, MATCH(A22, PRECIO!A3:A423, 0))</f>
        <v>12</v>
      </c>
      <c r="F22" s="140">
        <f>INDEX(PRECIO!O3:O423, MATCH(A22, PRECIO!A3:A423, 0))</f>
        <v>0</v>
      </c>
    </row>
    <row r="23" spans="1:6" x14ac:dyDescent="0.3">
      <c r="A23" s="128">
        <v>97</v>
      </c>
      <c r="B23" s="130" t="str">
        <f>INDEX(PRECIO!B3:B423, MATCH(A23, PRECIO!A3:A423, 0))</f>
        <v>PANT|ESTANDAR T7XL│ADULTO</v>
      </c>
      <c r="C23" s="130">
        <f>INDEX(PRECIO!C3:C423, MATCH(A23, PRECIO!A3:A423, 0))</f>
        <v>16</v>
      </c>
      <c r="D23" s="130">
        <f>INDEX(PRECIO!D3:D423, MATCH(A23, PRECIO!A3:A423, 0))</f>
        <v>14</v>
      </c>
      <c r="E23" s="130">
        <f>INDEX(PRECIO!E3:E423, MATCH(A23, PRECIO!A3:A423, 0))</f>
        <v>13</v>
      </c>
      <c r="F23" s="140">
        <f>INDEX(PRECIO!O3:O423, MATCH(A23, PRECIO!A3:A423, 0))</f>
        <v>0</v>
      </c>
    </row>
    <row r="24" spans="1:6" x14ac:dyDescent="0.3">
      <c r="A24" s="128">
        <v>98</v>
      </c>
      <c r="B24" s="130" t="str">
        <f>INDEX(PRECIO!B3:B423, MATCH(A24, PRECIO!A3:A423, 0))</f>
        <v>PANT|ESTANDAR T8XL│ADULTO</v>
      </c>
      <c r="C24" s="130">
        <f>INDEX(PRECIO!C3:C423, MATCH(A24, PRECIO!A3:A423, 0))</f>
        <v>17</v>
      </c>
      <c r="D24" s="130">
        <f>INDEX(PRECIO!D3:D423, MATCH(A24, PRECIO!A3:A423, 0))</f>
        <v>15</v>
      </c>
      <c r="E24" s="130">
        <f>INDEX(PRECIO!E3:E423, MATCH(A24, PRECIO!A3:A423, 0))</f>
        <v>14</v>
      </c>
      <c r="F24" s="140">
        <f>INDEX(PRECIO!O3:O423, MATCH(A24, PRECIO!A3:A423, 0))</f>
        <v>0</v>
      </c>
    </row>
    <row r="25" spans="1:6" x14ac:dyDescent="0.3">
      <c r="A25" s="128">
        <v>99</v>
      </c>
      <c r="B25" s="130" t="str">
        <f>INDEX(PRECIO!B3:B423, MATCH(A25, PRECIO!A3:A423, 0))</f>
        <v>PANT|ESTANDAR T9XL│ADULTO</v>
      </c>
      <c r="C25" s="130">
        <f>INDEX(PRECIO!C3:C423, MATCH(A25, PRECIO!A3:A423, 0))</f>
        <v>18</v>
      </c>
      <c r="D25" s="130">
        <f>INDEX(PRECIO!D3:D423, MATCH(A25, PRECIO!A3:A423, 0))</f>
        <v>16</v>
      </c>
      <c r="E25" s="130">
        <f>INDEX(PRECIO!E3:E423, MATCH(A25, PRECIO!A3:A423, 0))</f>
        <v>15</v>
      </c>
      <c r="F25" s="140">
        <f>INDEX(PRECIO!O3:O423, MATCH(A25, PRECIO!A3:A423, 0))</f>
        <v>0</v>
      </c>
    </row>
    <row r="26" spans="1:6" ht="25.8" x14ac:dyDescent="0.3">
      <c r="A26" s="277" t="s">
        <v>318</v>
      </c>
      <c r="B26" s="277"/>
      <c r="C26" s="277"/>
      <c r="D26" s="277"/>
      <c r="E26" s="277"/>
      <c r="F26" s="137"/>
    </row>
    <row r="27" spans="1:6" x14ac:dyDescent="0.3">
      <c r="A27" s="122">
        <v>12</v>
      </c>
      <c r="B27" s="124" t="str">
        <f>INDEX(PRECIO!B3:B423, MATCH(A27, PRECIO!A3:A423, 0))</f>
        <v>PANT|PREMIUM|T26-30|NIÑOS</v>
      </c>
      <c r="C27" s="124">
        <f>INDEX(PRECIO!C3:C423, MATCH(A27, PRECIO!A3:A423, 0))</f>
        <v>9.5</v>
      </c>
      <c r="D27" s="124">
        <f>INDEX(PRECIO!D3:D423, MATCH(A27, PRECIO!A3:A423, 0))</f>
        <v>7.5</v>
      </c>
      <c r="E27" s="124">
        <f>INDEX(PRECIO!E3:E423, MATCH(A27, PRECIO!A3:A423, 0))</f>
        <v>6.5</v>
      </c>
      <c r="F27" s="139">
        <f>INDEX(PRECIO!O3:O423, MATCH(A27, PRECIO!A3:A423, 0))</f>
        <v>0</v>
      </c>
    </row>
    <row r="28" spans="1:6" x14ac:dyDescent="0.3">
      <c r="A28" s="122">
        <v>24</v>
      </c>
      <c r="B28" s="124" t="str">
        <f>INDEX(PRECIO!B3:B423, MATCH(A28, PRECIO!A3:A423, 0))</f>
        <v>PANT|PREMIUM|T32-36|NIÑOS</v>
      </c>
      <c r="C28" s="124">
        <f>INDEX(PRECIO!C3:C423, MATCH(A28, PRECIO!A3:A423, 0))</f>
        <v>10</v>
      </c>
      <c r="D28" s="124">
        <f>INDEX(PRECIO!D3:D423, MATCH(A28, PRECIO!A3:A423, 0))</f>
        <v>8</v>
      </c>
      <c r="E28" s="124">
        <f>INDEX(PRECIO!E3:E423, MATCH(A28, PRECIO!A3:A423, 0))</f>
        <v>7</v>
      </c>
      <c r="F28" s="139">
        <f>INDEX(PRECIO!O3:O423, MATCH(A28, PRECIO!A3:A423, 0))</f>
        <v>0</v>
      </c>
    </row>
    <row r="29" spans="1:6" x14ac:dyDescent="0.3">
      <c r="A29" s="128">
        <v>100</v>
      </c>
      <c r="B29" s="130" t="str">
        <f>INDEX(PRECIO!B3:B423, MATCH(A29, PRECIO!A3:A423, 0))</f>
        <v>PANT|PREMIUM|TXS-XL│ADULTO|JOV</v>
      </c>
      <c r="C29" s="130">
        <f>INDEX(PRECIO!C3:C423, MATCH(A29, PRECIO!A3:A423, 0))</f>
        <v>11</v>
      </c>
      <c r="D29" s="130">
        <f>INDEX(PRECIO!D3:D423, MATCH(A29, PRECIO!A3:A423, 0))</f>
        <v>9</v>
      </c>
      <c r="E29" s="130">
        <f>INDEX(PRECIO!E3:E423, MATCH(A29, PRECIO!A3:A423, 0))</f>
        <v>8</v>
      </c>
      <c r="F29" s="140">
        <f>INDEX(PRECIO!O3:O423, MATCH(A29, PRECIO!A3:A423, 0))</f>
        <v>0</v>
      </c>
    </row>
    <row r="30" spans="1:6" x14ac:dyDescent="0.3">
      <c r="A30" s="128">
        <v>101</v>
      </c>
      <c r="B30" s="130" t="str">
        <f>INDEX(PRECIO!B3:B423, MATCH(A30, PRECIO!A3:A423, 0))</f>
        <v>PANT|PREMIUM|T2XL│ADULTO</v>
      </c>
      <c r="C30" s="130">
        <f>INDEX(PRECIO!C3:C423, MATCH(A30, PRECIO!A3:A423, 0))</f>
        <v>12</v>
      </c>
      <c r="D30" s="130">
        <f>INDEX(PRECIO!D3:D423, MATCH(A30, PRECIO!A3:A423, 0))</f>
        <v>10</v>
      </c>
      <c r="E30" s="130">
        <f>INDEX(PRECIO!E3:E423, MATCH(A30, PRECIO!A3:A423, 0))</f>
        <v>9</v>
      </c>
      <c r="F30" s="140">
        <f>INDEX(PRECIO!O3:O423, MATCH(A30, PRECIO!A3:A423, 0))</f>
        <v>0</v>
      </c>
    </row>
    <row r="31" spans="1:6" x14ac:dyDescent="0.3">
      <c r="A31" s="128">
        <v>102</v>
      </c>
      <c r="B31" s="130" t="str">
        <f>INDEX(PRECIO!B3:B423, MATCH(A31, PRECIO!A3:A423, 0))</f>
        <v>PANT|PREMIUM|T3XL│ADULTO</v>
      </c>
      <c r="C31" s="130">
        <f>INDEX(PRECIO!C3:C423, MATCH(A31, PRECIO!A3:A423, 0))</f>
        <v>13</v>
      </c>
      <c r="D31" s="130">
        <f>INDEX(PRECIO!D3:D423, MATCH(A31, PRECIO!A3:A423, 0))</f>
        <v>11</v>
      </c>
      <c r="E31" s="130">
        <f>INDEX(PRECIO!E3:E423, MATCH(A31, PRECIO!A3:A423, 0))</f>
        <v>10</v>
      </c>
      <c r="F31" s="140">
        <f>INDEX(PRECIO!O3:O423, MATCH(A31, PRECIO!A3:A423, 0))</f>
        <v>0</v>
      </c>
    </row>
    <row r="32" spans="1:6" x14ac:dyDescent="0.3">
      <c r="A32" s="128">
        <v>103</v>
      </c>
      <c r="B32" s="130" t="str">
        <f>INDEX(PRECIO!B3:B423, MATCH(A32, PRECIO!A3:A423, 0))</f>
        <v>PANT|PREMIUM|T4XL│ADULTO</v>
      </c>
      <c r="C32" s="130">
        <f>INDEX(PRECIO!C3:C423, MATCH(A32, PRECIO!A3:A423, 0))</f>
        <v>14</v>
      </c>
      <c r="D32" s="130">
        <f>INDEX(PRECIO!D3:D423, MATCH(A32, PRECIO!A3:A423, 0))</f>
        <v>12</v>
      </c>
      <c r="E32" s="130">
        <f>INDEX(PRECIO!E3:E423, MATCH(A32, PRECIO!A3:A423, 0))</f>
        <v>11</v>
      </c>
      <c r="F32" s="140">
        <f>INDEX(PRECIO!O3:O423, MATCH(A32, PRECIO!A3:A423, 0))</f>
        <v>0</v>
      </c>
    </row>
    <row r="33" spans="1:6" x14ac:dyDescent="0.3">
      <c r="A33" s="128">
        <v>104</v>
      </c>
      <c r="B33" s="130" t="str">
        <f>INDEX(PRECIO!B3:B423, MATCH(A33, PRECIO!A3:A423, 0))</f>
        <v>PANT|PREMIUM|T5XL│ADULTO</v>
      </c>
      <c r="C33" s="130">
        <f>INDEX(PRECIO!C3:C423, MATCH(A33, PRECIO!A3:A423, 0))</f>
        <v>15</v>
      </c>
      <c r="D33" s="130">
        <f>INDEX(PRECIO!D3:D423, MATCH(A33, PRECIO!A3:A423, 0))</f>
        <v>13</v>
      </c>
      <c r="E33" s="130">
        <f>INDEX(PRECIO!E3:E423, MATCH(A33, PRECIO!A3:A423, 0))</f>
        <v>12</v>
      </c>
      <c r="F33" s="140">
        <f>INDEX(PRECIO!O3:O423, MATCH(A33, PRECIO!A3:A423, 0))</f>
        <v>0</v>
      </c>
    </row>
    <row r="34" spans="1:6" x14ac:dyDescent="0.3">
      <c r="A34" s="128">
        <v>105</v>
      </c>
      <c r="B34" s="130" t="str">
        <f>INDEX(PRECIO!B3:B423, MATCH(A34, PRECIO!A3:A423, 0))</f>
        <v>PANT|PREMIUM|T6XL│ADULTO</v>
      </c>
      <c r="C34" s="130">
        <f>INDEX(PRECIO!C3:C423, MATCH(A34, PRECIO!A3:A423, 0))</f>
        <v>16</v>
      </c>
      <c r="D34" s="130">
        <f>INDEX(PRECIO!D3:D423, MATCH(A34, PRECIO!A3:A423, 0))</f>
        <v>14</v>
      </c>
      <c r="E34" s="130">
        <f>INDEX(PRECIO!E3:E423, MATCH(A34, PRECIO!A3:A423, 0))</f>
        <v>13</v>
      </c>
      <c r="F34" s="140">
        <f>INDEX(PRECIO!O3:O423, MATCH(A34, PRECIO!A3:A423, 0))</f>
        <v>0</v>
      </c>
    </row>
    <row r="35" spans="1:6" x14ac:dyDescent="0.3">
      <c r="A35" s="128">
        <v>106</v>
      </c>
      <c r="B35" s="130" t="str">
        <f>INDEX(PRECIO!B3:B423, MATCH(A35, PRECIO!A3:A423, 0))</f>
        <v>PANT|PREMIUM|T7XL│ADULTO</v>
      </c>
      <c r="C35" s="130">
        <f>INDEX(PRECIO!C3:C423, MATCH(A35, PRECIO!A3:A423, 0))</f>
        <v>17</v>
      </c>
      <c r="D35" s="130">
        <f>INDEX(PRECIO!D3:D423, MATCH(A35, PRECIO!A3:A423, 0))</f>
        <v>15</v>
      </c>
      <c r="E35" s="130">
        <f>INDEX(PRECIO!E3:E423, MATCH(A35, PRECIO!A3:A423, 0))</f>
        <v>14</v>
      </c>
      <c r="F35" s="140">
        <f>INDEX(PRECIO!O3:O423, MATCH(A35, PRECIO!A3:A423, 0))</f>
        <v>0</v>
      </c>
    </row>
    <row r="36" spans="1:6" x14ac:dyDescent="0.3">
      <c r="A36" s="128">
        <v>107</v>
      </c>
      <c r="B36" s="130" t="str">
        <f>INDEX(PRECIO!B3:B423, MATCH(A36, PRECIO!A3:A423, 0))</f>
        <v>PANT|PREMIUM|T8XL│ADULTO</v>
      </c>
      <c r="C36" s="130">
        <f>INDEX(PRECIO!C3:C423, MATCH(A36, PRECIO!A3:A423, 0))</f>
        <v>18</v>
      </c>
      <c r="D36" s="130">
        <f>INDEX(PRECIO!D3:D423, MATCH(A36, PRECIO!A3:A423, 0))</f>
        <v>16</v>
      </c>
      <c r="E36" s="130">
        <f>INDEX(PRECIO!E3:E423, MATCH(A36, PRECIO!A3:A423, 0))</f>
        <v>15</v>
      </c>
      <c r="F36" s="140">
        <f>INDEX(PRECIO!O3:O423, MATCH(A36, PRECIO!A3:A423, 0))</f>
        <v>0</v>
      </c>
    </row>
    <row r="37" spans="1:6" x14ac:dyDescent="0.3">
      <c r="A37" s="128">
        <v>108</v>
      </c>
      <c r="B37" s="130" t="str">
        <f>INDEX(PRECIO!B3:B423, MATCH(A37, PRECIO!A3:A423, 0))</f>
        <v>PANT|PREMIUM|T9XL│ADULTO</v>
      </c>
      <c r="C37" s="130">
        <f>INDEX(PRECIO!C3:C423, MATCH(A37, PRECIO!A3:A423, 0))</f>
        <v>19</v>
      </c>
      <c r="D37" s="130">
        <f>INDEX(PRECIO!D3:D423, MATCH(A37, PRECIO!A3:A423, 0))</f>
        <v>17</v>
      </c>
      <c r="E37" s="130">
        <f>INDEX(PRECIO!E3:E423, MATCH(A37, PRECIO!A3:A423, 0))</f>
        <v>16</v>
      </c>
      <c r="F37" s="140">
        <f>INDEX(PRECIO!O3:O423, MATCH(A37, PRECIO!A3:A423, 0))</f>
        <v>0</v>
      </c>
    </row>
    <row r="38" spans="1:6" ht="25.8" x14ac:dyDescent="0.3">
      <c r="A38" s="277" t="s">
        <v>332</v>
      </c>
      <c r="B38" s="277"/>
      <c r="C38" s="277"/>
      <c r="D38" s="277"/>
      <c r="E38" s="277"/>
      <c r="F38" s="137"/>
    </row>
    <row r="39" spans="1:6" x14ac:dyDescent="0.3">
      <c r="A39" s="128">
        <v>411</v>
      </c>
      <c r="B39" s="130" t="str">
        <f>INDEX(PRECIO!B3:B423, MATCH(A39, PRECIO!A3:A423, 0))</f>
        <v>PANT|VESTIR|TXS-XL│ADULTO</v>
      </c>
      <c r="C39" s="130">
        <f>INDEX(PRECIO!C3:C423, MATCH(A39, PRECIO!A3:A423, 0))</f>
        <v>13</v>
      </c>
      <c r="D39" s="130">
        <f>INDEX(PRECIO!D3:D423, MATCH(A39, PRECIO!A3:A423, 0))</f>
        <v>11</v>
      </c>
      <c r="E39" s="130">
        <f>INDEX(PRECIO!E3:E423, MATCH(A39, PRECIO!A3:A423, 0))</f>
        <v>10</v>
      </c>
      <c r="F39" s="140">
        <f>INDEX(PRECIO!O3:O423, MATCH(A39, PRECIO!A3:A423, 0))</f>
        <v>0</v>
      </c>
    </row>
    <row r="40" spans="1:6" x14ac:dyDescent="0.3">
      <c r="A40" s="128">
        <v>412</v>
      </c>
      <c r="B40" s="130" t="str">
        <f>INDEX(PRECIO!B3:B423, MATCH(A40, PRECIO!A3:A423, 0))</f>
        <v>PANT|VESTIR|T2XL│ADULTO</v>
      </c>
      <c r="C40" s="130">
        <f>INDEX(PRECIO!C3:C423, MATCH(A40, PRECIO!A3:A423, 0))</f>
        <v>14</v>
      </c>
      <c r="D40" s="130">
        <f>INDEX(PRECIO!D3:D423, MATCH(A40, PRECIO!A3:A423, 0))</f>
        <v>12</v>
      </c>
      <c r="E40" s="130">
        <f>INDEX(PRECIO!E3:E423, MATCH(A40, PRECIO!A3:A423, 0))</f>
        <v>11</v>
      </c>
      <c r="F40" s="140">
        <f>INDEX(PRECIO!O3:O423, MATCH(A40, PRECIO!A3:A423, 0))</f>
        <v>0</v>
      </c>
    </row>
    <row r="41" spans="1:6" x14ac:dyDescent="0.3">
      <c r="A41" s="128">
        <v>413</v>
      </c>
      <c r="B41" s="130" t="str">
        <f>INDEX(PRECIO!B3:B423, MATCH(A41, PRECIO!A3:A423, 0))</f>
        <v>PANT|VESTIR|T3XL│ADULTO</v>
      </c>
      <c r="C41" s="130">
        <f>INDEX(PRECIO!C3:C423, MATCH(A41, PRECIO!A3:A423, 0))</f>
        <v>15</v>
      </c>
      <c r="D41" s="130">
        <f>INDEX(PRECIO!D3:D423, MATCH(A41, PRECIO!A3:A423, 0))</f>
        <v>13</v>
      </c>
      <c r="E41" s="130">
        <f>INDEX(PRECIO!E3:E423, MATCH(A41, PRECIO!A3:A423, 0))</f>
        <v>12</v>
      </c>
      <c r="F41" s="140">
        <f>INDEX(PRECIO!O3:O423, MATCH(A41, PRECIO!A3:A423, 0))</f>
        <v>0</v>
      </c>
    </row>
    <row r="42" spans="1:6" x14ac:dyDescent="0.3">
      <c r="A42" s="128">
        <v>414</v>
      </c>
      <c r="B42" s="130" t="str">
        <f>INDEX(PRECIO!B3:B423, MATCH(A42, PRECIO!A3:A423, 0))</f>
        <v>PANT|VESTIR|T4XL│ADULTO</v>
      </c>
      <c r="C42" s="130">
        <f>INDEX(PRECIO!C3:C423, MATCH(A42, PRECIO!A3:A423, 0))</f>
        <v>16</v>
      </c>
      <c r="D42" s="130">
        <f>INDEX(PRECIO!D3:D423, MATCH(A42, PRECIO!A3:A423, 0))</f>
        <v>14</v>
      </c>
      <c r="E42" s="130">
        <f>INDEX(PRECIO!E3:E423, MATCH(A42, PRECIO!A3:A423, 0))</f>
        <v>13</v>
      </c>
      <c r="F42" s="140">
        <f>INDEX(PRECIO!O3:O423, MATCH(A42, PRECIO!A3:A423, 0))</f>
        <v>0</v>
      </c>
    </row>
    <row r="43" spans="1:6" x14ac:dyDescent="0.3">
      <c r="A43" s="128">
        <v>415</v>
      </c>
      <c r="B43" s="130" t="str">
        <f>INDEX(PRECIO!B3:B423, MATCH(A43, PRECIO!A3:A423, 0))</f>
        <v>PANT|VESTIR|T5XL│ADULTO</v>
      </c>
      <c r="C43" s="130">
        <f>INDEX(PRECIO!C3:C423, MATCH(A43, PRECIO!A3:A423, 0))</f>
        <v>17</v>
      </c>
      <c r="D43" s="130">
        <f>INDEX(PRECIO!D3:D423, MATCH(A43, PRECIO!A3:A423, 0))</f>
        <v>15</v>
      </c>
      <c r="E43" s="130">
        <f>INDEX(PRECIO!E3:E423, MATCH(A43, PRECIO!A3:A423, 0))</f>
        <v>14</v>
      </c>
      <c r="F43" s="140">
        <f>INDEX(PRECIO!O3:O423, MATCH(A43, PRECIO!A3:A423, 0))</f>
        <v>0</v>
      </c>
    </row>
    <row r="44" spans="1:6" x14ac:dyDescent="0.3">
      <c r="A44" s="128">
        <v>416</v>
      </c>
      <c r="B44" s="130" t="str">
        <f>INDEX(PRECIO!B3:B423, MATCH(A44, PRECIO!A3:A423, 0))</f>
        <v>PANT|VESTIR| T6XL│ADULTO</v>
      </c>
      <c r="C44" s="130">
        <f>INDEX(PRECIO!C3:C423, MATCH(A44, PRECIO!A3:A423, 0))</f>
        <v>18</v>
      </c>
      <c r="D44" s="130">
        <f>INDEX(PRECIO!D3:D423, MATCH(A44, PRECIO!A3:A423, 0))</f>
        <v>16</v>
      </c>
      <c r="E44" s="130">
        <f>INDEX(PRECIO!E3:E423, MATCH(A44, PRECIO!A3:A423, 0))</f>
        <v>15</v>
      </c>
      <c r="F44" s="140">
        <f>INDEX(PRECIO!O3:O423, MATCH(A44, PRECIO!A3:A423, 0))</f>
        <v>0</v>
      </c>
    </row>
    <row r="45" spans="1:6" x14ac:dyDescent="0.3">
      <c r="A45" s="128">
        <v>417</v>
      </c>
      <c r="B45" s="130" t="str">
        <f>INDEX(PRECIO!B3:B423, MATCH(A45, PRECIO!A3:A423, 0))</f>
        <v>PANT|VESTIR|T7XL│ADULTO</v>
      </c>
      <c r="C45" s="130">
        <f>INDEX(PRECIO!C3:C423, MATCH(A45, PRECIO!A3:A423, 0))</f>
        <v>19</v>
      </c>
      <c r="D45" s="130">
        <f>INDEX(PRECIO!D3:D423, MATCH(A45, PRECIO!A3:A423, 0))</f>
        <v>17</v>
      </c>
      <c r="E45" s="130">
        <f>INDEX(PRECIO!E3:E423, MATCH(A45, PRECIO!A3:A423, 0))</f>
        <v>16</v>
      </c>
      <c r="F45" s="140">
        <f>INDEX(PRECIO!O3:O423, MATCH(A45, PRECIO!A3:A423, 0))</f>
        <v>0</v>
      </c>
    </row>
    <row r="46" spans="1:6" x14ac:dyDescent="0.3">
      <c r="A46" s="128">
        <v>418</v>
      </c>
      <c r="B46" s="130" t="str">
        <f>INDEX(PRECIO!B3:B423, MATCH(A46, PRECIO!A3:A423, 0))</f>
        <v>PANT|VESTIR|T8XL│ADULTO</v>
      </c>
      <c r="C46" s="130">
        <f>INDEX(PRECIO!C3:C423, MATCH(A46, PRECIO!A3:A423, 0))</f>
        <v>20</v>
      </c>
      <c r="D46" s="130">
        <f>INDEX(PRECIO!D3:D423, MATCH(A46, PRECIO!A3:A423, 0))</f>
        <v>18</v>
      </c>
      <c r="E46" s="130">
        <f>INDEX(PRECIO!E3:E423, MATCH(A46, PRECIO!A3:A423, 0))</f>
        <v>17</v>
      </c>
      <c r="F46" s="140">
        <f>INDEX(PRECIO!O3:O423, MATCH(A46, PRECIO!A3:A423, 0))</f>
        <v>0</v>
      </c>
    </row>
    <row r="47" spans="1:6" x14ac:dyDescent="0.3">
      <c r="A47" s="128">
        <v>419</v>
      </c>
      <c r="B47" s="130" t="str">
        <f>INDEX(PRECIO!B3:B423, MATCH(A47, PRECIO!A3:A423, 0))</f>
        <v>PANT|VESTIR|T9XL│ADULTO</v>
      </c>
      <c r="C47" s="130">
        <f>INDEX(PRECIO!C3:C423, MATCH(A47, PRECIO!A3:A423, 0))</f>
        <v>21</v>
      </c>
      <c r="D47" s="130">
        <f>INDEX(PRECIO!D3:D423, MATCH(A47, PRECIO!A3:A423, 0))</f>
        <v>19</v>
      </c>
      <c r="E47" s="130">
        <f>INDEX(PRECIO!E3:E423, MATCH(A47, PRECIO!A3:A423, 0))</f>
        <v>18</v>
      </c>
      <c r="F47" s="140">
        <f>INDEX(PRECIO!O3:O423, MATCH(A47, PRECIO!A3:A423, 0))</f>
        <v>0</v>
      </c>
    </row>
  </sheetData>
  <mergeCells count="4">
    <mergeCell ref="A1:E1"/>
    <mergeCell ref="A14:E14"/>
    <mergeCell ref="A26:E26"/>
    <mergeCell ref="A38:E38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DE7D-F2B4-4330-B38E-E1C1BCDD0535}">
  <sheetPr codeName="Hoja5"/>
  <dimension ref="A1:H30"/>
  <sheetViews>
    <sheetView zoomScaleNormal="100" workbookViewId="0">
      <pane ySplit="2" topLeftCell="A3" activePane="bottomLeft" state="frozenSplit"/>
      <selection activeCell="I14" sqref="I14"/>
      <selection pane="bottomLeft" activeCell="G26" sqref="G26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5" width="11.44140625" style="109"/>
    <col min="6" max="6" width="11.44140625" style="141"/>
  </cols>
  <sheetData>
    <row r="1" spans="1:8" ht="29.25" customHeight="1" x14ac:dyDescent="0.3">
      <c r="A1" s="277" t="s">
        <v>1133</v>
      </c>
      <c r="B1" s="277"/>
      <c r="C1" s="277"/>
      <c r="D1" s="277"/>
      <c r="E1" s="277"/>
      <c r="F1" s="137"/>
    </row>
    <row r="2" spans="1:8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8" x14ac:dyDescent="0.3">
      <c r="A3" s="149">
        <v>4</v>
      </c>
      <c r="B3" s="150" t="str">
        <f>INDEX(PRECIO!B3:B423, MATCH(A3, PRECIO!A3:A423, 0))</f>
        <v>UNIF|ECO|T26-30│NIÑOS</v>
      </c>
      <c r="C3" s="150">
        <f>INDEX(PRECIO!C3:C423, MATCH(A3, PRECIO!A3:A423, 0))</f>
        <v>14.5</v>
      </c>
      <c r="D3" s="150">
        <f>INDEX(PRECIO!D3:D423, MATCH(A3, PRECIO!A3:A423, 0))</f>
        <v>11.5</v>
      </c>
      <c r="E3" s="150">
        <f>INDEX(PRECIO!E3:E423, MATCH(A3, PRECIO!A3:A423, 0))</f>
        <v>10.5</v>
      </c>
      <c r="F3" s="141">
        <f>INDEX(PRECIO!O3:O423, MATCH(A3, PRECIO!A3:A423, 0))</f>
        <v>0</v>
      </c>
      <c r="H3" s="259">
        <f>+C7-D3</f>
        <v>3</v>
      </c>
    </row>
    <row r="4" spans="1:8" x14ac:dyDescent="0.3">
      <c r="A4" s="111">
        <v>7</v>
      </c>
      <c r="B4" s="109" t="str">
        <f>INDEX(PRECIO!B3:B423, MATCH(A4, PRECIO!A3:A423, 0))</f>
        <v>CAMI|ECO|T26-30|NIÑOS</v>
      </c>
      <c r="C4" s="109">
        <f>INDEX(PRECIO!C3:C423, MATCH(A4, PRECIO!A3:A423, 0))</f>
        <v>9</v>
      </c>
      <c r="D4" s="109">
        <f>INDEX(PRECIO!D3:D423, MATCH(A4, PRECIO!A3:A423, 0))</f>
        <v>6.5</v>
      </c>
      <c r="E4" s="109">
        <f>INDEX(PRECIO!E3:E423, MATCH(A4, PRECIO!A3:A423, 0))</f>
        <v>5.5</v>
      </c>
      <c r="F4" s="141">
        <f>INDEX(PRECIO!O3:O423, MATCH(A4, PRECIO!A3:A423, 0))</f>
        <v>0</v>
      </c>
    </row>
    <row r="5" spans="1:8" x14ac:dyDescent="0.3">
      <c r="A5" s="111">
        <v>10</v>
      </c>
      <c r="B5" s="109" t="str">
        <f>INDEX(PRECIO!B3:B423, MATCH(A5, PRECIO!A3:A423, 0))</f>
        <v>PANT|ECO|T26-30|NIÑOS</v>
      </c>
      <c r="C5" s="109">
        <f>INDEX(PRECIO!C3:C423, MATCH(A5, PRECIO!A3:A423, 0))</f>
        <v>3.5</v>
      </c>
      <c r="D5" s="109">
        <f>+E5</f>
        <v>3</v>
      </c>
      <c r="E5" s="109">
        <f>INDEX(PRECIO!E3:E423, MATCH(A5, PRECIO!A3:A423, 0))</f>
        <v>3</v>
      </c>
      <c r="F5" s="141">
        <f>INDEX(PRECIO!O3:O423, MATCH(A5, PRECIO!A3:A423, 0))</f>
        <v>3.63</v>
      </c>
    </row>
    <row r="6" spans="1:8" x14ac:dyDescent="0.3">
      <c r="A6" s="111">
        <v>421</v>
      </c>
      <c r="B6" s="109" t="str">
        <f>INDEX(PRECIO!B3:B424, MATCH(A6, PRECIO!A3:A424, 0))</f>
        <v>POLIN 4-6</v>
      </c>
      <c r="C6" s="109">
        <v>2</v>
      </c>
      <c r="D6" s="109">
        <v>2</v>
      </c>
      <c r="E6" s="109">
        <f>INDEX(PRECIO!E3:E424, MATCH(A6, PRECIO!A3:A424, 0))</f>
        <v>2</v>
      </c>
      <c r="F6" s="141">
        <f>INDEX(PRECIO!O3:O424, MATCH(A6, PRECIO!A3:A424, 0))</f>
        <v>0</v>
      </c>
    </row>
    <row r="7" spans="1:8" x14ac:dyDescent="0.3">
      <c r="A7" s="111"/>
      <c r="C7" s="260">
        <f>SUM(C4:C6)</f>
        <v>14.5</v>
      </c>
      <c r="D7" s="261">
        <f>SUM(D4:D6)</f>
        <v>11.5</v>
      </c>
      <c r="E7" s="148">
        <f>SUM(E4:E6)</f>
        <v>10.5</v>
      </c>
    </row>
    <row r="8" spans="1:8" x14ac:dyDescent="0.3">
      <c r="A8" s="149">
        <v>16</v>
      </c>
      <c r="B8" s="150" t="str">
        <f>INDEX(PRECIO!B3:B423, MATCH(A8, PRECIO!A3:A423, 0))</f>
        <v>UNIF|ECO|T32-36|NIÑOS</v>
      </c>
      <c r="C8" s="150">
        <f>INDEX(PRECIO!C3:C423, MATCH(A8, PRECIO!A3:A423, 0))</f>
        <v>15</v>
      </c>
      <c r="D8" s="150">
        <f>INDEX(PRECIO!D3:D423, MATCH(A8, PRECIO!A3:A423, 0))</f>
        <v>12</v>
      </c>
      <c r="E8" s="150">
        <f>INDEX(PRECIO!E3:E423, MATCH(A8, PRECIO!A3:A423, 0))</f>
        <v>11</v>
      </c>
      <c r="F8" s="176">
        <f>INDEX(PRECIO!O3:O423, MATCH(A8, PRECIO!A3:A423, 0))</f>
        <v>0</v>
      </c>
      <c r="H8" s="259">
        <f>+C12-D8</f>
        <v>3</v>
      </c>
    </row>
    <row r="9" spans="1:8" x14ac:dyDescent="0.3">
      <c r="A9" s="111">
        <v>19</v>
      </c>
      <c r="B9" s="109" t="str">
        <f>INDEX(PRECIO!B3:B423, MATCH(A9, PRECIO!A3:A423, 0))</f>
        <v>CAMI|ECO|T32-36│NIÑOS</v>
      </c>
      <c r="C9" s="109">
        <f>INDEX(PRECIO!C3:C423, MATCH(A9, PRECIO!A3:A423, 0))</f>
        <v>9</v>
      </c>
      <c r="D9" s="109">
        <f>INDEX(PRECIO!D3:D423, MATCH(A9, PRECIO!A3:A423, 0))</f>
        <v>7</v>
      </c>
      <c r="E9" s="109">
        <f>INDEX(PRECIO!E3:E423, MATCH(A9, PRECIO!A3:A423, 0))</f>
        <v>6</v>
      </c>
      <c r="F9" s="141">
        <f>INDEX(PRECIO!O3:O423, MATCH(A9, PRECIO!A3:A423, 0))</f>
        <v>4.7699999999999996</v>
      </c>
    </row>
    <row r="10" spans="1:8" x14ac:dyDescent="0.3">
      <c r="A10" s="111">
        <v>22</v>
      </c>
      <c r="B10" s="109" t="str">
        <f>INDEX(PRECIO!B3:B423, MATCH(A10, PRECIO!A3:A423, 0))</f>
        <v>PANT|ECO|T32-36|NIÑOS</v>
      </c>
      <c r="C10" s="109">
        <f>INDEX(PRECIO!C3:C428, MATCH(A10, PRECIO!A3:A428, 0))</f>
        <v>3.5</v>
      </c>
      <c r="D10" s="109">
        <f>INDEX(PRECIO!D3:D428, MATCH(A10, PRECIO!A3:A428, 0))</f>
        <v>3.5</v>
      </c>
      <c r="E10" s="109">
        <f>INDEX(PRECIO!E3:E423, MATCH(A10, PRECIO!A3:A423, 0))</f>
        <v>3.5</v>
      </c>
      <c r="F10" s="141">
        <f>INDEX(PRECIO!O3:O423, MATCH(A10, PRECIO!A3:A423, 0))</f>
        <v>2.16</v>
      </c>
    </row>
    <row r="11" spans="1:8" x14ac:dyDescent="0.3">
      <c r="A11" s="111">
        <v>420</v>
      </c>
      <c r="B11" s="109" t="str">
        <f>INDEX(PRECIO!B3:B427, MATCH(A11, PRECIO!A3:A427, 0))</f>
        <v>POLIN 6-8|8-10</v>
      </c>
      <c r="C11" s="109">
        <v>2.5</v>
      </c>
      <c r="D11" s="109">
        <v>2.5</v>
      </c>
      <c r="E11" s="109">
        <f>INDEX(PRECIO!E3:E427, MATCH(A11, PRECIO!A3:A427, 0))</f>
        <v>2.5</v>
      </c>
      <c r="F11" s="141">
        <f>INDEX(PRECIO!O3:O427, MATCH(A11, PRECIO!A3:A427, 0))</f>
        <v>0</v>
      </c>
    </row>
    <row r="12" spans="1:8" x14ac:dyDescent="0.3">
      <c r="A12" s="111"/>
      <c r="C12" s="260">
        <f>SUM(C9:C11)</f>
        <v>15</v>
      </c>
      <c r="D12" s="261">
        <f>SUM(D9:D11)</f>
        <v>13</v>
      </c>
      <c r="E12" s="148">
        <f>SUM(E9:E11)</f>
        <v>12</v>
      </c>
    </row>
    <row r="13" spans="1:8" x14ac:dyDescent="0.3">
      <c r="A13" s="149">
        <v>422</v>
      </c>
      <c r="B13" s="150" t="str">
        <f>INDEX(PRECIO!B3:B427, MATCH(A13, PRECIO!A3:A427, 0))</f>
        <v>UNIF|ECO|T38-42|JOVEN</v>
      </c>
      <c r="C13" s="150">
        <f>INDEX(PRECIO!C3:C427, MATCH(A13, PRECIO!A3:A427, 0))</f>
        <v>16</v>
      </c>
      <c r="D13" s="150">
        <f>INDEX(PRECIO!D3:D427, MATCH(A13, PRECIO!A3:A427, 0))</f>
        <v>13</v>
      </c>
      <c r="E13" s="150">
        <f>INDEX(PRECIO!E3:E427, MATCH(A13, PRECIO!A3:A427, 0))</f>
        <v>12</v>
      </c>
      <c r="F13" s="141">
        <f>INDEX(PRECIO!O3:O429, MATCH(A13, PRECIO!A3:A429, 0))</f>
        <v>10.19</v>
      </c>
      <c r="H13" s="259">
        <f>+C17-D13</f>
        <v>3</v>
      </c>
    </row>
    <row r="14" spans="1:8" x14ac:dyDescent="0.3">
      <c r="A14" s="111">
        <v>293</v>
      </c>
      <c r="B14" s="109" t="str">
        <f>INDEX(PRECIO!B3:B427, MATCH(A14, PRECIO!A3:A427, 0))</f>
        <v>CAMI|ECO|T38-42│JOV</v>
      </c>
      <c r="C14" s="109">
        <f>INDEX(PRECIO!C3:C427, MATCH(A14, PRECIO!A3:A427, 0))</f>
        <v>10</v>
      </c>
      <c r="D14" s="109">
        <f>INDEX(PRECIO!D3:D427, MATCH(A14, PRECIO!A3:A427, 0))</f>
        <v>8</v>
      </c>
      <c r="E14" s="109">
        <f>INDEX(PRECIO!E3:E427, MATCH(A14, PRECIO!A3:A427, 0))</f>
        <v>7</v>
      </c>
      <c r="F14" s="141">
        <f>INDEX(PRECIO!O3:O423, MATCH(A14, PRECIO!A3:A423, 0))</f>
        <v>5.68</v>
      </c>
    </row>
    <row r="15" spans="1:8" x14ac:dyDescent="0.3">
      <c r="A15" s="111">
        <v>82</v>
      </c>
      <c r="B15" s="109" t="str">
        <f>INDEX(PRECIO!B3:B427, MATCH(A15, PRECIO!A3:A427, 0))</f>
        <v>PANT|ECO|TXS-XL│ADULTO</v>
      </c>
      <c r="C15" s="109">
        <f>INDEX(PRECIO!C3:C427, MATCH(A15, PRECIO!A3:A427, 0))</f>
        <v>3.5</v>
      </c>
      <c r="D15" s="109">
        <f>INDEX(PRECIO!D3:D427, MATCH(A15, PRECIO!A3:A427, 0))</f>
        <v>3.5</v>
      </c>
      <c r="E15" s="109">
        <f>INDEX(PRECIO!E3:E427, MATCH(A15, PRECIO!A3:A427, 0))</f>
        <v>3.5</v>
      </c>
      <c r="F15" s="141">
        <f>INDEX(PRECIO!O3:O423, MATCH(A15, PRECIO!A3:A423, 0))</f>
        <v>3.57</v>
      </c>
    </row>
    <row r="16" spans="1:8" x14ac:dyDescent="0.3">
      <c r="A16" s="111">
        <v>420</v>
      </c>
      <c r="B16" s="109" t="str">
        <f>INDEX(PRECIO!B3:B432, MATCH(A16, PRECIO!A3:A432, 0))</f>
        <v>POLIN 6-8|8-10</v>
      </c>
      <c r="C16" s="109">
        <v>2.5</v>
      </c>
      <c r="D16" s="109">
        <f>+E16</f>
        <v>2.5</v>
      </c>
      <c r="E16" s="109">
        <f>INDEX(PRECIO!E3:E432, MATCH(A16, PRECIO!A3:A432, 0))</f>
        <v>2.5</v>
      </c>
    </row>
    <row r="17" spans="1:8" x14ac:dyDescent="0.3">
      <c r="A17" s="111"/>
      <c r="C17" s="260">
        <f>SUM(C14:C16)</f>
        <v>16</v>
      </c>
      <c r="D17" s="261">
        <f>SUM(D14:D16)</f>
        <v>14</v>
      </c>
      <c r="E17" s="148">
        <f>SUM(E14:E16)</f>
        <v>13</v>
      </c>
    </row>
    <row r="18" spans="1:8" x14ac:dyDescent="0.3">
      <c r="A18" s="149">
        <v>28</v>
      </c>
      <c r="B18" s="150" t="str">
        <f>INDEX(PRECIO!B3:B423, MATCH(A18, PRECIO!A3:A423, 0))</f>
        <v>UNIF|ECO|TXS-XL│ADULTO</v>
      </c>
      <c r="C18" s="150">
        <f>INDEX(PRECIO!C3:C423, MATCH(A18, PRECIO!A3:A423, 0))</f>
        <v>17</v>
      </c>
      <c r="D18" s="150">
        <f>INDEX(PRECIO!D3:D423, MATCH(A18, PRECIO!A3:A423, 0))</f>
        <v>14</v>
      </c>
      <c r="E18" s="150">
        <f>INDEX(PRECIO!E3:E423, MATCH(A18, PRECIO!A3:A423, 0))</f>
        <v>13</v>
      </c>
      <c r="F18" s="141">
        <f>INDEX(PRECIO!O3:O423, MATCH(A18, PRECIO!A3:A423, 0))</f>
        <v>10.19</v>
      </c>
      <c r="H18" s="259">
        <f>+C22-D18</f>
        <v>3</v>
      </c>
    </row>
    <row r="19" spans="1:8" x14ac:dyDescent="0.3">
      <c r="A19" s="111">
        <v>55</v>
      </c>
      <c r="B19" s="109" t="str">
        <f>INDEX(PRECIO!B3:B423, MATCH(A19, PRECIO!A3:A423, 0))</f>
        <v>CAMI|ECO|TXS-XL│ADULTO</v>
      </c>
      <c r="C19" s="109">
        <f>INDEX(PRECIO!C3:C423, MATCH(A19, PRECIO!A3:A423, 0))</f>
        <v>11</v>
      </c>
      <c r="D19" s="109">
        <f>INDEX(PRECIO!D3:D423, MATCH(A19, PRECIO!A3:A423, 0))</f>
        <v>9</v>
      </c>
      <c r="E19" s="109">
        <f>INDEX(PRECIO!E3:E423, MATCH(A19, PRECIO!A3:A423, 0))</f>
        <v>8</v>
      </c>
      <c r="F19" s="141">
        <f>INDEX(PRECIO!O3:O423, MATCH(A19, PRECIO!A3:A423, 0))</f>
        <v>6.15</v>
      </c>
    </row>
    <row r="20" spans="1:8" x14ac:dyDescent="0.3">
      <c r="A20" s="111">
        <v>82</v>
      </c>
      <c r="B20" s="109" t="str">
        <f>INDEX(PRECIO!B3:B423, MATCH(A20, PRECIO!A3:A423, 0))</f>
        <v>PANT|ECO|TXS-XL│ADULTO</v>
      </c>
      <c r="C20" s="109">
        <f>INDEX(PRECIO!C3:C423, MATCH(A20, PRECIO!A3:A423, 0))</f>
        <v>3.5</v>
      </c>
      <c r="D20" s="109">
        <f>INDEX(PRECIO!D3:D423, MATCH(A20, PRECIO!A3:A423, 0))</f>
        <v>3.5</v>
      </c>
      <c r="E20" s="109">
        <f>INDEX(PRECIO!E3:E423, MATCH(A20, PRECIO!A3:A423, 0))</f>
        <v>3.5</v>
      </c>
      <c r="F20" s="141">
        <f>INDEX(PRECIO!O3:O423, MATCH(A20, PRECIO!A3:A423, 0))</f>
        <v>3.57</v>
      </c>
    </row>
    <row r="21" spans="1:8" x14ac:dyDescent="0.3">
      <c r="A21" s="111">
        <v>420</v>
      </c>
      <c r="B21" s="109" t="str">
        <f>INDEX(PRECIO!B3:B431, MATCH(A21, PRECIO!A3:A431, 0))</f>
        <v>POLIN 6-8|8-10</v>
      </c>
      <c r="C21" s="109">
        <v>2.5</v>
      </c>
      <c r="D21" s="109">
        <f>+E21</f>
        <v>2.5</v>
      </c>
      <c r="E21" s="109">
        <f>INDEX(PRECIO!E3:E431, MATCH(A21, PRECIO!A3:A431, 0))</f>
        <v>2.5</v>
      </c>
    </row>
    <row r="22" spans="1:8" x14ac:dyDescent="0.3">
      <c r="A22" s="111"/>
      <c r="C22" s="260">
        <f>SUM(C19:C21)</f>
        <v>17</v>
      </c>
      <c r="D22" s="261">
        <f>SUM(D19:D21)</f>
        <v>15</v>
      </c>
      <c r="E22" s="148">
        <f>SUM(E19:E21)</f>
        <v>14</v>
      </c>
    </row>
    <row r="23" spans="1:8" x14ac:dyDescent="0.3">
      <c r="A23" s="111">
        <v>29</v>
      </c>
      <c r="B23" s="109" t="str">
        <f>INDEX(PRECIO!B3:B423, MATCH(A23, PRECIO!A3:A423, 0))</f>
        <v>UNIF|ECO|T2XL│ADULTO</v>
      </c>
      <c r="C23" s="109">
        <f>INDEX(PRECIO!C3:C423, MATCH(A23, PRECIO!A3:A423, 0))</f>
        <v>18</v>
      </c>
      <c r="D23" s="109">
        <f>INDEX(PRECIO!D3:D423, MATCH(A23, PRECIO!A3:A423, 0))</f>
        <v>15</v>
      </c>
      <c r="E23" s="109">
        <f>INDEX(PRECIO!E3:E423, MATCH(A23, PRECIO!A3:A423, 0))</f>
        <v>14</v>
      </c>
      <c r="F23" s="141">
        <f>INDEX(PRECIO!O3:O423, MATCH(A23, PRECIO!A3:A423, 0))</f>
        <v>0</v>
      </c>
    </row>
    <row r="24" spans="1:8" x14ac:dyDescent="0.3">
      <c r="A24" s="111">
        <v>30</v>
      </c>
      <c r="B24" s="109" t="str">
        <f>INDEX(PRECIO!B3:B423, MATCH(A24, PRECIO!A3:A423, 0))</f>
        <v>UNIF|ECO|T3XL│ADULTO</v>
      </c>
      <c r="C24" s="109">
        <f>INDEX(PRECIO!C3:C423, MATCH(A24, PRECIO!A3:A423, 0))</f>
        <v>19</v>
      </c>
      <c r="D24" s="109">
        <f>INDEX(PRECIO!D3:D423, MATCH(A24, PRECIO!A3:A423, 0))</f>
        <v>16</v>
      </c>
      <c r="E24" s="109">
        <f>INDEX(PRECIO!E3:E423, MATCH(A24, PRECIO!A3:A423, 0))</f>
        <v>15</v>
      </c>
      <c r="F24" s="141">
        <f>INDEX(PRECIO!O3:O423, MATCH(A24, PRECIO!A3:A423, 0))</f>
        <v>0</v>
      </c>
    </row>
    <row r="25" spans="1:8" x14ac:dyDescent="0.3">
      <c r="A25" s="111">
        <v>31</v>
      </c>
      <c r="B25" s="109" t="str">
        <f>INDEX(PRECIO!B3:B423, MATCH(A25, PRECIO!A3:A423, 0))</f>
        <v>UNIF|ECO|T4XL│ADULTO</v>
      </c>
      <c r="C25" s="109">
        <f>INDEX(PRECIO!C3:C423, MATCH(A25, PRECIO!A3:A423, 0))</f>
        <v>20</v>
      </c>
      <c r="D25" s="109">
        <f>INDEX(PRECIO!D3:D423, MATCH(A25, PRECIO!A3:A423, 0))</f>
        <v>17</v>
      </c>
      <c r="E25" s="109">
        <f>INDEX(PRECIO!E3:E423, MATCH(A25, PRECIO!A3:A423, 0))</f>
        <v>16</v>
      </c>
      <c r="F25" s="141">
        <f>INDEX(PRECIO!O3:O423, MATCH(A25, PRECIO!A3:A423, 0))</f>
        <v>0</v>
      </c>
    </row>
    <row r="26" spans="1:8" x14ac:dyDescent="0.3">
      <c r="A26" s="111">
        <v>32</v>
      </c>
      <c r="B26" s="109" t="str">
        <f>INDEX(PRECIO!B3:B423, MATCH(A26, PRECIO!A3:A423, 0))</f>
        <v>UNIF|ECO|T5XL│ADULTO</v>
      </c>
      <c r="C26" s="109">
        <f>INDEX(PRECIO!C3:C423, MATCH(A26, PRECIO!A3:A423, 0))</f>
        <v>21</v>
      </c>
      <c r="D26" s="109">
        <f>INDEX(PRECIO!D3:D423, MATCH(A26, PRECIO!A3:A423, 0))</f>
        <v>18</v>
      </c>
      <c r="E26" s="109">
        <f>INDEX(PRECIO!E3:E423, MATCH(A26, PRECIO!A3:A423, 0))</f>
        <v>17</v>
      </c>
      <c r="F26" s="141">
        <f>INDEX(PRECIO!O3:O423, MATCH(A26, PRECIO!A3:A423, 0))</f>
        <v>0</v>
      </c>
    </row>
    <row r="27" spans="1:8" x14ac:dyDescent="0.3">
      <c r="A27" s="111">
        <v>33</v>
      </c>
      <c r="B27" s="109" t="str">
        <f>INDEX(PRECIO!B3:B423, MATCH(A27, PRECIO!A3:A423, 0))</f>
        <v>UNIF|ECO|T6XL│ADULTO</v>
      </c>
      <c r="C27" s="109">
        <f>INDEX(PRECIO!C3:C423, MATCH(A27, PRECIO!A3:A423, 0))</f>
        <v>22</v>
      </c>
      <c r="D27" s="109">
        <f>INDEX(PRECIO!D3:D423, MATCH(A27, PRECIO!A3:A423, 0))</f>
        <v>19</v>
      </c>
      <c r="E27" s="109">
        <f>INDEX(PRECIO!E3:E423, MATCH(A27, PRECIO!A3:A423, 0))</f>
        <v>18</v>
      </c>
      <c r="F27" s="141">
        <f>INDEX(PRECIO!O3:O423, MATCH(A27, PRECIO!A3:A423, 0))</f>
        <v>0</v>
      </c>
    </row>
    <row r="28" spans="1:8" x14ac:dyDescent="0.3">
      <c r="A28" s="111">
        <v>34</v>
      </c>
      <c r="B28" s="109" t="str">
        <f>INDEX(PRECIO!B3:B423, MATCH(A28, PRECIO!A3:A423, 0))</f>
        <v>UNIF|ECO|T7XL│ADULTO</v>
      </c>
      <c r="C28" s="109">
        <f>INDEX(PRECIO!C3:C423, MATCH(A28, PRECIO!A3:A423, 0))</f>
        <v>23</v>
      </c>
      <c r="D28" s="109">
        <f>INDEX(PRECIO!D3:D423, MATCH(A28, PRECIO!A3:A423, 0))</f>
        <v>20</v>
      </c>
      <c r="E28" s="109">
        <f>INDEX(PRECIO!E3:E423, MATCH(A28, PRECIO!A3:A423, 0))</f>
        <v>19</v>
      </c>
      <c r="F28" s="141">
        <f>INDEX(PRECIO!O3:O423, MATCH(A28, PRECIO!A3:A423, 0))</f>
        <v>0</v>
      </c>
    </row>
    <row r="29" spans="1:8" x14ac:dyDescent="0.3">
      <c r="A29" s="111">
        <v>35</v>
      </c>
      <c r="B29" s="109" t="str">
        <f>INDEX(PRECIO!B3:B423, MATCH(A29, PRECIO!A3:A423, 0))</f>
        <v>UNIF|ECO|T8XL│ADULTO</v>
      </c>
      <c r="C29" s="109">
        <f>INDEX(PRECIO!C3:C423, MATCH(A29, PRECIO!A3:A423, 0))</f>
        <v>24</v>
      </c>
      <c r="D29" s="109">
        <f>INDEX(PRECIO!D3:D423, MATCH(A29, PRECIO!A3:A423, 0))</f>
        <v>21</v>
      </c>
      <c r="E29" s="109">
        <f>INDEX(PRECIO!E3:E423, MATCH(A29, PRECIO!A3:A423, 0))</f>
        <v>20</v>
      </c>
      <c r="F29" s="141">
        <f>INDEX(PRECIO!O3:O423, MATCH(A29, PRECIO!A3:A423, 0))</f>
        <v>0</v>
      </c>
    </row>
    <row r="30" spans="1:8" x14ac:dyDescent="0.3">
      <c r="A30" s="111">
        <v>36</v>
      </c>
      <c r="B30" s="109" t="str">
        <f>INDEX(PRECIO!B3:B423, MATCH(A30, PRECIO!A3:A423, 0))</f>
        <v>UNIF|ECO|T9XL│ADULTO</v>
      </c>
      <c r="C30" s="109">
        <f>INDEX(PRECIO!C3:C423, MATCH(A30, PRECIO!A3:A423, 0))</f>
        <v>25</v>
      </c>
      <c r="D30" s="109">
        <f>INDEX(PRECIO!D3:D423, MATCH(A30, PRECIO!A3:A423, 0))</f>
        <v>22</v>
      </c>
      <c r="E30" s="109">
        <f>INDEX(PRECIO!E3:E423, MATCH(A30, PRECIO!A3:A423, 0))</f>
        <v>21</v>
      </c>
      <c r="F30" s="141">
        <f>INDEX(PRECIO!O3:O423, MATCH(A30, PRECIO!A3:A423, 0))</f>
        <v>0</v>
      </c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18A9F-2CBB-4178-866A-649F08C8B3CD}">
  <sheetPr codeName="Hoja6"/>
  <dimension ref="A1:H30"/>
  <sheetViews>
    <sheetView zoomScaleNormal="100" workbookViewId="0">
      <pane ySplit="2" topLeftCell="A3" activePane="bottomLeft" state="frozenSplit"/>
      <selection activeCell="H10" sqref="H10"/>
      <selection pane="bottomLeft" activeCell="M15" sqref="M15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5" width="11.44140625" style="109"/>
    <col min="6" max="6" width="11.44140625" style="141"/>
  </cols>
  <sheetData>
    <row r="1" spans="1:8" ht="29.25" customHeight="1" x14ac:dyDescent="0.3">
      <c r="A1" s="277" t="s">
        <v>979</v>
      </c>
      <c r="B1" s="277"/>
      <c r="C1" s="277"/>
      <c r="D1" s="277"/>
      <c r="E1" s="277"/>
      <c r="F1" s="137"/>
    </row>
    <row r="2" spans="1:8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8" x14ac:dyDescent="0.3">
      <c r="A3" s="151">
        <v>5</v>
      </c>
      <c r="B3" s="152" t="str">
        <f>INDEX(PRECIO!B3:B423, MATCH(A3, PRECIO!A3:A423, 0))</f>
        <v>UNIF|ESTANDAR|T26-30│NIÑOS</v>
      </c>
      <c r="C3" s="152">
        <f>INDEX(PRECIO!C3:C423, MATCH(A3, PRECIO!A3:A423, 0))</f>
        <v>21</v>
      </c>
      <c r="D3" s="152">
        <f>INDEX(PRECIO!D3:D423, MATCH(A3, PRECIO!A3:A423, 0))</f>
        <v>14.5</v>
      </c>
      <c r="E3" s="152">
        <f>INDEX(PRECIO!E3:E423, MATCH(A3, PRECIO!A3:A423, 0))</f>
        <v>13.5</v>
      </c>
      <c r="F3" s="141">
        <f>INDEX(PRECIO!O3:O423, MATCH(A3, PRECIO!A3:A423, 0))</f>
        <v>12.39</v>
      </c>
      <c r="H3" s="259">
        <f>+C7-D3</f>
        <v>6.5</v>
      </c>
    </row>
    <row r="4" spans="1:8" x14ac:dyDescent="0.3">
      <c r="A4" s="111">
        <v>8</v>
      </c>
      <c r="B4" s="109" t="str">
        <f>INDEX(PRECIO!B3:B423, MATCH(A4, PRECIO!A3:A423, 0))</f>
        <v>CAMI ESTANDAR T26-30|NIÑOS</v>
      </c>
      <c r="C4" s="109">
        <f>INDEX(PRECIO!C3:C423, MATCH(A4, PRECIO!A3:A423, 0))</f>
        <v>10</v>
      </c>
      <c r="D4" s="109">
        <f>INDEX(PRECIO!D3:D423, MATCH(A4, PRECIO!A3:A423, 0))</f>
        <v>7.5</v>
      </c>
      <c r="E4" s="109">
        <f>INDEX(PRECIO!E3:E423, MATCH(A4, PRECIO!A3:A423, 0))</f>
        <v>6.5</v>
      </c>
      <c r="F4" s="141">
        <f>INDEX(PRECIO!O3:O423, MATCH(A4, PRECIO!A3:A423, 0))</f>
        <v>4.3600000000000003</v>
      </c>
    </row>
    <row r="5" spans="1:8" x14ac:dyDescent="0.3">
      <c r="A5" s="111">
        <v>11</v>
      </c>
      <c r="B5" s="109" t="str">
        <f>INDEX(PRECIO!B3:B423, MATCH(A5, PRECIO!A3:A423, 0))</f>
        <v>PANT|ESTANDAR T26-30|NIÑOS</v>
      </c>
      <c r="C5" s="109">
        <f>INDEX(PRECIO!C3:C423, MATCH(A5, PRECIO!A3:A423, 0))</f>
        <v>8.5</v>
      </c>
      <c r="D5" s="109">
        <f>INDEX(PRECIO!D3:D423, MATCH(A5, PRECIO!A3:A423, 0))</f>
        <v>6.5</v>
      </c>
      <c r="E5" s="109">
        <f>INDEX(PRECIO!E3:E423, MATCH(A5, PRECIO!A3:A423, 0))</f>
        <v>5.5</v>
      </c>
      <c r="F5" s="141">
        <f>INDEX(PRECIO!O3:O423, MATCH(A5, PRECIO!A3:A423, 0))</f>
        <v>3.99</v>
      </c>
    </row>
    <row r="6" spans="1:8" x14ac:dyDescent="0.3">
      <c r="A6" s="111">
        <v>421</v>
      </c>
      <c r="B6" s="109" t="str">
        <f>INDEX(PRECIO!B3:B424, MATCH(A6, PRECIO!A3:A424, 0))</f>
        <v>POLIN 4-6</v>
      </c>
      <c r="C6" s="109">
        <v>2.5</v>
      </c>
      <c r="D6" s="109">
        <v>2</v>
      </c>
      <c r="E6" s="109">
        <f>INDEX(PRECIO!E3:E424, MATCH(A6, PRECIO!A3:A424, 0))</f>
        <v>2</v>
      </c>
      <c r="F6" s="141">
        <f>INDEX(PRECIO!O3:O424, MATCH(A6, PRECIO!A3:A424, 0))</f>
        <v>0</v>
      </c>
    </row>
    <row r="7" spans="1:8" x14ac:dyDescent="0.3">
      <c r="A7" s="111"/>
      <c r="C7" s="216">
        <f>SUM(C4:C6)</f>
        <v>21</v>
      </c>
      <c r="D7" s="158">
        <f>SUM(D4:D6)</f>
        <v>16</v>
      </c>
      <c r="E7" s="148">
        <f>SUM(E4:E6)</f>
        <v>14</v>
      </c>
    </row>
    <row r="8" spans="1:8" x14ac:dyDescent="0.3">
      <c r="A8" s="151">
        <v>17</v>
      </c>
      <c r="B8" s="152" t="str">
        <f>INDEX(PRECIO!B3:B423, MATCH(A8, PRECIO!A3:A423, 0))</f>
        <v>UNIF|ESTANDAR|T32-36│NIÑOS</v>
      </c>
      <c r="C8" s="152">
        <f>INDEX(PRECIO!C3:C423, MATCH(A8, PRECIO!A3:A423, 0))</f>
        <v>21.5</v>
      </c>
      <c r="D8" s="152">
        <f>INDEX(PRECIO!D3:D423, MATCH(A8, PRECIO!A3:A423, 0))</f>
        <v>15</v>
      </c>
      <c r="E8" s="152">
        <f>INDEX(PRECIO!E3:E423, MATCH(A8, PRECIO!A3:A423, 0))</f>
        <v>14</v>
      </c>
      <c r="F8" s="141">
        <f>INDEX(PRECIO!O3:O423, MATCH(A8, PRECIO!A3:A423, 0))</f>
        <v>10.69</v>
      </c>
      <c r="H8" s="259">
        <f>+C12-D8</f>
        <v>6.5</v>
      </c>
    </row>
    <row r="9" spans="1:8" x14ac:dyDescent="0.3">
      <c r="A9" s="111">
        <v>20</v>
      </c>
      <c r="B9" s="109" t="str">
        <f>INDEX(PRECIO!B3:B423, MATCH(A9, PRECIO!A3:A423, 0))</f>
        <v>CAMI ESTANDAR T32-36│NIÑOS</v>
      </c>
      <c r="C9" s="109">
        <f>INDEX(PRECIO!C3:C423, MATCH(A9, PRECIO!A3:A423, 0))</f>
        <v>10</v>
      </c>
      <c r="D9" s="109">
        <f>INDEX(PRECIO!D3:D423, MATCH(A9, PRECIO!A3:A423, 0))</f>
        <v>8</v>
      </c>
      <c r="E9" s="109">
        <f>INDEX(PRECIO!E3:E423, MATCH(A9, PRECIO!A3:A423, 0))</f>
        <v>7</v>
      </c>
      <c r="F9" s="141">
        <f>INDEX(PRECIO!O3:O423, MATCH(A9, PRECIO!A3:A423, 0))</f>
        <v>4.76</v>
      </c>
    </row>
    <row r="10" spans="1:8" x14ac:dyDescent="0.3">
      <c r="A10" s="111">
        <v>23</v>
      </c>
      <c r="B10" s="109" t="str">
        <f>INDEX(PRECIO!B3:B423, MATCH(A10, PRECIO!A3:A423, 0))</f>
        <v>PANT|ESTANDAR T32-36|NIÑOS</v>
      </c>
      <c r="C10" s="109">
        <f>INDEX(PRECIO!C3:C423, MATCH(A10, PRECIO!A3:A423, 0))</f>
        <v>9</v>
      </c>
      <c r="D10" s="109">
        <f>INDEX(PRECIO!D3:D423, MATCH(A10, PRECIO!A3:A423, 0))</f>
        <v>7</v>
      </c>
      <c r="E10" s="109">
        <f>INDEX(PRECIO!E3:E423, MATCH(A10, PRECIO!A3:A423, 0))</f>
        <v>6</v>
      </c>
      <c r="F10" s="141">
        <f>INDEX(PRECIO!O3:O423, MATCH(A10, PRECIO!A3:A423, 0))</f>
        <v>4.24</v>
      </c>
    </row>
    <row r="11" spans="1:8" x14ac:dyDescent="0.3">
      <c r="A11" s="111">
        <v>420</v>
      </c>
      <c r="B11" s="109" t="str">
        <f>INDEX(PRECIO!B3:B430, MATCH(A11, PRECIO!A3:A430, 0))</f>
        <v>POLIN 6-8|8-10</v>
      </c>
      <c r="C11" s="109">
        <v>2.5</v>
      </c>
      <c r="D11" s="109">
        <f>+E11</f>
        <v>2.5</v>
      </c>
      <c r="E11" s="109">
        <f>INDEX(PRECIO!E3:E430, MATCH(A11, PRECIO!A3:A430, 0))</f>
        <v>2.5</v>
      </c>
      <c r="F11" s="141">
        <f>INDEX(PRECIO!O3:O430, MATCH(A11, PRECIO!A3:A430, 0))</f>
        <v>0</v>
      </c>
    </row>
    <row r="12" spans="1:8" x14ac:dyDescent="0.3">
      <c r="C12" s="216">
        <f>SUM(C9:C11)</f>
        <v>21.5</v>
      </c>
      <c r="D12" s="158">
        <f>SUM(D9:D11)</f>
        <v>17.5</v>
      </c>
      <c r="E12" s="148">
        <f>SUM(E9:E11)</f>
        <v>15.5</v>
      </c>
    </row>
    <row r="13" spans="1:8" x14ac:dyDescent="0.3">
      <c r="A13" s="151">
        <v>423</v>
      </c>
      <c r="B13" s="152" t="str">
        <f>INDEX(PRECIO!B3:B431, MATCH(A13, PRECIO!A3:A431, 0))</f>
        <v>UNIF|ESTANDAR|T38-42|JOVEN</v>
      </c>
      <c r="C13" s="152">
        <f>INDEX(PRECIO!C3:C431, MATCH(A13, PRECIO!A3:A431, 0))</f>
        <v>23.5</v>
      </c>
      <c r="D13" s="152">
        <f>INDEX(PRECIO!D3:D431, MATCH(A13, PRECIO!A3:A431, 0))</f>
        <v>16</v>
      </c>
      <c r="E13" s="152">
        <f>INDEX(PRECIO!E3:E431, MATCH(A13, PRECIO!A3:A431, 0))</f>
        <v>15</v>
      </c>
      <c r="F13" s="141">
        <f>INDEX(PRECIO!O3:O431, MATCH(A13, PRECIO!A3:A431, 0))</f>
        <v>12.77</v>
      </c>
      <c r="H13" s="259">
        <f>+C17-D13</f>
        <v>7.5</v>
      </c>
    </row>
    <row r="14" spans="1:8" x14ac:dyDescent="0.3">
      <c r="A14" s="111">
        <v>294</v>
      </c>
      <c r="B14" s="109" t="str">
        <f>INDEX(PRECIO!B3:B423, MATCH(A14, PRECIO!A3:A423, 0))</f>
        <v>CAMI ESTANDAR T38-42│JOV</v>
      </c>
      <c r="C14" s="109">
        <f>INDEX(PRECIO!C3:C423, MATCH(A14, PRECIO!A3:A423, 0))</f>
        <v>11</v>
      </c>
      <c r="D14" s="109">
        <f>INDEX(PRECIO!D3:D423, MATCH(A14, PRECIO!A3:A423, 0))</f>
        <v>9</v>
      </c>
      <c r="E14" s="109">
        <f>INDEX(PRECIO!E3:E423, MATCH(A14, PRECIO!A3:A423, 0))</f>
        <v>8</v>
      </c>
      <c r="F14" s="141">
        <f>INDEX(PRECIO!O3:O423, MATCH(A14, PRECIO!A3:A423, 0))</f>
        <v>0</v>
      </c>
    </row>
    <row r="15" spans="1:8" x14ac:dyDescent="0.3">
      <c r="A15" s="111">
        <v>91</v>
      </c>
      <c r="B15" s="109" t="str">
        <f>INDEX(PRECIO!B3:B423, MATCH(A15, PRECIO!A3:A423, 0))</f>
        <v>PANT|ESTANDAR TXS-XL│ADULTO|JOV</v>
      </c>
      <c r="C15" s="109">
        <f>INDEX(PRECIO!C3:C423, MATCH(A15, PRECIO!A3:A423, 0))</f>
        <v>10</v>
      </c>
      <c r="D15" s="109">
        <f>INDEX(PRECIO!D3:D423, MATCH(A15, PRECIO!A3:A423, 0))</f>
        <v>8</v>
      </c>
      <c r="E15" s="109">
        <f>INDEX(PRECIO!E3:E423, MATCH(A15, PRECIO!A3:A423, 0))</f>
        <v>7</v>
      </c>
      <c r="F15" s="141">
        <f>INDEX(PRECIO!O3:O423, MATCH(A15, PRECIO!A3:A423, 0))</f>
        <v>5.42</v>
      </c>
    </row>
    <row r="16" spans="1:8" x14ac:dyDescent="0.3">
      <c r="A16" s="111">
        <v>420</v>
      </c>
      <c r="B16" s="109" t="str">
        <f>INDEX(PRECIO!B3:B438, MATCH(A16, PRECIO!A3:A438, 0))</f>
        <v>POLIN 6-8|8-10</v>
      </c>
      <c r="C16" s="109">
        <v>2.5</v>
      </c>
      <c r="D16" s="109">
        <f>+E16</f>
        <v>2.5</v>
      </c>
      <c r="E16" s="109">
        <f>INDEX(PRECIO!E3:E438, MATCH(A16, PRECIO!A3:A438, 0))</f>
        <v>2.5</v>
      </c>
      <c r="F16" s="141">
        <f>INDEX(PRECIO!O3:O438, MATCH(A16, PRECIO!A3:A438, 0))</f>
        <v>0</v>
      </c>
    </row>
    <row r="17" spans="1:8" x14ac:dyDescent="0.3">
      <c r="A17" s="111"/>
      <c r="C17" s="216">
        <f>SUM(C14:C16)</f>
        <v>23.5</v>
      </c>
      <c r="D17" s="158">
        <f>SUM(D14:D16)</f>
        <v>19.5</v>
      </c>
      <c r="E17" s="148">
        <f>SUM(E14:E16)</f>
        <v>17.5</v>
      </c>
    </row>
    <row r="18" spans="1:8" x14ac:dyDescent="0.3">
      <c r="A18" s="151">
        <v>37</v>
      </c>
      <c r="B18" s="152" t="str">
        <f>INDEX(PRECIO!B3:B423, MATCH(A18, PRECIO!A3:A423, 0))</f>
        <v>UNIF|ESTANDAR|TXS-XL│ADULTO</v>
      </c>
      <c r="C18" s="152">
        <f>INDEX(PRECIO!C3:C423, MATCH(A18, PRECIO!A3:A423, 0))</f>
        <v>24.5</v>
      </c>
      <c r="D18" s="152">
        <f>INDEX(PRECIO!D3:D423, MATCH(A18, PRECIO!A3:A423, 0))</f>
        <v>17</v>
      </c>
      <c r="E18" s="152">
        <f>INDEX(PRECIO!E3:E423, MATCH(A18, PRECIO!A3:A423, 0))</f>
        <v>16</v>
      </c>
      <c r="F18" s="141">
        <f>INDEX(PRECIO!O3:O423, MATCH(A18, PRECIO!A3:A423, 0))</f>
        <v>14.11</v>
      </c>
      <c r="H18" s="259">
        <f>+C22-D18</f>
        <v>7.5</v>
      </c>
    </row>
    <row r="19" spans="1:8" x14ac:dyDescent="0.3">
      <c r="A19" s="111">
        <v>64</v>
      </c>
      <c r="B19" s="109" t="str">
        <f>INDEX(PRECIO!B3:B423, MATCH(A19, PRECIO!A3:A423, 0))</f>
        <v>CAMI ESTANDAR TXS-XL│ADULTO</v>
      </c>
      <c r="C19" s="109">
        <f>INDEX(PRECIO!C3:C423, MATCH(A19, PRECIO!A3:A423, 0))</f>
        <v>12</v>
      </c>
      <c r="D19" s="109">
        <f>INDEX(PRECIO!D3:D423, MATCH(A19, PRECIO!A3:A423, 0))</f>
        <v>10</v>
      </c>
      <c r="E19" s="109">
        <f>INDEX(PRECIO!E3:E423, MATCH(A19, PRECIO!A3:A423, 0))</f>
        <v>9</v>
      </c>
      <c r="F19" s="141">
        <f>INDEX(PRECIO!O3:O423, MATCH(A19, PRECIO!A3:A423, 0))</f>
        <v>6.15</v>
      </c>
    </row>
    <row r="20" spans="1:8" x14ac:dyDescent="0.3">
      <c r="A20" s="111">
        <v>91</v>
      </c>
      <c r="B20" s="109" t="str">
        <f>INDEX(PRECIO!B3:B423, MATCH(A20, PRECIO!A3:A423, 0))</f>
        <v>PANT|ESTANDAR TXS-XL│ADULTO|JOV</v>
      </c>
      <c r="C20" s="109">
        <f>INDEX(PRECIO!C3:C423, MATCH(A20, PRECIO!A3:A423, 0))</f>
        <v>10</v>
      </c>
      <c r="D20" s="109">
        <f>INDEX(PRECIO!D3:D423, MATCH(A20, PRECIO!A3:A423, 0))</f>
        <v>8</v>
      </c>
      <c r="E20" s="109">
        <f>INDEX(PRECIO!E3:E423, MATCH(A20, PRECIO!A3:A423, 0))</f>
        <v>7</v>
      </c>
      <c r="F20" s="141">
        <f>INDEX(PRECIO!O3:O423, MATCH(A20, PRECIO!A3:A423, 0))</f>
        <v>5.42</v>
      </c>
      <c r="G20" s="163"/>
    </row>
    <row r="21" spans="1:8" x14ac:dyDescent="0.3">
      <c r="A21" s="111">
        <v>420</v>
      </c>
      <c r="B21" s="109" t="str">
        <f>INDEX(PRECIO!B6:B441, MATCH(A21, PRECIO!A6:A441, 0))</f>
        <v>POLIN 6-8|8-10</v>
      </c>
      <c r="C21" s="109">
        <v>2.5</v>
      </c>
      <c r="D21" s="109">
        <f>+E21</f>
        <v>2.5</v>
      </c>
      <c r="E21" s="109">
        <f>INDEX(PRECIO!E6:E441, MATCH(A21, PRECIO!A6:A441, 0))</f>
        <v>2.5</v>
      </c>
      <c r="F21" s="141">
        <f>INDEX(PRECIO!O6:O441, MATCH(A21, PRECIO!A6:A441, 0))</f>
        <v>0</v>
      </c>
    </row>
    <row r="22" spans="1:8" x14ac:dyDescent="0.3">
      <c r="A22" s="111"/>
      <c r="C22" s="216">
        <f>SUM(C19:C21)</f>
        <v>24.5</v>
      </c>
      <c r="D22" s="158">
        <f>SUM(D19:D21)</f>
        <v>20.5</v>
      </c>
      <c r="E22" s="148">
        <f>SUM(E19:E21)</f>
        <v>18.5</v>
      </c>
    </row>
    <row r="23" spans="1:8" x14ac:dyDescent="0.3">
      <c r="A23" s="111">
        <v>38</v>
      </c>
      <c r="B23" s="109" t="str">
        <f>INDEX(PRECIO!B3:B423, MATCH(A23, PRECIO!A3:A423, 0))</f>
        <v>UNIF|ESTANDAR|T2XL│ADULTO</v>
      </c>
      <c r="C23" s="109">
        <f>INDEX(PRECIO!C3:C423, MATCH(A23, PRECIO!A3:A423, 0))</f>
        <v>25.5</v>
      </c>
      <c r="D23" s="109">
        <f>INDEX(PRECIO!D3:D423, MATCH(A23, PRECIO!A3:A423, 0))</f>
        <v>18</v>
      </c>
      <c r="E23" s="109">
        <f>INDEX(PRECIO!E3:E423, MATCH(A23, PRECIO!A3:A423, 0))</f>
        <v>17</v>
      </c>
      <c r="F23" s="141">
        <f>INDEX(PRECIO!O3:O423, MATCH(A23, PRECIO!A3:A423, 0))</f>
        <v>0</v>
      </c>
    </row>
    <row r="24" spans="1:8" x14ac:dyDescent="0.3">
      <c r="A24" s="111">
        <v>39</v>
      </c>
      <c r="B24" s="109" t="str">
        <f>INDEX(PRECIO!B3:B423, MATCH(A24, PRECIO!A3:A423, 0))</f>
        <v>UNIF|ESTANDAR|T3XL│ADULTO</v>
      </c>
      <c r="C24" s="109">
        <f>INDEX(PRECIO!C3:C423, MATCH(A24, PRECIO!A3:A423, 0))</f>
        <v>26.5</v>
      </c>
      <c r="D24" s="109">
        <f>INDEX(PRECIO!D3:D423, MATCH(A24, PRECIO!A3:A423, 0))</f>
        <v>19</v>
      </c>
      <c r="E24" s="109">
        <f>INDEX(PRECIO!E3:E423, MATCH(A24, PRECIO!A3:A423, 0))</f>
        <v>18</v>
      </c>
      <c r="F24" s="141">
        <f>INDEX(PRECIO!O3:O423, MATCH(A24, PRECIO!A3:A423, 0))</f>
        <v>0</v>
      </c>
    </row>
    <row r="25" spans="1:8" x14ac:dyDescent="0.3">
      <c r="A25" s="111">
        <v>40</v>
      </c>
      <c r="B25" s="109" t="str">
        <f>INDEX(PRECIO!B3:B423, MATCH(A25, PRECIO!A3:A423, 0))</f>
        <v>UNIF|ESTANDAR|T4XL│ADULTO</v>
      </c>
      <c r="C25" s="109">
        <f>INDEX(PRECIO!C3:C423, MATCH(A25, PRECIO!A3:A423, 0))</f>
        <v>27.5</v>
      </c>
      <c r="D25" s="109">
        <f>INDEX(PRECIO!D3:D423, MATCH(A25, PRECIO!A3:A423, 0))</f>
        <v>20</v>
      </c>
      <c r="E25" s="109">
        <f>INDEX(PRECIO!E3:E423, MATCH(A25, PRECIO!A3:A423, 0))</f>
        <v>19</v>
      </c>
      <c r="F25" s="141">
        <f>INDEX(PRECIO!O3:O423, MATCH(A25, PRECIO!A3:A423, 0))</f>
        <v>0</v>
      </c>
    </row>
    <row r="26" spans="1:8" x14ac:dyDescent="0.3">
      <c r="A26" s="111">
        <v>41</v>
      </c>
      <c r="B26" s="109" t="str">
        <f>INDEX(PRECIO!B3:B423, MATCH(A26, PRECIO!A3:A423, 0))</f>
        <v>UNIF|ESTANDAR|T5XL│ADULTO</v>
      </c>
      <c r="C26" s="109">
        <f>INDEX(PRECIO!C3:C423, MATCH(A26, PRECIO!A3:A423, 0))</f>
        <v>28.5</v>
      </c>
      <c r="D26" s="109">
        <f>INDEX(PRECIO!D3:D423, MATCH(A26, PRECIO!A3:A423, 0))</f>
        <v>21</v>
      </c>
      <c r="E26" s="109">
        <f>INDEX(PRECIO!E3:E423, MATCH(A26, PRECIO!A3:A423, 0))</f>
        <v>20</v>
      </c>
      <c r="F26" s="141">
        <f>INDEX(PRECIO!O3:O423, MATCH(A26, PRECIO!A3:A423, 0))</f>
        <v>0</v>
      </c>
    </row>
    <row r="27" spans="1:8" x14ac:dyDescent="0.3">
      <c r="A27" s="111">
        <v>42</v>
      </c>
      <c r="B27" s="109" t="str">
        <f>INDEX(PRECIO!B3:B423, MATCH(A27, PRECIO!A3:A423, 0))</f>
        <v>UNIF|ESTANDAR|T6XL│ADULTO</v>
      </c>
      <c r="C27" s="109">
        <f>INDEX(PRECIO!C3:C423, MATCH(A27, PRECIO!A3:A423, 0))</f>
        <v>29.5</v>
      </c>
      <c r="D27" s="109">
        <f>INDEX(PRECIO!D3:D423, MATCH(A27, PRECIO!A3:A423, 0))</f>
        <v>22</v>
      </c>
      <c r="E27" s="109">
        <f>INDEX(PRECIO!E3:E423, MATCH(A27, PRECIO!A3:A423, 0))</f>
        <v>21</v>
      </c>
      <c r="F27" s="141">
        <f>INDEX(PRECIO!O3:O423, MATCH(A27, PRECIO!A3:A423, 0))</f>
        <v>0</v>
      </c>
    </row>
    <row r="28" spans="1:8" x14ac:dyDescent="0.3">
      <c r="A28" s="111">
        <v>43</v>
      </c>
      <c r="B28" s="109" t="str">
        <f>INDEX(PRECIO!B3:B423, MATCH(A28, PRECIO!A3:A423, 0))</f>
        <v>UNIF|ESTANDAR|T7XL│ADULTO</v>
      </c>
      <c r="C28" s="109">
        <f>INDEX(PRECIO!C3:C423, MATCH(A28, PRECIO!A3:A423, 0))</f>
        <v>30.5</v>
      </c>
      <c r="D28" s="109">
        <f>INDEX(PRECIO!D3:D423, MATCH(A28, PRECIO!A3:A423, 0))</f>
        <v>23</v>
      </c>
      <c r="E28" s="109">
        <f>INDEX(PRECIO!E3:E423, MATCH(A28, PRECIO!A3:A423, 0))</f>
        <v>22</v>
      </c>
      <c r="F28" s="141">
        <f>INDEX(PRECIO!O3:O423, MATCH(A28, PRECIO!A3:A423, 0))</f>
        <v>0</v>
      </c>
    </row>
    <row r="29" spans="1:8" x14ac:dyDescent="0.3">
      <c r="A29" s="111">
        <v>44</v>
      </c>
      <c r="B29" s="109" t="str">
        <f>INDEX(PRECIO!B3:B423, MATCH(A29, PRECIO!A3:A423, 0))</f>
        <v>UNIF|ESTANDAR|T8XL│ADULTO</v>
      </c>
      <c r="C29" s="109">
        <f>INDEX(PRECIO!C3:C423, MATCH(A29, PRECIO!A3:A423, 0))</f>
        <v>31.5</v>
      </c>
      <c r="D29" s="109">
        <f>INDEX(PRECIO!D3:D423, MATCH(A29, PRECIO!A3:A423, 0))</f>
        <v>24</v>
      </c>
      <c r="E29" s="109">
        <f>INDEX(PRECIO!E3:E423, MATCH(A29, PRECIO!A3:A423, 0))</f>
        <v>23</v>
      </c>
      <c r="F29" s="141">
        <f>INDEX(PRECIO!O3:O423, MATCH(A29, PRECIO!A3:A423, 0))</f>
        <v>0</v>
      </c>
    </row>
    <row r="30" spans="1:8" x14ac:dyDescent="0.3">
      <c r="A30" s="111">
        <v>45</v>
      </c>
      <c r="B30" s="109" t="str">
        <f>INDEX(PRECIO!B3:B423, MATCH(A30, PRECIO!A3:A423, 0))</f>
        <v>UNIF|ESTANDAR|T9XL│ADULTO</v>
      </c>
      <c r="C30" s="109">
        <f>INDEX(PRECIO!C3:C423, MATCH(A30, PRECIO!A3:A423, 0))</f>
        <v>32.5</v>
      </c>
      <c r="D30" s="109">
        <f>INDEX(PRECIO!D3:D423, MATCH(A30, PRECIO!A3:A423, 0))</f>
        <v>25</v>
      </c>
      <c r="E30" s="109">
        <f>INDEX(PRECIO!E3:E423, MATCH(A30, PRECIO!A3:A423, 0))</f>
        <v>24</v>
      </c>
      <c r="F30" s="141">
        <f>INDEX(PRECIO!O3:O423, MATCH(A30, PRECIO!A3:A423, 0))</f>
        <v>0</v>
      </c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D126C-CCEC-4C87-8A99-7855CB1F5BA0}">
  <sheetPr codeName="Hoja7"/>
  <dimension ref="A1:H30"/>
  <sheetViews>
    <sheetView zoomScaleNormal="100" workbookViewId="0">
      <pane ySplit="2" topLeftCell="A3" activePane="bottomLeft" state="frozenSplit"/>
      <selection activeCell="I14" sqref="I14"/>
      <selection pane="bottomLeft" activeCell="K15" sqref="K15"/>
    </sheetView>
  </sheetViews>
  <sheetFormatPr baseColWidth="10" defaultRowHeight="14.4" x14ac:dyDescent="0.3"/>
  <cols>
    <col min="1" max="1" width="11.44140625" style="109"/>
    <col min="2" max="2" width="44.44140625" style="109" customWidth="1"/>
    <col min="3" max="5" width="6.6640625" style="109" customWidth="1"/>
    <col min="6" max="6" width="11.44140625" style="141"/>
  </cols>
  <sheetData>
    <row r="1" spans="1:8" ht="29.25" customHeight="1" x14ac:dyDescent="0.3">
      <c r="A1" s="277" t="s">
        <v>976</v>
      </c>
      <c r="B1" s="277"/>
      <c r="C1" s="277"/>
      <c r="D1" s="277"/>
      <c r="E1" s="277"/>
      <c r="F1" s="137"/>
    </row>
    <row r="2" spans="1:8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8" x14ac:dyDescent="0.3">
      <c r="A3" s="154">
        <v>6</v>
      </c>
      <c r="B3" s="155" t="str">
        <f>INDEX(PRECIO!B3:B423, MATCH(A3, PRECIO!A3:A423, 0))</f>
        <v>UNIF|PREMIUM|T26-30│NIÑOS</v>
      </c>
      <c r="C3" s="155">
        <f>INDEX(PRECIO!C3:C423, MATCH(A3, PRECIO!A3:A423, 0))</f>
        <v>22.5</v>
      </c>
      <c r="D3" s="155">
        <f>INDEX(PRECIO!D3:D423, MATCH(A3, PRECIO!A3:A423, 0))</f>
        <v>16.5</v>
      </c>
      <c r="E3" s="155">
        <f>INDEX(PRECIO!E3:E423, MATCH(A3, PRECIO!A3:A423, 0))</f>
        <v>15.5</v>
      </c>
      <c r="F3" s="141">
        <f>INDEX(PRECIO!O3:O423, MATCH(A3, PRECIO!A3:A423, 0))</f>
        <v>0</v>
      </c>
      <c r="H3" s="258">
        <f>+C7-D3</f>
        <v>6</v>
      </c>
    </row>
    <row r="4" spans="1:8" x14ac:dyDescent="0.3">
      <c r="A4" s="153">
        <v>9</v>
      </c>
      <c r="B4" t="str">
        <f>INDEX(PRECIO!B3:B423, MATCH(A4, PRECIO!A3:A423, 0))</f>
        <v>CAMI|PREMIUM|T26-30│NIÑOS</v>
      </c>
      <c r="C4" s="44">
        <f>INDEX(PRECIO!C3:C423, MATCH(A4, PRECIO!A3:A423, 0))</f>
        <v>11</v>
      </c>
      <c r="D4" s="44">
        <f>INDEX(PRECIO!D3:D423, MATCH(A4, PRECIO!A3:A423, 0))</f>
        <v>8.5</v>
      </c>
      <c r="E4" s="44">
        <f>INDEX(PRECIO!E3:E423, MATCH(A4, PRECIO!A3:A423, 0))</f>
        <v>7.5</v>
      </c>
      <c r="F4">
        <f>INDEX(PRECIO!O3:O423, MATCH(A4, PRECIO!A3:A423, 0))</f>
        <v>0</v>
      </c>
    </row>
    <row r="5" spans="1:8" x14ac:dyDescent="0.3">
      <c r="A5" s="153">
        <v>12</v>
      </c>
      <c r="B5" t="str">
        <f>INDEX(PRECIO!B3:B423, MATCH(A5, PRECIO!A3:A423, 0))</f>
        <v>PANT|PREMIUM|T26-30|NIÑOS</v>
      </c>
      <c r="C5" s="44">
        <f>INDEX(PRECIO!C3:C423, MATCH(A5, PRECIO!A3:A423, 0))</f>
        <v>9.5</v>
      </c>
      <c r="D5" s="44">
        <f>INDEX(PRECIO!D3:D423, MATCH(A5, PRECIO!A3:A423, 0))</f>
        <v>7.5</v>
      </c>
      <c r="E5" s="44">
        <f>INDEX(PRECIO!E3:E423, MATCH(A5, PRECIO!A3:A423, 0))</f>
        <v>6.5</v>
      </c>
      <c r="F5">
        <f>INDEX(PRECIO!O3:O423, MATCH(A5, PRECIO!A3:A423, 0))</f>
        <v>0</v>
      </c>
    </row>
    <row r="6" spans="1:8" x14ac:dyDescent="0.3">
      <c r="A6" s="153">
        <v>421</v>
      </c>
      <c r="B6" t="str">
        <f>INDEX(PRECIO!B3:B424, MATCH(A6, PRECIO!A3:A424, 0))</f>
        <v>POLIN 4-6</v>
      </c>
      <c r="C6" s="44">
        <v>2</v>
      </c>
      <c r="D6" s="44">
        <v>2</v>
      </c>
      <c r="E6" s="44">
        <f>INDEX(PRECIO!E3:E424, MATCH(A6, PRECIO!A3:A424, 0))</f>
        <v>2</v>
      </c>
      <c r="F6">
        <f>INDEX(PRECIO!O3:O424, MATCH(A6, PRECIO!A3:A424, 0))</f>
        <v>0</v>
      </c>
    </row>
    <row r="7" spans="1:8" x14ac:dyDescent="0.3">
      <c r="A7" s="153"/>
      <c r="B7"/>
      <c r="C7" s="258">
        <f>SUM(C4:C6)</f>
        <v>22.5</v>
      </c>
      <c r="D7" s="262">
        <f>SUM(D4:D6)</f>
        <v>18</v>
      </c>
      <c r="E7" s="148">
        <f>SUM(E4:E6)</f>
        <v>16</v>
      </c>
      <c r="F7"/>
    </row>
    <row r="8" spans="1:8" x14ac:dyDescent="0.3">
      <c r="A8" s="154">
        <v>18</v>
      </c>
      <c r="B8" s="155" t="str">
        <f>INDEX(PRECIO!B3:B423, MATCH(A8, PRECIO!A3:A423, 0))</f>
        <v>UNIF|PREMIUM|T32-36│NIÑOS</v>
      </c>
      <c r="C8" s="155">
        <f>INDEX(PRECIO!C3:C423, MATCH(A8, PRECIO!A3:A423, 0))</f>
        <v>23.5</v>
      </c>
      <c r="D8" s="155">
        <f>INDEX(PRECIO!D3:D423, MATCH(A8, PRECIO!A3:A423, 0))</f>
        <v>17</v>
      </c>
      <c r="E8" s="155">
        <f>INDEX(PRECIO!E3:E423, MATCH(A8, PRECIO!A3:A423, 0))</f>
        <v>16</v>
      </c>
      <c r="F8" s="141">
        <f>INDEX(PRECIO!O3:O423, MATCH(A8, PRECIO!A3:A423, 0))</f>
        <v>0</v>
      </c>
      <c r="H8" s="258">
        <f>+C12-D8</f>
        <v>6.5</v>
      </c>
    </row>
    <row r="9" spans="1:8" x14ac:dyDescent="0.3">
      <c r="A9" s="111">
        <v>21</v>
      </c>
      <c r="B9" s="109" t="str">
        <f>INDEX(PRECIO!B3:B423, MATCH(A9, PRECIO!A3:A423, 0))</f>
        <v>CAMI|PREMIUM|T32-36│NIÑOS</v>
      </c>
      <c r="C9" s="109">
        <f>INDEX(PRECIO!C3:C423, MATCH(A9, PRECIO!A3:A423, 0))</f>
        <v>11</v>
      </c>
      <c r="D9" s="109">
        <f>INDEX(PRECIO!D3:D423, MATCH(A9, PRECIO!A3:A423, 0))</f>
        <v>9</v>
      </c>
      <c r="E9" s="109">
        <f>INDEX(PRECIO!E3:E423, MATCH(A9, PRECIO!A3:A423, 0))</f>
        <v>8</v>
      </c>
      <c r="F9" s="141">
        <f>INDEX(PRECIO!O3:O423, MATCH(A9, PRECIO!A3:A423, 0))</f>
        <v>0</v>
      </c>
    </row>
    <row r="10" spans="1:8" x14ac:dyDescent="0.3">
      <c r="A10" s="111">
        <v>24</v>
      </c>
      <c r="B10" s="109" t="str">
        <f>INDEX(PRECIO!B3:B423, MATCH(A10, PRECIO!A3:A423, 0))</f>
        <v>PANT|PREMIUM|T32-36|NIÑOS</v>
      </c>
      <c r="C10" s="109">
        <f>INDEX(PRECIO!C3:C423, MATCH(A10, PRECIO!A3:A423, 0))</f>
        <v>10</v>
      </c>
      <c r="D10" s="109">
        <f>INDEX(PRECIO!D3:D423, MATCH(A10, PRECIO!A3:A423, 0))</f>
        <v>8</v>
      </c>
      <c r="E10" s="109">
        <f>INDEX(PRECIO!E3:E423, MATCH(A10, PRECIO!A3:A423, 0))</f>
        <v>7</v>
      </c>
      <c r="F10" s="141">
        <f>INDEX(PRECIO!O3:O423, MATCH(A10, PRECIO!A3:A423, 0))</f>
        <v>0</v>
      </c>
    </row>
    <row r="11" spans="1:8" x14ac:dyDescent="0.3">
      <c r="A11" s="111">
        <v>420</v>
      </c>
      <c r="B11" s="109" t="str">
        <f>INDEX(PRECIO!B3:B429, MATCH(A11, PRECIO!A3:A429, 0))</f>
        <v>POLIN 6-8|8-10</v>
      </c>
      <c r="C11" s="109">
        <f>+E11</f>
        <v>2.5</v>
      </c>
      <c r="D11" s="109">
        <f>+E11</f>
        <v>2.5</v>
      </c>
      <c r="E11" s="109">
        <f>INDEX(PRECIO!E3:E429, MATCH(A11, PRECIO!A3:A429, 0))</f>
        <v>2.5</v>
      </c>
      <c r="F11" s="141">
        <f>INDEX(PRECIO!O3:O429, MATCH(A11, PRECIO!A3:A429, 0))</f>
        <v>0</v>
      </c>
    </row>
    <row r="12" spans="1:8" x14ac:dyDescent="0.3">
      <c r="A12" s="111"/>
      <c r="C12" s="258">
        <f>SUM(C9:C11)</f>
        <v>23.5</v>
      </c>
      <c r="D12" s="262">
        <f>SUM(D9:D11)</f>
        <v>19.5</v>
      </c>
      <c r="E12" s="148">
        <f>SUM(E9:E11)</f>
        <v>17.5</v>
      </c>
    </row>
    <row r="13" spans="1:8" x14ac:dyDescent="0.3">
      <c r="A13" s="154">
        <v>424</v>
      </c>
      <c r="B13" s="155" t="str">
        <f>INDEX(PRECIO!B3:B426, MATCH(A13, PRECIO!A3:A426, 0))</f>
        <v>UNIF|PREMIUM|T38-42│JOVEN</v>
      </c>
      <c r="C13" s="155">
        <f>INDEX(PRECIO!C3:C426, MATCH(A13, PRECIO!A3:A426, 0))</f>
        <v>25.5</v>
      </c>
      <c r="D13" s="155">
        <f>INDEX(PRECIO!D3:D426, MATCH(A13, PRECIO!A3:A426, 0))</f>
        <v>18</v>
      </c>
      <c r="E13" s="155">
        <f>INDEX(PRECIO!E3:E426, MATCH(A13, PRECIO!A3:A426, 0))</f>
        <v>17</v>
      </c>
      <c r="F13" s="141">
        <f>INDEX(PRECIO!O3:O426, MATCH(A13, PRECIO!A3:A426, 0))</f>
        <v>13.53</v>
      </c>
      <c r="H13" s="258">
        <f>+C17-D13</f>
        <v>7.5</v>
      </c>
    </row>
    <row r="14" spans="1:8" x14ac:dyDescent="0.3">
      <c r="A14" s="111">
        <v>295</v>
      </c>
      <c r="B14" s="109" t="str">
        <f>INDEX(PRECIO!B3:B423, MATCH(A14, PRECIO!A3:A423, 0))</f>
        <v>CAMI|PREMIUM|T38-42│JOV</v>
      </c>
      <c r="C14" s="109">
        <f>INDEX(PRECIO!C3:C423, MATCH(A14, PRECIO!A3:A423, 0))</f>
        <v>12</v>
      </c>
      <c r="D14" s="109">
        <f>INDEX(PRECIO!D3:D423, MATCH(A14, PRECIO!A3:A423, 0))</f>
        <v>10</v>
      </c>
      <c r="E14" s="109">
        <f>INDEX(PRECIO!E3:E423, MATCH(A14, PRECIO!A3:A423, 0))</f>
        <v>9</v>
      </c>
      <c r="F14" s="141">
        <f>INDEX(PRECIO!O3:O423, MATCH(A14, PRECIO!A3:A423, 0))</f>
        <v>0</v>
      </c>
    </row>
    <row r="15" spans="1:8" x14ac:dyDescent="0.3">
      <c r="A15" s="111">
        <v>100</v>
      </c>
      <c r="B15" s="109" t="str">
        <f>INDEX(PRECIO!B3:B423, MATCH(A15, PRECIO!A3:A423, 0))</f>
        <v>PANT|PREMIUM|TXS-XL│ADULTO|JOV</v>
      </c>
      <c r="C15" s="109">
        <f>INDEX(PRECIO!C3:C423, MATCH(A15, PRECIO!A3:A423, 0))</f>
        <v>11</v>
      </c>
      <c r="D15" s="109">
        <f>INDEX(PRECIO!D3:D423, MATCH(A15, PRECIO!A3:A423, 0))</f>
        <v>9</v>
      </c>
      <c r="E15" s="109">
        <f>INDEX(PRECIO!E3:E423, MATCH(A15, PRECIO!A3:A423, 0))</f>
        <v>8</v>
      </c>
      <c r="F15" s="141">
        <f>INDEX(PRECIO!O3:O423, MATCH(A15, PRECIO!A3:A423, 0))</f>
        <v>0</v>
      </c>
    </row>
    <row r="16" spans="1:8" x14ac:dyDescent="0.3">
      <c r="A16" s="111">
        <v>420</v>
      </c>
      <c r="B16" s="109" t="str">
        <f>INDEX(PRECIO!B3:B434, MATCH(A16, PRECIO!A3:A434, 0))</f>
        <v>POLIN 6-8|8-10</v>
      </c>
      <c r="C16" s="109">
        <f>+E16</f>
        <v>2.5</v>
      </c>
      <c r="D16" s="109">
        <f>+E16</f>
        <v>2.5</v>
      </c>
      <c r="E16" s="109">
        <f>INDEX(PRECIO!E3:E434, MATCH(A16, PRECIO!A3:A434, 0))</f>
        <v>2.5</v>
      </c>
      <c r="F16" s="141">
        <f>INDEX(PRECIO!O3:O434, MATCH(A16, PRECIO!A3:A434, 0))</f>
        <v>0</v>
      </c>
    </row>
    <row r="17" spans="1:8" x14ac:dyDescent="0.3">
      <c r="A17" s="111"/>
      <c r="C17" s="258">
        <f>SUM(C14:C16)</f>
        <v>25.5</v>
      </c>
      <c r="D17" s="262">
        <f>SUM(D14:D16)</f>
        <v>21.5</v>
      </c>
      <c r="E17" s="148">
        <f>SUM(E14:E16)</f>
        <v>19.5</v>
      </c>
    </row>
    <row r="18" spans="1:8" x14ac:dyDescent="0.3">
      <c r="A18" s="154">
        <v>46</v>
      </c>
      <c r="B18" s="155" t="str">
        <f>INDEX(PRECIO!B3:B423, MATCH(A18, PRECIO!A3:A423, 0))</f>
        <v>UNIF|PREMIUM|TXS-XL│ADULTO</v>
      </c>
      <c r="C18" s="155">
        <f>INDEX(PRECIO!C3:C423, MATCH(A18, PRECIO!A3:A423, 0))</f>
        <v>26.5</v>
      </c>
      <c r="D18" s="155">
        <f>INDEX(PRECIO!D3:D423, MATCH(A18, PRECIO!A3:A423, 0))</f>
        <v>19</v>
      </c>
      <c r="E18" s="155">
        <f>INDEX(PRECIO!E3:E423, MATCH(A18, PRECIO!A3:A423, 0))</f>
        <v>18</v>
      </c>
      <c r="F18" s="141">
        <f>INDEX(PRECIO!O3:O423, MATCH(A18, PRECIO!A3:A423, 0))</f>
        <v>15.65</v>
      </c>
      <c r="H18" s="258">
        <f>+C22-D18</f>
        <v>7.5</v>
      </c>
    </row>
    <row r="19" spans="1:8" x14ac:dyDescent="0.3">
      <c r="A19" s="111">
        <v>73</v>
      </c>
      <c r="B19" s="109" t="str">
        <f>INDEX(PRECIO!B3:B423, MATCH(A19, PRECIO!A3:A423, 0))</f>
        <v>CAMI|PREMIUM|TXS-XL│ADULTO</v>
      </c>
      <c r="C19" s="109">
        <f>INDEX(PRECIO!C3:C423, MATCH(A19, PRECIO!A3:A423, 0))</f>
        <v>13</v>
      </c>
      <c r="D19" s="109">
        <f>INDEX(PRECIO!D3:D423, MATCH(A19, PRECIO!A3:A423, 0))</f>
        <v>11</v>
      </c>
      <c r="E19" s="109">
        <f>INDEX(PRECIO!E3:E423, MATCH(A19, PRECIO!A3:A423, 0))</f>
        <v>10</v>
      </c>
      <c r="F19" s="141">
        <f>INDEX(PRECIO!O3:O423, MATCH(A19, PRECIO!A3:A423, 0))</f>
        <v>6.58</v>
      </c>
    </row>
    <row r="20" spans="1:8" x14ac:dyDescent="0.3">
      <c r="A20" s="111">
        <v>100</v>
      </c>
      <c r="B20" s="109" t="str">
        <f>INDEX(PRECIO!B3:B423, MATCH(A20, PRECIO!A3:A423, 0))</f>
        <v>PANT|PREMIUM|TXS-XL│ADULTO|JOV</v>
      </c>
      <c r="C20" s="109">
        <f>INDEX(PRECIO!C3:C423, MATCH(A20, PRECIO!A3:A423, 0))</f>
        <v>11</v>
      </c>
      <c r="D20" s="109">
        <f>INDEX(PRECIO!D3:D423, MATCH(A20, PRECIO!A3:A423, 0))</f>
        <v>9</v>
      </c>
      <c r="E20" s="109">
        <f>INDEX(PRECIO!E3:E423, MATCH(A20, PRECIO!A3:A423, 0))</f>
        <v>8</v>
      </c>
      <c r="F20" s="141">
        <f>INDEX(PRECIO!O3:O423, MATCH(A20, PRECIO!A3:A423, 0))</f>
        <v>0</v>
      </c>
    </row>
    <row r="21" spans="1:8" x14ac:dyDescent="0.3">
      <c r="A21" s="111">
        <v>420</v>
      </c>
      <c r="B21" s="109" t="str">
        <f>INDEX(PRECIO!B3:B438, MATCH(A21, PRECIO!A3:A438, 0))</f>
        <v>POLIN 6-8|8-10</v>
      </c>
      <c r="C21" s="109">
        <f>+E21</f>
        <v>2.5</v>
      </c>
      <c r="D21" s="109">
        <f>+E21</f>
        <v>2.5</v>
      </c>
      <c r="E21" s="109">
        <f>INDEX(PRECIO!E3:E438, MATCH(A21, PRECIO!A3:A438, 0))</f>
        <v>2.5</v>
      </c>
      <c r="F21" s="141">
        <f>INDEX(PRECIO!O3:O438, MATCH(A21, PRECIO!A3:A438, 0))</f>
        <v>0</v>
      </c>
    </row>
    <row r="22" spans="1:8" x14ac:dyDescent="0.3">
      <c r="A22" s="111"/>
      <c r="C22" s="258">
        <f>SUM(C19:C21)</f>
        <v>26.5</v>
      </c>
      <c r="D22" s="262">
        <f>SUM(D19:D21)</f>
        <v>22.5</v>
      </c>
      <c r="E22" s="148">
        <f>SUM(E19:E21)</f>
        <v>20.5</v>
      </c>
    </row>
    <row r="23" spans="1:8" x14ac:dyDescent="0.3">
      <c r="A23" s="111">
        <v>47</v>
      </c>
      <c r="B23" s="109" t="str">
        <f>INDEX(PRECIO!B3:B423, MATCH(A23, PRECIO!A3:A423, 0))</f>
        <v>UNIF|PREMIUM|T2XL│ADULTO</v>
      </c>
      <c r="C23" s="109">
        <f>INDEX(PRECIO!C3:C423, MATCH(A23, PRECIO!A3:A423, 0))</f>
        <v>23</v>
      </c>
      <c r="D23" s="109">
        <f>INDEX(PRECIO!D3:D423, MATCH(A23, PRECIO!A3:A423, 0))</f>
        <v>20</v>
      </c>
      <c r="E23" s="109">
        <f>INDEX(PRECIO!E3:E423, MATCH(A23, PRECIO!A3:A423, 0))</f>
        <v>19</v>
      </c>
      <c r="F23" s="141">
        <f>INDEX(PRECIO!O3:O423, MATCH(A23, PRECIO!A3:A423, 0))</f>
        <v>0</v>
      </c>
    </row>
    <row r="24" spans="1:8" x14ac:dyDescent="0.3">
      <c r="A24" s="111">
        <v>48</v>
      </c>
      <c r="B24" s="109" t="str">
        <f>INDEX(PRECIO!B3:B423, MATCH(A24, PRECIO!A3:A423, 0))</f>
        <v>UNIF|PREMIUM|T3XL│ADULTO</v>
      </c>
      <c r="C24" s="109">
        <f>INDEX(PRECIO!C3:C423, MATCH(A24, PRECIO!A3:A423, 0))</f>
        <v>24</v>
      </c>
      <c r="D24" s="109">
        <f>INDEX(PRECIO!D3:D423, MATCH(A24, PRECIO!A3:A423, 0))</f>
        <v>21</v>
      </c>
      <c r="E24" s="109">
        <f>INDEX(PRECIO!E3:E423, MATCH(A24, PRECIO!A3:A423, 0))</f>
        <v>20</v>
      </c>
      <c r="F24" s="141">
        <f>INDEX(PRECIO!O3:O423, MATCH(A24, PRECIO!A3:A423, 0))</f>
        <v>0</v>
      </c>
    </row>
    <row r="25" spans="1:8" x14ac:dyDescent="0.3">
      <c r="A25" s="111">
        <v>49</v>
      </c>
      <c r="B25" s="109" t="str">
        <f>INDEX(PRECIO!B3:B423, MATCH(A25, PRECIO!A3:A423, 0))</f>
        <v>UNIF|PREMIUM|T4XL│ADULTO</v>
      </c>
      <c r="C25" s="109">
        <f>INDEX(PRECIO!C3:C423, MATCH(A25, PRECIO!A3:A423, 0))</f>
        <v>25</v>
      </c>
      <c r="D25" s="109">
        <f>INDEX(PRECIO!D3:D423, MATCH(A25, PRECIO!A3:A423, 0))</f>
        <v>22</v>
      </c>
      <c r="E25" s="109">
        <f>INDEX(PRECIO!E3:E423, MATCH(A25, PRECIO!A3:A423, 0))</f>
        <v>21</v>
      </c>
      <c r="F25" s="141">
        <f>INDEX(PRECIO!O3:O423, MATCH(A25, PRECIO!A3:A423, 0))</f>
        <v>0</v>
      </c>
    </row>
    <row r="26" spans="1:8" x14ac:dyDescent="0.3">
      <c r="A26" s="111">
        <v>50</v>
      </c>
      <c r="B26" s="109" t="str">
        <f>INDEX(PRECIO!B3:B423, MATCH(A26, PRECIO!A3:A423, 0))</f>
        <v>UNIF|PREMIUM|T5XL│ADULTO</v>
      </c>
      <c r="C26" s="109">
        <f>INDEX(PRECIO!C3:C423, MATCH(A26, PRECIO!A3:A423, 0))</f>
        <v>26</v>
      </c>
      <c r="D26" s="109">
        <f>INDEX(PRECIO!D3:D423, MATCH(A26, PRECIO!A3:A423, 0))</f>
        <v>23</v>
      </c>
      <c r="E26" s="109">
        <f>INDEX(PRECIO!E3:E423, MATCH(A26, PRECIO!A3:A423, 0))</f>
        <v>22</v>
      </c>
      <c r="F26" s="141">
        <f>INDEX(PRECIO!O3:O423, MATCH(A26, PRECIO!A3:A423, 0))</f>
        <v>0</v>
      </c>
    </row>
    <row r="27" spans="1:8" x14ac:dyDescent="0.3">
      <c r="A27" s="111">
        <v>51</v>
      </c>
      <c r="B27" s="109" t="str">
        <f>INDEX(PRECIO!B3:B423, MATCH(A27, PRECIO!A3:A423, 0))</f>
        <v>UNIF|PREMIUM|T6XL│ADULTO</v>
      </c>
      <c r="C27" s="109">
        <f>INDEX(PRECIO!C3:C423, MATCH(A27, PRECIO!A3:A423, 0))</f>
        <v>27</v>
      </c>
      <c r="D27" s="109">
        <f>INDEX(PRECIO!D3:D423, MATCH(A27, PRECIO!A3:A423, 0))</f>
        <v>24</v>
      </c>
      <c r="E27" s="109">
        <f>INDEX(PRECIO!E3:E423, MATCH(A27, PRECIO!A3:A423, 0))</f>
        <v>23</v>
      </c>
      <c r="F27" s="141">
        <f>INDEX(PRECIO!O3:O423, MATCH(A27, PRECIO!A3:A423, 0))</f>
        <v>0</v>
      </c>
    </row>
    <row r="28" spans="1:8" x14ac:dyDescent="0.3">
      <c r="A28" s="111">
        <v>52</v>
      </c>
      <c r="B28" s="109" t="str">
        <f>INDEX(PRECIO!B3:B423, MATCH(A28, PRECIO!A3:A423, 0))</f>
        <v>UNIF|PREMIUM|T7XL│ADULTO</v>
      </c>
      <c r="C28" s="109">
        <f>INDEX(PRECIO!C3:C423, MATCH(A28, PRECIO!A3:A423, 0))</f>
        <v>28</v>
      </c>
      <c r="D28" s="109">
        <f>INDEX(PRECIO!D3:D423, MATCH(A28, PRECIO!A3:A423, 0))</f>
        <v>25</v>
      </c>
      <c r="E28" s="109">
        <f>INDEX(PRECIO!E3:E423, MATCH(A28, PRECIO!A3:A423, 0))</f>
        <v>24</v>
      </c>
      <c r="F28" s="141">
        <f>INDEX(PRECIO!O3:O423, MATCH(A28, PRECIO!A3:A423, 0))</f>
        <v>0</v>
      </c>
    </row>
    <row r="29" spans="1:8" x14ac:dyDescent="0.3">
      <c r="A29" s="111">
        <v>53</v>
      </c>
      <c r="B29" s="109" t="str">
        <f>INDEX(PRECIO!B3:B423, MATCH(A29, PRECIO!A3:A423, 0))</f>
        <v>UNIF|PREMIUM|T8XL│ADULTO</v>
      </c>
      <c r="C29" s="109">
        <f>INDEX(PRECIO!C3:C423, MATCH(A29, PRECIO!A3:A423, 0))</f>
        <v>29</v>
      </c>
      <c r="D29" s="109">
        <f>INDEX(PRECIO!D3:D423, MATCH(A29, PRECIO!A3:A423, 0))</f>
        <v>26</v>
      </c>
      <c r="E29" s="109">
        <f>INDEX(PRECIO!E3:E423, MATCH(A29, PRECIO!A3:A423, 0))</f>
        <v>25</v>
      </c>
      <c r="F29" s="141">
        <f>INDEX(PRECIO!O3:O423, MATCH(A29, PRECIO!A3:A423, 0))</f>
        <v>0</v>
      </c>
    </row>
    <row r="30" spans="1:8" x14ac:dyDescent="0.3">
      <c r="A30" s="111">
        <v>54</v>
      </c>
      <c r="B30" s="109" t="str">
        <f>INDEX(PRECIO!B3:B423, MATCH(A30, PRECIO!A3:A423, 0))</f>
        <v>UNIF|PREMIUM|T9XL│ADULTO</v>
      </c>
      <c r="C30" s="109">
        <f>INDEX(PRECIO!C3:C423, MATCH(A30, PRECIO!A3:A423, 0))</f>
        <v>30</v>
      </c>
      <c r="D30" s="109">
        <f>INDEX(PRECIO!D3:D423, MATCH(A30, PRECIO!A3:A423, 0))</f>
        <v>27</v>
      </c>
      <c r="E30" s="109">
        <f>INDEX(PRECIO!E3:E423, MATCH(A30, PRECIO!A3:A423, 0))</f>
        <v>26</v>
      </c>
      <c r="F30" s="141">
        <f>INDEX(PRECIO!O3:O423, MATCH(A30, PRECIO!A3:A423, 0))</f>
        <v>0</v>
      </c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E9BC1-076F-4122-BFC7-7AE52FC2CCE8}">
  <sheetPr codeName="Hoja14"/>
  <dimension ref="A1:I28"/>
  <sheetViews>
    <sheetView zoomScaleNormal="100" workbookViewId="0">
      <pane ySplit="2" topLeftCell="A3" activePane="bottomLeft" state="frozenSplit"/>
      <selection activeCell="I14" sqref="I14"/>
      <selection pane="bottomLeft" activeCell="G7" sqref="G7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5" width="11.44140625" style="109"/>
    <col min="6" max="6" width="11.44140625" style="141"/>
  </cols>
  <sheetData>
    <row r="1" spans="1:9" ht="29.25" customHeight="1" x14ac:dyDescent="0.3">
      <c r="A1" s="277" t="s">
        <v>977</v>
      </c>
      <c r="B1" s="277"/>
      <c r="C1" s="277"/>
      <c r="D1" s="277"/>
      <c r="E1" s="277"/>
      <c r="F1" s="137"/>
    </row>
    <row r="2" spans="1:9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9" x14ac:dyDescent="0.3">
      <c r="A3" s="149">
        <v>434</v>
      </c>
      <c r="B3" s="150" t="str">
        <f>INDEX(PRECIO!B3:B923, MATCH(A3, PRECIO!A3:A923, 0))</f>
        <v>UNIF BUZO|ECO|T26-30|NIÑOS</v>
      </c>
      <c r="C3" s="150">
        <f>INDEX(PRECIO!C3:C923, MATCH(A3, PRECIO!A3:A923, 0))</f>
        <v>16.5</v>
      </c>
      <c r="D3" s="150">
        <f>INDEX(PRECIO!D3:D923, MATCH(A3, PRECIO!A3:A923, 0))</f>
        <v>13.5</v>
      </c>
      <c r="E3" s="150">
        <f>INDEX(PRECIO!E3:E923, MATCH(A3, PRECIO!A3:A923, 0))</f>
        <v>12.5</v>
      </c>
      <c r="F3" s="141">
        <f>INDEX(PRECIO!O3:O923, MATCH(A3, PRECIO!A3:A923, 0))</f>
        <v>0</v>
      </c>
      <c r="G3">
        <v>10.5</v>
      </c>
      <c r="H3" s="259">
        <v>2</v>
      </c>
      <c r="I3">
        <f>+G3+H3</f>
        <v>12.5</v>
      </c>
    </row>
    <row r="4" spans="1:9" x14ac:dyDescent="0.3">
      <c r="A4" s="111">
        <v>13</v>
      </c>
      <c r="B4" s="109" t="str">
        <f>INDEX(PRECIO!B3:B923, MATCH(A4, PRECIO!A3:A923, 0))</f>
        <v>BUZO|ECO|T26-30│NIÑOS</v>
      </c>
      <c r="C4" s="109">
        <f>INDEX(PRECIO!C3:C923, MATCH(A4, PRECIO!A3:A923, 0))</f>
        <v>10.5</v>
      </c>
      <c r="D4" s="109">
        <f>INDEX(PRECIO!D3:D923, MATCH(A4, PRECIO!A3:A923, 0))</f>
        <v>8.5</v>
      </c>
      <c r="E4" s="109">
        <f>INDEX(PRECIO!E3:E923, MATCH(A4, PRECIO!A3:A923, 0))</f>
        <v>7.5</v>
      </c>
      <c r="F4" s="141">
        <f>INDEX(PRECIO!O3:O923, MATCH(A4, PRECIO!A3:A923, 0))</f>
        <v>0</v>
      </c>
    </row>
    <row r="5" spans="1:9" x14ac:dyDescent="0.3">
      <c r="A5" s="111">
        <v>10</v>
      </c>
      <c r="B5" s="109" t="str">
        <f>INDEX(PRECIO!B3:B923, MATCH(A5, PRECIO!A3:A923, 0))</f>
        <v>PANT|ECO|T26-30|NIÑOS</v>
      </c>
      <c r="C5" s="109">
        <f>INDEX(PRECIO!C3:C923, MATCH(A5, PRECIO!A3:A923, 0))</f>
        <v>3.5</v>
      </c>
      <c r="D5" s="109">
        <f>INDEX(PRECIO!D3:D923, MATCH(A5, PRECIO!A3:A923, 0))</f>
        <v>3.5</v>
      </c>
      <c r="E5" s="109">
        <f>INDEX(PRECIO!E3:E923, MATCH(A5, PRECIO!A3:A923, 0))</f>
        <v>3</v>
      </c>
      <c r="F5" s="141">
        <f>INDEX(PRECIO!O3:O923, MATCH(A5, PRECIO!A3:A923, 0))</f>
        <v>3.63</v>
      </c>
    </row>
    <row r="6" spans="1:9" x14ac:dyDescent="0.3">
      <c r="A6" s="111">
        <v>421</v>
      </c>
      <c r="B6" s="109" t="str">
        <f>INDEX(PRECIO!B3:B923, MATCH(A6, PRECIO!A3:A923, 0))</f>
        <v>POLIN 4-6</v>
      </c>
      <c r="C6" s="109">
        <v>2</v>
      </c>
      <c r="D6" s="109">
        <f>+E6</f>
        <v>2</v>
      </c>
      <c r="E6" s="109">
        <f>INDEX(PRECIO!E3:E923, MATCH(A6, PRECIO!A3:A923, 0))</f>
        <v>2</v>
      </c>
      <c r="F6" s="141">
        <f>INDEX(PRECIO!O3:O923, MATCH(A6, PRECIO!A3:A923, 0))</f>
        <v>0</v>
      </c>
    </row>
    <row r="7" spans="1:9" x14ac:dyDescent="0.3">
      <c r="A7" s="111"/>
      <c r="C7" s="263">
        <f>SUM(C4:C6)</f>
        <v>16</v>
      </c>
      <c r="D7" s="263">
        <f>SUM(D4:D6)</f>
        <v>14</v>
      </c>
      <c r="E7" s="263">
        <f>SUM(E4:E6)</f>
        <v>12.5</v>
      </c>
      <c r="G7" s="109"/>
    </row>
    <row r="8" spans="1:9" x14ac:dyDescent="0.3">
      <c r="A8" s="149">
        <v>437</v>
      </c>
      <c r="B8" s="150" t="str">
        <f>INDEX(PRECIO!B3:B923, MATCH(A8, PRECIO!A3:A923, 0))</f>
        <v>UNIF BUZO|ECO|T32-36|NIÑOS</v>
      </c>
      <c r="C8" s="150">
        <f>INDEX(PRECIO!C3:C923, MATCH(A8, PRECIO!A3:A923, 0))</f>
        <v>17</v>
      </c>
      <c r="D8" s="150">
        <f>INDEX(PRECIO!D3:D923, MATCH(A8, PRECIO!A3:A923, 0))</f>
        <v>14</v>
      </c>
      <c r="E8" s="150">
        <f>INDEX(PRECIO!E3:E923, MATCH(A8, PRECIO!A3:A923, 0))</f>
        <v>13</v>
      </c>
      <c r="F8" s="141">
        <f>INDEX(PRECIO!O3:O923, MATCH(A8, PRECIO!A3:A923, 0))</f>
        <v>0</v>
      </c>
      <c r="G8">
        <v>11</v>
      </c>
      <c r="H8" s="259">
        <v>2</v>
      </c>
      <c r="I8">
        <f>+G8+H8</f>
        <v>13</v>
      </c>
    </row>
    <row r="9" spans="1:9" x14ac:dyDescent="0.3">
      <c r="A9" s="111">
        <v>25</v>
      </c>
      <c r="B9" s="109" t="str">
        <f>INDEX(PRECIO!B3:B923, MATCH(A9, PRECIO!A3:A923, 0))</f>
        <v>BUZO|ECO|T32-36│NIÑOS</v>
      </c>
      <c r="C9" s="109">
        <f>INDEX(PRECIO!C3:C923, MATCH(A9, PRECIO!A3:A923, 0))</f>
        <v>11</v>
      </c>
      <c r="D9" s="109">
        <f>INDEX(PRECIO!D3:D923, MATCH(A9, PRECIO!A3:A923, 0))</f>
        <v>9</v>
      </c>
      <c r="E9" s="109">
        <f>INDEX(PRECIO!E3:E923, MATCH(A9, PRECIO!A3:A923, 0))</f>
        <v>8</v>
      </c>
      <c r="F9" s="141">
        <f>INDEX(PRECIO!O3:O923, MATCH(A9, PRECIO!A3:A923, 0))</f>
        <v>0</v>
      </c>
    </row>
    <row r="10" spans="1:9" x14ac:dyDescent="0.3">
      <c r="A10" s="111">
        <v>22</v>
      </c>
      <c r="B10" s="109" t="str">
        <f>INDEX(PRECIO!B3:B923, MATCH(A10, PRECIO!A3:A923, 0))</f>
        <v>PANT|ECO|T32-36|NIÑOS</v>
      </c>
      <c r="C10" s="109">
        <f>INDEX(PRECIO!C3:C923, MATCH(A10, PRECIO!A3:A923, 0))</f>
        <v>3.5</v>
      </c>
      <c r="D10" s="109">
        <f>INDEX(PRECIO!D3:D923, MATCH(A10, PRECIO!A3:A923, 0))</f>
        <v>3.5</v>
      </c>
      <c r="E10" s="109">
        <f>INDEX(PRECIO!E3:E923, MATCH(A10, PRECIO!A3:A923, 0))</f>
        <v>3.5</v>
      </c>
      <c r="F10" s="141">
        <f>INDEX(PRECIO!O3:O923, MATCH(A10, PRECIO!A3:A923, 0))</f>
        <v>2.16</v>
      </c>
    </row>
    <row r="11" spans="1:9" x14ac:dyDescent="0.3">
      <c r="A11" s="111">
        <v>420</v>
      </c>
      <c r="B11" s="109" t="str">
        <f>INDEX(PRECIO!B3:B923, MATCH(A11, PRECIO!A3:A923, 0))</f>
        <v>POLIN 6-8|8-10</v>
      </c>
      <c r="C11" s="109">
        <v>2.5</v>
      </c>
      <c r="D11" s="109">
        <f>+E11</f>
        <v>2.5</v>
      </c>
      <c r="E11" s="109">
        <f>INDEX(PRECIO!E3:E923, MATCH(A11, PRECIO!A3:A923, 0))</f>
        <v>2.5</v>
      </c>
      <c r="F11" s="141">
        <f>INDEX(PRECIO!O3:O923, MATCH(A11, PRECIO!A3:A923, 0))</f>
        <v>0</v>
      </c>
    </row>
    <row r="12" spans="1:9" x14ac:dyDescent="0.3">
      <c r="A12" s="111"/>
      <c r="C12" s="263">
        <f>SUM(C9:C11)</f>
        <v>17</v>
      </c>
      <c r="D12" s="263">
        <f>SUM(D9:D11)</f>
        <v>15</v>
      </c>
      <c r="E12" s="263">
        <f>SUM(E9:E11)</f>
        <v>14</v>
      </c>
    </row>
    <row r="13" spans="1:9" x14ac:dyDescent="0.3">
      <c r="A13" s="149">
        <v>166</v>
      </c>
      <c r="B13" s="150" t="str">
        <f>INDEX(PRECIO!B3:B923, MATCH(A13, PRECIO!A3:A923, 0))</f>
        <v>UNIF BUZO|ECO|T38-42│JOV</v>
      </c>
      <c r="C13" s="150">
        <f>INDEX(PRECIO!C3:C923, MATCH(A13, PRECIO!A3:A923, 0))</f>
        <v>18</v>
      </c>
      <c r="D13" s="150">
        <f>INDEX(PRECIO!D3:D923, MATCH(A13, PRECIO!A3:A923, 0))</f>
        <v>15</v>
      </c>
      <c r="E13" s="150">
        <f>INDEX(PRECIO!E3:E923, MATCH(A13, PRECIO!A3:A923, 0))</f>
        <v>14</v>
      </c>
      <c r="F13" s="141">
        <f>INDEX(PRECIO!O3:O923, MATCH(A13, PRECIO!A3:A923, 0))</f>
        <v>0</v>
      </c>
      <c r="G13">
        <v>12</v>
      </c>
      <c r="H13" s="259">
        <v>2</v>
      </c>
      <c r="I13">
        <f>+G13+H13</f>
        <v>14</v>
      </c>
    </row>
    <row r="14" spans="1:9" x14ac:dyDescent="0.3">
      <c r="A14" s="111">
        <v>311</v>
      </c>
      <c r="B14" s="109" t="str">
        <f>INDEX(PRECIO!B3:B923, MATCH(A14, PRECIO!A3:A923, 0))</f>
        <v>BUZO|ECO|T38-42│JOV</v>
      </c>
      <c r="C14" s="109">
        <f>INDEX(PRECIO!C3:C923, MATCH(A14, PRECIO!A3:A923, 0))</f>
        <v>12</v>
      </c>
      <c r="D14" s="109">
        <f>INDEX(PRECIO!D3:D923, MATCH(A14, PRECIO!A3:A923, 0))</f>
        <v>10</v>
      </c>
      <c r="E14" s="109">
        <f>INDEX(PRECIO!E3:E923, MATCH(A14, PRECIO!A3:A923, 0))</f>
        <v>9</v>
      </c>
      <c r="F14" s="141">
        <f>INDEX(PRECIO!O3:O923, MATCH(A14, PRECIO!A3:A923, 0))</f>
        <v>0</v>
      </c>
    </row>
    <row r="15" spans="1:9" x14ac:dyDescent="0.3">
      <c r="A15" s="111">
        <v>82</v>
      </c>
      <c r="B15" s="109" t="str">
        <f>INDEX(PRECIO!B3:B923, MATCH(A15, PRECIO!A3:A923, 0))</f>
        <v>PANT|ECO|TXS-XL│ADULTO</v>
      </c>
      <c r="C15" s="109">
        <f>INDEX(PRECIO!C3:C923, MATCH(A15, PRECIO!A3:A923, 0))</f>
        <v>3.5</v>
      </c>
      <c r="D15" s="109">
        <f>INDEX(PRECIO!D3:D923, MATCH(A15, PRECIO!A3:A923, 0))</f>
        <v>3.5</v>
      </c>
      <c r="E15" s="109">
        <f>INDEX(PRECIO!E3:E923, MATCH(A15, PRECIO!A3:A923, 0))</f>
        <v>3.5</v>
      </c>
      <c r="F15" s="141">
        <f>INDEX(PRECIO!O3:O923, MATCH(A15, PRECIO!A3:A923, 0))</f>
        <v>3.57</v>
      </c>
    </row>
    <row r="16" spans="1:9" x14ac:dyDescent="0.3">
      <c r="A16" s="111">
        <v>420</v>
      </c>
      <c r="B16" s="109" t="str">
        <f>INDEX(PRECIO!B3:B923, MATCH(A16, PRECIO!A3:A923, 0))</f>
        <v>POLIN 6-8|8-10</v>
      </c>
      <c r="C16" s="109">
        <v>2.5</v>
      </c>
      <c r="D16" s="109">
        <f>+E16</f>
        <v>2.5</v>
      </c>
      <c r="E16" s="109">
        <f>INDEX(PRECIO!E3:E923, MATCH(A16, PRECIO!A3:A923, 0))</f>
        <v>2.5</v>
      </c>
      <c r="F16" s="141">
        <f>INDEX(PRECIO!O3:O923, MATCH(A16, PRECIO!A3:A923, 0))</f>
        <v>0</v>
      </c>
    </row>
    <row r="17" spans="1:9" x14ac:dyDescent="0.3">
      <c r="C17" s="263">
        <f>SUM(C14:C16)</f>
        <v>18</v>
      </c>
      <c r="D17" s="263">
        <f>SUM(D14:D16)</f>
        <v>16</v>
      </c>
      <c r="E17" s="263">
        <f>SUM(E14:E16)</f>
        <v>15</v>
      </c>
    </row>
    <row r="18" spans="1:9" x14ac:dyDescent="0.3">
      <c r="A18" s="149">
        <v>190</v>
      </c>
      <c r="B18" s="150" t="str">
        <f>INDEX(PRECIO!B3:B375, MATCH(A18, PRECIO!A3:A375, 0))</f>
        <v>UNIF BUZO|ECO|TXS-XL│ADULTO</v>
      </c>
      <c r="C18" s="150">
        <f>INDEX(PRECIO!C3:C375, MATCH(A18, PRECIO!A3:A375, 0))</f>
        <v>19</v>
      </c>
      <c r="D18" s="150">
        <f>INDEX(PRECIO!D3:D375, MATCH(A18, PRECIO!A3:A375, 0))</f>
        <v>16</v>
      </c>
      <c r="E18" s="150">
        <f>INDEX(PRECIO!E3:E375, MATCH(A18, PRECIO!A3:A375, 0))</f>
        <v>15</v>
      </c>
      <c r="F18" s="141">
        <f>INDEX(PRECIO!O3:O375, MATCH(A18, PRECIO!A3:A375, 0))</f>
        <v>0</v>
      </c>
      <c r="G18">
        <v>14</v>
      </c>
      <c r="H18" s="259">
        <v>2</v>
      </c>
      <c r="I18">
        <f>+G18+H18</f>
        <v>16</v>
      </c>
    </row>
    <row r="19" spans="1:9" x14ac:dyDescent="0.3">
      <c r="A19" s="111">
        <v>109</v>
      </c>
      <c r="B19" s="109" t="str">
        <f>INDEX(PRECIO!B3:B923, MATCH(A19, PRECIO!A3:A923, 0))</f>
        <v>BUZO|ECO|TXS-XL│ADULTO</v>
      </c>
      <c r="C19" s="109">
        <f>INDEX(PRECIO!C3:C923, MATCH(A19, PRECIO!A3:A923, 0))</f>
        <v>13</v>
      </c>
      <c r="D19" s="109">
        <f>INDEX(PRECIO!D3:D923, MATCH(A19, PRECIO!A3:A923, 0))</f>
        <v>11</v>
      </c>
      <c r="E19" s="109">
        <f>INDEX(PRECIO!E3:E923, MATCH(A19, PRECIO!A3:A923, 0))</f>
        <v>10</v>
      </c>
      <c r="F19" s="141">
        <f>INDEX(PRECIO!O3:O923, MATCH(A19, PRECIO!A3:A923, 0))</f>
        <v>7.6</v>
      </c>
    </row>
    <row r="20" spans="1:9" x14ac:dyDescent="0.3">
      <c r="A20" s="111">
        <v>82</v>
      </c>
      <c r="B20" s="109" t="str">
        <f>INDEX(PRECIO!B3:B375, MATCH(A20, PRECIO!A3:A375, 0))</f>
        <v>PANT|ECO|TXS-XL│ADULTO</v>
      </c>
      <c r="C20" s="109">
        <f>INDEX(PRECIO!C3:C375, MATCH(A20, PRECIO!A3:A375, 0))</f>
        <v>3.5</v>
      </c>
      <c r="D20" s="109">
        <f>INDEX(PRECIO!D3:D375, MATCH(A20, PRECIO!A3:A375, 0))</f>
        <v>3.5</v>
      </c>
      <c r="E20" s="109">
        <f>INDEX(PRECIO!E3:E375, MATCH(A20, PRECIO!A3:A375, 0))</f>
        <v>3.5</v>
      </c>
      <c r="F20" s="141">
        <f>INDEX(PRECIO!O3:O375, MATCH(A20, PRECIO!A3:A375, 0))</f>
        <v>3.57</v>
      </c>
    </row>
    <row r="21" spans="1:9" x14ac:dyDescent="0.3">
      <c r="A21" s="111">
        <v>420</v>
      </c>
      <c r="B21" s="109" t="str">
        <f>INDEX(PRECIO!B3:B923, MATCH(A21, PRECIO!A3:A923, 0))</f>
        <v>POLIN 6-8|8-10</v>
      </c>
      <c r="C21" s="109">
        <v>2.5</v>
      </c>
      <c r="D21" s="109">
        <f>+E21</f>
        <v>2.5</v>
      </c>
      <c r="E21" s="109">
        <f>INDEX(PRECIO!E3:E923, MATCH(A21, PRECIO!A3:A923, 0))</f>
        <v>2.5</v>
      </c>
      <c r="F21" s="141">
        <f>INDEX(PRECIO!O3:O923, MATCH(A21, PRECIO!A3:A923, 0))</f>
        <v>0</v>
      </c>
    </row>
    <row r="22" spans="1:9" x14ac:dyDescent="0.3">
      <c r="A22" s="111"/>
      <c r="C22" s="263">
        <f>SUM(C19:C21)</f>
        <v>19</v>
      </c>
      <c r="D22" s="263">
        <f>SUM(D19:D21)</f>
        <v>17</v>
      </c>
      <c r="E22" s="263">
        <f>SUM(E19:E21)</f>
        <v>16</v>
      </c>
    </row>
    <row r="23" spans="1:9" x14ac:dyDescent="0.3">
      <c r="A23" s="111">
        <v>191</v>
      </c>
      <c r="B23" s="109" t="str">
        <f>INDEX(PRECIO!B3:B375, MATCH(A23, PRECIO!A3:A375, 0))</f>
        <v>UNIF BUZO|ECO|T2XL│ADULTO</v>
      </c>
      <c r="C23" s="109">
        <f>INDEX(PRECIO!C3:C375, MATCH(A23, PRECIO!A3:A375, 0))</f>
        <v>20</v>
      </c>
      <c r="D23" s="109">
        <f>INDEX(PRECIO!D3:D375, MATCH(A23, PRECIO!A3:A375, 0))</f>
        <v>17</v>
      </c>
      <c r="E23" s="109">
        <f>INDEX(PRECIO!E3:E375, MATCH(A23, PRECIO!A3:A375, 0))</f>
        <v>16</v>
      </c>
      <c r="F23" s="141">
        <f>INDEX(PRECIO!O3:O375, MATCH(A23, PRECIO!A3:A375, 0))</f>
        <v>0</v>
      </c>
    </row>
    <row r="24" spans="1:9" x14ac:dyDescent="0.3">
      <c r="A24" s="111">
        <v>192</v>
      </c>
      <c r="B24" s="109" t="str">
        <f>INDEX(PRECIO!B3:B375, MATCH(A24, PRECIO!A3:A375, 0))</f>
        <v>UNIF BUZO|ECO|T3XL│ADULTO</v>
      </c>
      <c r="C24" s="109">
        <f>INDEX(PRECIO!C3:C375, MATCH(A24, PRECIO!A3:A375, 0))</f>
        <v>21</v>
      </c>
      <c r="D24" s="109">
        <f>INDEX(PRECIO!D3:D375, MATCH(A24, PRECIO!A3:A375, 0))</f>
        <v>18</v>
      </c>
      <c r="E24" s="109">
        <f>INDEX(PRECIO!E3:E375, MATCH(A24, PRECIO!A3:A375, 0))</f>
        <v>17</v>
      </c>
      <c r="F24" s="141">
        <f>INDEX(PRECIO!O3:O375, MATCH(A24, PRECIO!A3:A375, 0))</f>
        <v>0</v>
      </c>
    </row>
    <row r="25" spans="1:9" x14ac:dyDescent="0.3">
      <c r="A25" s="111">
        <v>193</v>
      </c>
      <c r="B25" s="109" t="str">
        <f>INDEX(PRECIO!B3:B375, MATCH(A25, PRECIO!A3:A375, 0))</f>
        <v>UNIF BUZO|ECO|T4XL│ADULTO</v>
      </c>
      <c r="C25" s="109">
        <f>INDEX(PRECIO!C3:C375, MATCH(A25, PRECIO!A3:A375, 0))</f>
        <v>22</v>
      </c>
      <c r="D25" s="109">
        <f>INDEX(PRECIO!D3:D375, MATCH(A25, PRECIO!A3:A375, 0))</f>
        <v>19</v>
      </c>
      <c r="E25" s="109">
        <f>INDEX(PRECIO!E3:E375, MATCH(A25, PRECIO!A3:A375, 0))</f>
        <v>18</v>
      </c>
      <c r="F25" s="141">
        <f>INDEX(PRECIO!O3:O375, MATCH(A25, PRECIO!A3:A375, 0))</f>
        <v>0</v>
      </c>
    </row>
    <row r="26" spans="1:9" x14ac:dyDescent="0.3">
      <c r="A26" s="111">
        <v>194</v>
      </c>
      <c r="B26" s="109" t="str">
        <f>INDEX(PRECIO!B3:B375, MATCH(A26, PRECIO!A3:A375, 0))</f>
        <v>UNIF BUZO|ECO|T5XL│ADULTO</v>
      </c>
      <c r="C26" s="109">
        <f>INDEX(PRECIO!C3:C375, MATCH(A26, PRECIO!A3:A375, 0))</f>
        <v>23</v>
      </c>
      <c r="D26" s="109">
        <f>INDEX(PRECIO!D3:D375, MATCH(A26, PRECIO!A3:A375, 0))</f>
        <v>20</v>
      </c>
      <c r="E26" s="109">
        <f>INDEX(PRECIO!E3:E375, MATCH(A26, PRECIO!A3:A375, 0))</f>
        <v>19</v>
      </c>
      <c r="F26" s="141">
        <f>INDEX(PRECIO!O3:O375, MATCH(A26, PRECIO!A3:A375, 0))</f>
        <v>0</v>
      </c>
    </row>
    <row r="27" spans="1:9" x14ac:dyDescent="0.3">
      <c r="A27" s="111">
        <v>195</v>
      </c>
      <c r="B27" s="109" t="str">
        <f>INDEX(PRECIO!B3:B375, MATCH(A27, PRECIO!A3:A375, 0))</f>
        <v>UNIF BUZO|ECO|T6XL│ADULTO</v>
      </c>
      <c r="C27" s="109">
        <f>INDEX(PRECIO!C3:C375, MATCH(A27, PRECIO!A3:A375, 0))</f>
        <v>24</v>
      </c>
      <c r="D27" s="109">
        <f>INDEX(PRECIO!D3:D375, MATCH(A27, PRECIO!A3:A375, 0))</f>
        <v>21</v>
      </c>
      <c r="E27" s="109">
        <f>INDEX(PRECIO!E3:E375, MATCH(A27, PRECIO!A3:A375, 0))</f>
        <v>20</v>
      </c>
      <c r="F27" s="141">
        <f>INDEX(PRECIO!O3:O375, MATCH(A27, PRECIO!A3:A375, 0))</f>
        <v>0</v>
      </c>
    </row>
    <row r="28" spans="1:9" x14ac:dyDescent="0.3">
      <c r="A28" s="111">
        <v>196</v>
      </c>
      <c r="B28" s="109" t="str">
        <f>INDEX(PRECIO!B3:B375, MATCH(A28, PRECIO!A3:A375, 0))</f>
        <v>UNIF BUZO|ECO|T7XL│ADULTO</v>
      </c>
      <c r="C28" s="109">
        <f>INDEX(PRECIO!C3:C375, MATCH(A28, PRECIO!A3:A375, 0))</f>
        <v>25</v>
      </c>
      <c r="D28" s="109">
        <f>INDEX(PRECIO!D3:D375, MATCH(A28, PRECIO!A3:A375, 0))</f>
        <v>22</v>
      </c>
      <c r="E28" s="109">
        <f>INDEX(PRECIO!E3:E375, MATCH(A28, PRECIO!A3:A375, 0))</f>
        <v>21</v>
      </c>
      <c r="F28" s="141">
        <f>INDEX(PRECIO!O3:O375, MATCH(A28, PRECIO!A3:A375, 0))</f>
        <v>0</v>
      </c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228D-D375-40F2-8594-110B3434203E}">
  <sheetPr codeName="Hoja15"/>
  <dimension ref="A1:G28"/>
  <sheetViews>
    <sheetView zoomScaleNormal="100" workbookViewId="0">
      <pane ySplit="2" topLeftCell="A3" activePane="bottomLeft" state="frozenSplit"/>
      <selection activeCell="I14" sqref="I14"/>
      <selection pane="bottomLeft" activeCell="I28" sqref="I28"/>
    </sheetView>
  </sheetViews>
  <sheetFormatPr baseColWidth="10" defaultRowHeight="14.4" x14ac:dyDescent="0.3"/>
  <cols>
    <col min="1" max="1" width="11.44140625" style="109"/>
    <col min="2" max="2" width="36.44140625" style="109" bestFit="1" customWidth="1"/>
    <col min="3" max="5" width="11.44140625" style="109"/>
    <col min="6" max="6" width="11.44140625" style="141"/>
  </cols>
  <sheetData>
    <row r="1" spans="1:6" ht="29.25" customHeight="1" x14ac:dyDescent="0.3">
      <c r="A1" s="277" t="s">
        <v>978</v>
      </c>
      <c r="B1" s="277"/>
      <c r="C1" s="277"/>
      <c r="D1" s="277"/>
      <c r="E1" s="277"/>
      <c r="F1" s="137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6" x14ac:dyDescent="0.3">
      <c r="A3" s="151">
        <v>435</v>
      </c>
      <c r="B3" s="152" t="str">
        <f>INDEX(PRECIO!B3:B930, MATCH(A3, PRECIO!A3:A930, 0))</f>
        <v>UNIF BUZO|ESTANDAR|T26-30|NIÑOS</v>
      </c>
      <c r="C3" s="152">
        <f>INDEX(PRECIO!C3:C930, MATCH(A3, PRECIO!A3:A930, 0))</f>
        <v>23</v>
      </c>
      <c r="D3" s="152">
        <f>INDEX(PRECIO!D3:D930, MATCH(A3, PRECIO!A3:A930, 0))</f>
        <v>16.5</v>
      </c>
      <c r="E3" s="152">
        <f>INDEX(PRECIO!E3:E930, MATCH(A3, PRECIO!A3:A930, 0))</f>
        <v>15.5</v>
      </c>
      <c r="F3" s="141">
        <f>INDEX(PRECIO!O3:O930, MATCH(A3, PRECIO!A3:A930, 0))</f>
        <v>0</v>
      </c>
    </row>
    <row r="4" spans="1:6" x14ac:dyDescent="0.3">
      <c r="A4" s="111">
        <v>14</v>
      </c>
      <c r="B4" s="109" t="str">
        <f>INDEX(PRECIO!B3:B930, MATCH(A4, PRECIO!A3:A930, 0))</f>
        <v>BUZO|ESTANDAR|T26-30│NIÑOS</v>
      </c>
      <c r="C4" s="109">
        <f>INDEX(PRECIO!C3:C930, MATCH(A4, PRECIO!A3:A930, 0))</f>
        <v>11.5</v>
      </c>
      <c r="D4" s="109">
        <f>INDEX(PRECIO!D3:D930, MATCH(A4, PRECIO!A3:A930, 0))</f>
        <v>9.5</v>
      </c>
      <c r="E4" s="109">
        <f>INDEX(PRECIO!E3:E930, MATCH(A4, PRECIO!A3:A930, 0))</f>
        <v>8.5</v>
      </c>
      <c r="F4" s="141">
        <f>INDEX(PRECIO!O3:O930, MATCH(A4, PRECIO!A3:A930, 0))</f>
        <v>0</v>
      </c>
    </row>
    <row r="5" spans="1:6" x14ac:dyDescent="0.3">
      <c r="A5" s="111">
        <v>11</v>
      </c>
      <c r="B5" s="109" t="str">
        <f>INDEX(PRECIO!B3:B423, MATCH(A5, PRECIO!A3:A423, 0))</f>
        <v>PANT|ESTANDAR T26-30|NIÑOS</v>
      </c>
      <c r="C5" s="109">
        <f>INDEX(PRECIO!C3:C423, MATCH(A5, PRECIO!A3:A423, 0))</f>
        <v>8.5</v>
      </c>
      <c r="D5" s="109">
        <f>INDEX(PRECIO!D3:D423, MATCH(A5, PRECIO!A3:A423, 0))</f>
        <v>6.5</v>
      </c>
      <c r="E5" s="109">
        <f>INDEX(PRECIO!E3:E423, MATCH(A5, PRECIO!A3:A423, 0))</f>
        <v>5.5</v>
      </c>
      <c r="F5" s="141">
        <f>INDEX(PRECIO!O3:O423, MATCH(A5, PRECIO!A3:A423, 0))</f>
        <v>3.99</v>
      </c>
    </row>
    <row r="6" spans="1:6" x14ac:dyDescent="0.3">
      <c r="A6" s="111">
        <v>421</v>
      </c>
      <c r="B6" s="109" t="str">
        <f>INDEX(PRECIO!B3:B424, MATCH(A6, PRECIO!A3:A424, 0))</f>
        <v>POLIN 4-6</v>
      </c>
      <c r="C6" s="109">
        <f>+D6</f>
        <v>2</v>
      </c>
      <c r="D6" s="109">
        <f>+E6</f>
        <v>2</v>
      </c>
      <c r="E6" s="109">
        <f>INDEX(PRECIO!E3:E424, MATCH(A6, PRECIO!A3:A424, 0))</f>
        <v>2</v>
      </c>
      <c r="F6" s="141">
        <f>INDEX(PRECIO!O3:O424, MATCH(A6, PRECIO!A3:A424, 0))</f>
        <v>0</v>
      </c>
    </row>
    <row r="7" spans="1:6" x14ac:dyDescent="0.3">
      <c r="A7" s="111"/>
      <c r="C7" s="263">
        <f>SUM(C4:C6)</f>
        <v>22</v>
      </c>
      <c r="D7" s="263">
        <f>SUM(D4:D6)</f>
        <v>18</v>
      </c>
      <c r="E7" s="263">
        <f>SUM(E4:E6)</f>
        <v>16</v>
      </c>
    </row>
    <row r="8" spans="1:6" x14ac:dyDescent="0.3">
      <c r="A8" s="151">
        <v>438</v>
      </c>
      <c r="B8" s="152" t="str">
        <f>INDEX(PRECIO!B3:B930, MATCH(A8, PRECIO!A3:A930, 0))</f>
        <v>UNIF BUZO|ESTANDAR|T32-36|NIÑOS</v>
      </c>
      <c r="C8" s="152">
        <f>INDEX(PRECIO!C3:C930, MATCH(A8, PRECIO!A3:A930, 0))</f>
        <v>23.5</v>
      </c>
      <c r="D8" s="152">
        <f>INDEX(PRECIO!D3:D930, MATCH(A8, PRECIO!A3:A930, 0))</f>
        <v>17</v>
      </c>
      <c r="E8" s="152">
        <f>INDEX(PRECIO!E3:E930, MATCH(A8, PRECIO!A3:A930, 0))</f>
        <v>16</v>
      </c>
      <c r="F8" s="141">
        <f>INDEX(PRECIO!O3:O930, MATCH(A8, PRECIO!A3:A930, 0))</f>
        <v>0</v>
      </c>
    </row>
    <row r="9" spans="1:6" x14ac:dyDescent="0.3">
      <c r="A9" s="111">
        <v>26</v>
      </c>
      <c r="B9" s="109" t="str">
        <f>INDEX(PRECIO!B3:B930, MATCH(A9, PRECIO!A3:A930, 0))</f>
        <v>BUZO|ESTANDAR|T32-36│NIÑOS</v>
      </c>
      <c r="C9" s="109">
        <f>INDEX(PRECIO!C3:C930, MATCH(A9, PRECIO!A3:A930, 0))</f>
        <v>12</v>
      </c>
      <c r="D9" s="109">
        <f>INDEX(PRECIO!D3:D930, MATCH(A9, PRECIO!A3:A930, 0))</f>
        <v>10</v>
      </c>
      <c r="E9" s="109">
        <f>INDEX(PRECIO!E3:E930, MATCH(A9, PRECIO!A3:A930, 0))</f>
        <v>9</v>
      </c>
      <c r="F9" s="141">
        <f>INDEX(PRECIO!O3:O930, MATCH(A9, PRECIO!A3:A930, 0))</f>
        <v>0</v>
      </c>
    </row>
    <row r="10" spans="1:6" x14ac:dyDescent="0.3">
      <c r="A10" s="111">
        <v>23</v>
      </c>
      <c r="B10" s="109" t="str">
        <f>INDEX(PRECIO!B3:B423, MATCH(A10, PRECIO!A3:A423, 0))</f>
        <v>PANT|ESTANDAR T32-36|NIÑOS</v>
      </c>
      <c r="C10" s="109">
        <f>INDEX(PRECIO!C3:C423, MATCH(A10, PRECIO!A3:A423, 0))</f>
        <v>9</v>
      </c>
      <c r="D10" s="109">
        <f>INDEX(PRECIO!D3:D423, MATCH(A10, PRECIO!A3:A423, 0))</f>
        <v>7</v>
      </c>
      <c r="E10" s="109">
        <f>INDEX(PRECIO!E3:E423, MATCH(A10, PRECIO!A3:A423, 0))</f>
        <v>6</v>
      </c>
      <c r="F10" s="141">
        <f>INDEX(PRECIO!O3:O423, MATCH(A10, PRECIO!A3:A423, 0))</f>
        <v>4.24</v>
      </c>
    </row>
    <row r="11" spans="1:6" x14ac:dyDescent="0.3">
      <c r="A11" s="111">
        <v>420</v>
      </c>
      <c r="B11" s="109" t="str">
        <f>INDEX(PRECIO!B3:B430, MATCH(A11, PRECIO!A3:A430, 0))</f>
        <v>POLIN 6-8|8-10</v>
      </c>
      <c r="C11" s="109">
        <f>+D11</f>
        <v>2.5</v>
      </c>
      <c r="D11" s="109">
        <f>+E11</f>
        <v>2.5</v>
      </c>
      <c r="E11" s="109">
        <f>INDEX(PRECIO!E3:E430, MATCH(A11, PRECIO!A3:A430, 0))</f>
        <v>2.5</v>
      </c>
      <c r="F11" s="141">
        <f>INDEX(PRECIO!O3:O430, MATCH(A11, PRECIO!A3:A430, 0))</f>
        <v>0</v>
      </c>
    </row>
    <row r="12" spans="1:6" x14ac:dyDescent="0.3">
      <c r="C12" s="263">
        <f>SUM(C9:C11)</f>
        <v>23.5</v>
      </c>
      <c r="D12" s="263">
        <f>SUM(D9:D11)</f>
        <v>19.5</v>
      </c>
      <c r="E12" s="263">
        <f>SUM(E9:E11)</f>
        <v>17.5</v>
      </c>
    </row>
    <row r="13" spans="1:6" x14ac:dyDescent="0.3">
      <c r="A13" s="151">
        <v>167</v>
      </c>
      <c r="B13" s="152" t="str">
        <f>INDEX(PRECIO!B3:B930, MATCH(A13, PRECIO!A3:A930, 0))</f>
        <v>UNIF BUZO|ESTANDAR|T38-42│JOV</v>
      </c>
      <c r="C13" s="152">
        <f>INDEX(PRECIO!C3:C930, MATCH(A13, PRECIO!A3:A930, 0))</f>
        <v>25.5</v>
      </c>
      <c r="D13" s="152">
        <f>INDEX(PRECIO!D3:D930, MATCH(A13, PRECIO!A3:A930, 0))</f>
        <v>18</v>
      </c>
      <c r="E13" s="152">
        <f>INDEX(PRECIO!E3:E930, MATCH(A13, PRECIO!A3:A930, 0))</f>
        <v>17</v>
      </c>
      <c r="F13" s="141">
        <f>INDEX(PRECIO!O3:O930, MATCH(A13, PRECIO!A3:A930, 0))</f>
        <v>0</v>
      </c>
    </row>
    <row r="14" spans="1:6" x14ac:dyDescent="0.3">
      <c r="A14" s="111">
        <v>312</v>
      </c>
      <c r="B14" s="109" t="str">
        <f>INDEX(PRECIO!B3:B930, MATCH(A14, PRECIO!A3:A930, 0))</f>
        <v>BUZO|ESTANDAR|T38-42│JOV</v>
      </c>
      <c r="C14" s="109">
        <f>INDEX(PRECIO!C3:C930, MATCH(A14, PRECIO!A3:A930, 0))</f>
        <v>13</v>
      </c>
      <c r="D14" s="109">
        <f>INDEX(PRECIO!D3:D930, MATCH(A14, PRECIO!A3:A930, 0))</f>
        <v>11</v>
      </c>
      <c r="E14" s="109">
        <f>INDEX(PRECIO!E3:E930, MATCH(A14, PRECIO!A3:A930, 0))</f>
        <v>10</v>
      </c>
      <c r="F14" s="141">
        <f>INDEX(PRECIO!O3:O930, MATCH(A14, PRECIO!A3:A930, 0))</f>
        <v>0</v>
      </c>
    </row>
    <row r="15" spans="1:6" x14ac:dyDescent="0.3">
      <c r="A15" s="111">
        <v>91</v>
      </c>
      <c r="B15" s="109" t="str">
        <f>INDEX(PRECIO!B3:B423, MATCH(A15, PRECIO!A3:A423, 0))</f>
        <v>PANT|ESTANDAR TXS-XL│ADULTO|JOV</v>
      </c>
      <c r="C15" s="109">
        <f>INDEX(PRECIO!C3:C423, MATCH(A15, PRECIO!A3:A423, 0))</f>
        <v>10</v>
      </c>
      <c r="D15" s="109">
        <f>INDEX(PRECIO!D3:D423, MATCH(A15, PRECIO!A3:A423, 0))</f>
        <v>8</v>
      </c>
      <c r="E15" s="109">
        <f>INDEX(PRECIO!E3:E423, MATCH(A15, PRECIO!A3:A423, 0))</f>
        <v>7</v>
      </c>
      <c r="F15" s="141">
        <f>INDEX(PRECIO!O3:O423, MATCH(A15, PRECIO!A3:A423, 0))</f>
        <v>5.42</v>
      </c>
    </row>
    <row r="16" spans="1:6" x14ac:dyDescent="0.3">
      <c r="A16" s="111">
        <v>420</v>
      </c>
      <c r="B16" s="109" t="str">
        <f>INDEX(PRECIO!B3:B438, MATCH(A16, PRECIO!A3:A438, 0))</f>
        <v>POLIN 6-8|8-10</v>
      </c>
      <c r="C16" s="109">
        <f>+D16</f>
        <v>2.5</v>
      </c>
      <c r="D16" s="109">
        <f>+E16</f>
        <v>2.5</v>
      </c>
      <c r="E16" s="109">
        <f>INDEX(PRECIO!E3:E438, MATCH(A16, PRECIO!A3:A438, 0))</f>
        <v>2.5</v>
      </c>
      <c r="F16" s="141">
        <f>INDEX(PRECIO!O3:O438, MATCH(A16, PRECIO!A3:A438, 0))</f>
        <v>0</v>
      </c>
    </row>
    <row r="17" spans="1:7" x14ac:dyDescent="0.3">
      <c r="A17" s="111"/>
      <c r="C17" s="263">
        <f>SUM(C14:C16)</f>
        <v>25.5</v>
      </c>
      <c r="D17" s="263">
        <f>SUM(D14:D16)</f>
        <v>21.5</v>
      </c>
      <c r="E17" s="263">
        <f>SUM(E14:E16)</f>
        <v>19.5</v>
      </c>
    </row>
    <row r="18" spans="1:7" x14ac:dyDescent="0.3">
      <c r="A18" s="151">
        <v>197</v>
      </c>
      <c r="B18" s="152" t="str">
        <f>INDEX(PRECIO!B3:B923, MATCH(A18, PRECIO!A3:A923, 0))</f>
        <v>UNIF BUZO|ESTANDAR|TXS-XL│ADULTO</v>
      </c>
      <c r="C18" s="152">
        <f>INDEX(PRECIO!C3:C923, MATCH(A18, PRECIO!A3:A923, 0))</f>
        <v>26.5</v>
      </c>
      <c r="D18" s="152">
        <f>INDEX(PRECIO!D3:D923, MATCH(A18, PRECIO!A3:A923, 0))</f>
        <v>19</v>
      </c>
      <c r="E18" s="152">
        <f>INDEX(PRECIO!E3:E923, MATCH(A18, PRECIO!A3:A923, 0))</f>
        <v>18</v>
      </c>
      <c r="F18" s="141">
        <f>INDEX(PRECIO!O3:O923, MATCH(A18, PRECIO!A3:A923, 0))</f>
        <v>14.27</v>
      </c>
    </row>
    <row r="19" spans="1:7" x14ac:dyDescent="0.3">
      <c r="A19" s="111">
        <v>118</v>
      </c>
      <c r="B19" s="109" t="str">
        <f>INDEX(PRECIO!B3:B930, MATCH(A19, PRECIO!A3:A930, 0))</f>
        <v>BUZO|ESTANDAR|TXS-XL│ADULTO</v>
      </c>
      <c r="C19" s="109">
        <f>INDEX(PRECIO!C3:C930, MATCH(A19, PRECIO!A3:A930, 0))</f>
        <v>14</v>
      </c>
      <c r="D19" s="109">
        <f>INDEX(PRECIO!D3:D930, MATCH(A19, PRECIO!A3:A930, 0))</f>
        <v>12</v>
      </c>
      <c r="E19" s="109">
        <f>INDEX(PRECIO!E3:E930, MATCH(A19, PRECIO!A3:A930, 0))</f>
        <v>11</v>
      </c>
      <c r="F19" s="141">
        <f>INDEX(PRECIO!O3:O930, MATCH(A19, PRECIO!A3:A930, 0))</f>
        <v>7.6</v>
      </c>
    </row>
    <row r="20" spans="1:7" x14ac:dyDescent="0.3">
      <c r="A20" s="111">
        <v>91</v>
      </c>
      <c r="B20" s="109" t="str">
        <f>INDEX(PRECIO!B3:B423, MATCH(A20, PRECIO!A3:A423, 0))</f>
        <v>PANT|ESTANDAR TXS-XL│ADULTO|JOV</v>
      </c>
      <c r="C20" s="109">
        <f>INDEX(PRECIO!C3:C423, MATCH(A20, PRECIO!A3:A423, 0))</f>
        <v>10</v>
      </c>
      <c r="D20" s="109">
        <f>INDEX(PRECIO!D3:D423, MATCH(A20, PRECIO!A3:A423, 0))</f>
        <v>8</v>
      </c>
      <c r="E20" s="109">
        <f>INDEX(PRECIO!E3:E423, MATCH(A20, PRECIO!A3:A423, 0))</f>
        <v>7</v>
      </c>
      <c r="F20" s="141">
        <f>INDEX(PRECIO!O3:O423, MATCH(A20, PRECIO!A3:A423, 0))</f>
        <v>5.42</v>
      </c>
      <c r="G20" s="163"/>
    </row>
    <row r="21" spans="1:7" x14ac:dyDescent="0.3">
      <c r="A21" s="111">
        <v>420</v>
      </c>
      <c r="B21" s="109" t="str">
        <f>INDEX(PRECIO!B6:B441, MATCH(A21, PRECIO!A6:A441, 0))</f>
        <v>POLIN 6-8|8-10</v>
      </c>
      <c r="C21" s="109">
        <f>+D21</f>
        <v>2.5</v>
      </c>
      <c r="D21" s="109">
        <f>+E21</f>
        <v>2.5</v>
      </c>
      <c r="E21" s="109">
        <f>INDEX(PRECIO!E6:E441, MATCH(A21, PRECIO!A6:A441, 0))</f>
        <v>2.5</v>
      </c>
      <c r="F21" s="141">
        <f>INDEX(PRECIO!O6:O441, MATCH(A21, PRECIO!A6:A441, 0))</f>
        <v>0</v>
      </c>
    </row>
    <row r="22" spans="1:7" x14ac:dyDescent="0.3">
      <c r="A22" s="111"/>
      <c r="C22" s="263">
        <f>SUM(C19:C21)</f>
        <v>26.5</v>
      </c>
      <c r="D22" s="263">
        <f>SUM(D19:D21)</f>
        <v>22.5</v>
      </c>
      <c r="E22" s="263">
        <f>SUM(E19:E21)</f>
        <v>20.5</v>
      </c>
    </row>
    <row r="23" spans="1:7" x14ac:dyDescent="0.3">
      <c r="A23" s="111">
        <v>198</v>
      </c>
      <c r="B23" s="110" t="str">
        <f>INDEX(PRECIO!B3:B923, MATCH(A23, PRECIO!A3:A923, 0))</f>
        <v>UNIF BUZO|ESTANDAR|T2XL│ADULTO</v>
      </c>
      <c r="C23" s="109">
        <f>INDEX(PRECIO!C3:C923, MATCH(A23, PRECIO!A3:A923, 0))</f>
        <v>27.5</v>
      </c>
      <c r="D23" s="109">
        <f>INDEX(PRECIO!D3:D923, MATCH(A23, PRECIO!A3:A923, 0))</f>
        <v>20</v>
      </c>
      <c r="E23" s="109">
        <f>INDEX(PRECIO!E3:E923, MATCH(A23, PRECIO!A3:A923, 0))</f>
        <v>19</v>
      </c>
      <c r="F23" s="141">
        <f>INDEX(PRECIO!O3:O923, MATCH(A23, PRECIO!A3:A923, 0))</f>
        <v>0</v>
      </c>
    </row>
    <row r="24" spans="1:7" x14ac:dyDescent="0.3">
      <c r="A24" s="111">
        <v>199</v>
      </c>
      <c r="B24" s="110" t="str">
        <f>INDEX(PRECIO!B3:B923, MATCH(A24, PRECIO!A3:A923, 0))</f>
        <v>UNIF BUZO|ESTANDAR|T3XL│ADULTO</v>
      </c>
      <c r="C24" s="109">
        <f>INDEX(PRECIO!C3:C923, MATCH(A24, PRECIO!A3:A923, 0))</f>
        <v>28.5</v>
      </c>
      <c r="D24" s="109">
        <f>INDEX(PRECIO!D3:D923, MATCH(A24, PRECIO!A3:A923, 0))</f>
        <v>21</v>
      </c>
      <c r="E24" s="109">
        <f>INDEX(PRECIO!E3:E923, MATCH(A24, PRECIO!A3:A923, 0))</f>
        <v>20</v>
      </c>
      <c r="F24" s="141">
        <f>INDEX(PRECIO!O3:O923, MATCH(A24, PRECIO!A3:A923, 0))</f>
        <v>0</v>
      </c>
    </row>
    <row r="25" spans="1:7" x14ac:dyDescent="0.3">
      <c r="A25" s="111">
        <v>200</v>
      </c>
      <c r="B25" s="110" t="str">
        <f>INDEX(PRECIO!B3:B923, MATCH(A25, PRECIO!A3:A923, 0))</f>
        <v>UNIF BUZO|ESTANDAR|T4XL│ADULTO</v>
      </c>
      <c r="C25" s="109">
        <f>INDEX(PRECIO!C3:C923, MATCH(A25, PRECIO!A3:A923, 0))</f>
        <v>29.5</v>
      </c>
      <c r="D25" s="109">
        <f>INDEX(PRECIO!D3:D923, MATCH(A25, PRECIO!A3:A923, 0))</f>
        <v>22</v>
      </c>
      <c r="E25" s="109">
        <f>INDEX(PRECIO!E3:E923, MATCH(A25, PRECIO!A3:A923, 0))</f>
        <v>21</v>
      </c>
      <c r="F25" s="141">
        <f>INDEX(PRECIO!O3:O923, MATCH(A25, PRECIO!A3:A923, 0))</f>
        <v>0</v>
      </c>
    </row>
    <row r="26" spans="1:7" x14ac:dyDescent="0.3">
      <c r="A26" s="111">
        <v>201</v>
      </c>
      <c r="B26" s="110" t="str">
        <f>INDEX(PRECIO!B3:B923, MATCH(A26, PRECIO!A3:A923, 0))</f>
        <v>UNIF BUZO|ESTANDAR|T5XL│ADULTO</v>
      </c>
      <c r="C26" s="109">
        <f>INDEX(PRECIO!C3:C923, MATCH(A26, PRECIO!A3:A923, 0))</f>
        <v>30.5</v>
      </c>
      <c r="D26" s="109">
        <f>INDEX(PRECIO!D3:D923, MATCH(A26, PRECIO!A3:A923, 0))</f>
        <v>23</v>
      </c>
      <c r="E26" s="109">
        <f>INDEX(PRECIO!E3:E923, MATCH(A26, PRECIO!A3:A923, 0))</f>
        <v>22</v>
      </c>
      <c r="F26" s="141">
        <f>INDEX(PRECIO!O3:O923, MATCH(A26, PRECIO!A3:A923, 0))</f>
        <v>0</v>
      </c>
    </row>
    <row r="27" spans="1:7" x14ac:dyDescent="0.3">
      <c r="A27" s="111">
        <v>202</v>
      </c>
      <c r="B27" s="110" t="str">
        <f>INDEX(PRECIO!B3:B923, MATCH(A27, PRECIO!A3:A923, 0))</f>
        <v>UNIF BUZO|ESTANDAR|T6XL│ADULTO</v>
      </c>
      <c r="C27" s="109">
        <f>INDEX(PRECIO!C3:C923, MATCH(A27, PRECIO!A3:A923, 0))</f>
        <v>31.5</v>
      </c>
      <c r="D27" s="109">
        <f>INDEX(PRECIO!D3:D923, MATCH(A27, PRECIO!A3:A923, 0))</f>
        <v>24</v>
      </c>
      <c r="E27" s="109">
        <f>INDEX(PRECIO!E3:E923, MATCH(A27, PRECIO!A3:A923, 0))</f>
        <v>23</v>
      </c>
      <c r="F27" s="141">
        <f>INDEX(PRECIO!O3:O923, MATCH(A27, PRECIO!A3:A923, 0))</f>
        <v>0</v>
      </c>
    </row>
    <row r="28" spans="1:7" x14ac:dyDescent="0.3">
      <c r="A28" s="111">
        <v>203</v>
      </c>
      <c r="B28" s="110" t="str">
        <f>INDEX(PRECIO!B3:B923, MATCH(A28, PRECIO!A3:A923, 0))</f>
        <v>UNIF BUZO|ESTANDAR|T7XL│ADULTO</v>
      </c>
      <c r="C28" s="109">
        <f>INDEX(PRECIO!C3:C923, MATCH(A28, PRECIO!A3:A923, 0))</f>
        <v>32.5</v>
      </c>
      <c r="D28" s="109">
        <f>INDEX(PRECIO!D3:D923, MATCH(A28, PRECIO!A3:A923, 0))</f>
        <v>25</v>
      </c>
      <c r="E28" s="109">
        <f>INDEX(PRECIO!E3:E923, MATCH(A28, PRECIO!A3:A923, 0))</f>
        <v>24</v>
      </c>
      <c r="F28" s="141">
        <f>INDEX(PRECIO!O3:O923, MATCH(A28, PRECIO!A3:A923, 0))</f>
        <v>0</v>
      </c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5100A-15FD-4911-AEB7-0E1FA8EF1639}">
  <sheetPr codeName="Hoja16"/>
  <dimension ref="A1:F33"/>
  <sheetViews>
    <sheetView zoomScaleNormal="100" workbookViewId="0">
      <pane ySplit="2" topLeftCell="A15" activePane="bottomLeft" state="frozenSplit"/>
      <selection activeCell="I14" sqref="I14"/>
      <selection pane="bottomLeft" sqref="A1:E28"/>
    </sheetView>
  </sheetViews>
  <sheetFormatPr baseColWidth="10" defaultRowHeight="14.4" x14ac:dyDescent="0.3"/>
  <cols>
    <col min="1" max="1" width="11.44140625" style="181"/>
    <col min="2" max="2" width="44.44140625" style="110" customWidth="1"/>
    <col min="3" max="5" width="6.6640625" style="109" customWidth="1"/>
    <col min="6" max="6" width="11.44140625" style="141"/>
  </cols>
  <sheetData>
    <row r="1" spans="1:6" ht="29.25" customHeight="1" x14ac:dyDescent="0.3">
      <c r="A1" s="277" t="s">
        <v>975</v>
      </c>
      <c r="B1" s="277"/>
      <c r="C1" s="277"/>
      <c r="D1" s="277"/>
      <c r="E1" s="277"/>
      <c r="F1" s="137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38" t="str">
        <f>+PRECIO!O2</f>
        <v>VALOR</v>
      </c>
    </row>
    <row r="3" spans="1:6" x14ac:dyDescent="0.3">
      <c r="A3" s="178">
        <v>436</v>
      </c>
      <c r="B3" s="177" t="str">
        <f>INDEX(PRECIO!B3:B930, MATCH(A3, PRECIO!A3:A930, 0))</f>
        <v>UNIF BUZO|PREMIUM|T26-30|NIÑOS</v>
      </c>
      <c r="C3" s="155">
        <f>INDEX(PRECIO!C3:C930, MATCH(A3, PRECIO!A3:A930, 0))</f>
        <v>22</v>
      </c>
      <c r="D3" s="155">
        <f>INDEX(PRECIO!D3:D930, MATCH(A3, PRECIO!A3:A930, 0))</f>
        <v>20</v>
      </c>
      <c r="E3" s="155">
        <f>INDEX(PRECIO!E3:E930, MATCH(A3, PRECIO!A3:A930, 0))</f>
        <v>17.5</v>
      </c>
      <c r="F3" s="141">
        <f>INDEX(PRECIO!O3:O930, MATCH(A3, PRECIO!A3:A930, 0))</f>
        <v>0</v>
      </c>
    </row>
    <row r="4" spans="1:6" x14ac:dyDescent="0.3">
      <c r="A4" s="179">
        <v>15</v>
      </c>
      <c r="B4" s="110" t="str">
        <f>INDEX(PRECIO!B3:B930, MATCH(A4, PRECIO!A3:A930, 0))</f>
        <v>BUZO|PREMIUM|T26-30│NIÑOS</v>
      </c>
      <c r="C4" s="109">
        <f>INDEX(PRECIO!C3:C930, MATCH(A4, PRECIO!A3:A930, 0))</f>
        <v>12.5</v>
      </c>
      <c r="D4" s="109">
        <f>INDEX(PRECIO!D3:D930, MATCH(A4, PRECIO!A3:A930, 0))</f>
        <v>10.5</v>
      </c>
      <c r="E4" s="109">
        <f>INDEX(PRECIO!E3:E930, MATCH(A4, PRECIO!A3:A930, 0))</f>
        <v>9.5</v>
      </c>
      <c r="F4" s="141">
        <f>INDEX(PRECIO!O3:O930, MATCH(A4, PRECIO!A3:A930, 0))</f>
        <v>0</v>
      </c>
    </row>
    <row r="5" spans="1:6" x14ac:dyDescent="0.3">
      <c r="A5" s="180">
        <v>12</v>
      </c>
      <c r="B5" s="33" t="str">
        <f>INDEX(PRECIO!B3:B423, MATCH(A5, PRECIO!A3:A423, 0))</f>
        <v>PANT|PREMIUM|T26-30|NIÑOS</v>
      </c>
      <c r="C5" s="44">
        <f>INDEX(PRECIO!C3:C423, MATCH(A5, PRECIO!A3:A423, 0))</f>
        <v>9.5</v>
      </c>
      <c r="D5" s="44">
        <f>INDEX(PRECIO!D3:D423, MATCH(A5, PRECIO!A3:A423, 0))</f>
        <v>7.5</v>
      </c>
      <c r="E5" s="44">
        <f>INDEX(PRECIO!E3:E423, MATCH(A5, PRECIO!A3:A423, 0))</f>
        <v>6.5</v>
      </c>
      <c r="F5">
        <f>INDEX(PRECIO!O3:O423, MATCH(A5, PRECIO!A3:A423, 0))</f>
        <v>0</v>
      </c>
    </row>
    <row r="6" spans="1:6" x14ac:dyDescent="0.3">
      <c r="A6" s="180">
        <v>421</v>
      </c>
      <c r="B6" s="33" t="str">
        <f>INDEX(PRECIO!B3:B424, MATCH(A6, PRECIO!A3:A424, 0))</f>
        <v>POLIN 4-6</v>
      </c>
      <c r="C6" s="44">
        <f>INDEX(PRECIO!C3:C424, MATCH(A6, PRECIO!A3:A424, 0))</f>
        <v>0</v>
      </c>
      <c r="D6" s="44">
        <f>INDEX(PRECIO!D3:D424, MATCH(A6, PRECIO!A3:A424, 0))</f>
        <v>0</v>
      </c>
      <c r="E6" s="44">
        <f>INDEX(PRECIO!E3:E424, MATCH(A6, PRECIO!A3:A424, 0))</f>
        <v>2</v>
      </c>
      <c r="F6">
        <f>INDEX(PRECIO!O3:O424, MATCH(A6, PRECIO!A3:A424, 0))</f>
        <v>0</v>
      </c>
    </row>
    <row r="7" spans="1:6" x14ac:dyDescent="0.3">
      <c r="A7" s="180"/>
      <c r="B7" s="33"/>
      <c r="C7" s="44"/>
      <c r="D7" s="44"/>
      <c r="E7" s="148">
        <f>SUM(E4:E6)</f>
        <v>18</v>
      </c>
      <c r="F7"/>
    </row>
    <row r="8" spans="1:6" x14ac:dyDescent="0.3">
      <c r="A8" s="178">
        <v>439</v>
      </c>
      <c r="B8" s="177" t="str">
        <f>INDEX(PRECIO!B3:B935, MATCH(A8, PRECIO!A3:A935, 0))</f>
        <v>UNIF BUZO|PREMIUM|T32-36|NIÑOS</v>
      </c>
      <c r="C8" s="155">
        <f>INDEX(PRECIO!C3:C935, MATCH(A8, PRECIO!A3:A935, 0))</f>
        <v>22</v>
      </c>
      <c r="D8" s="155">
        <f>INDEX(PRECIO!D3:D935, MATCH(A8, PRECIO!A3:A935, 0))</f>
        <v>20</v>
      </c>
      <c r="E8" s="155">
        <f>INDEX(PRECIO!E3:E935, MATCH(A8, PRECIO!A3:A935, 0))</f>
        <v>18</v>
      </c>
    </row>
    <row r="9" spans="1:6" x14ac:dyDescent="0.3">
      <c r="A9" s="179">
        <v>27</v>
      </c>
      <c r="B9" s="110" t="str">
        <f>INDEX(PRECIO!B3:B930, MATCH(A9, PRECIO!A3:A930, 0))</f>
        <v>BUZO|PREMIUM|T32-36│NIÑOS</v>
      </c>
      <c r="C9" s="109">
        <f>INDEX(PRECIO!C3:C930, MATCH(A9, PRECIO!A3:A930, 0))</f>
        <v>13</v>
      </c>
      <c r="D9" s="109">
        <f>INDEX(PRECIO!D3:D930, MATCH(A9, PRECIO!A3:A930, 0))</f>
        <v>11</v>
      </c>
      <c r="E9" s="109">
        <f>INDEX(PRECIO!E3:E930, MATCH(A9, PRECIO!A3:A930, 0))</f>
        <v>10</v>
      </c>
      <c r="F9" s="141">
        <f>INDEX(PRECIO!O3:O930, MATCH(A9, PRECIO!A3:A930, 0))</f>
        <v>0</v>
      </c>
    </row>
    <row r="10" spans="1:6" x14ac:dyDescent="0.3">
      <c r="A10" s="179">
        <v>24</v>
      </c>
      <c r="B10" s="110" t="str">
        <f>INDEX(PRECIO!B3:B423, MATCH(A10, PRECIO!A3:A423, 0))</f>
        <v>PANT|PREMIUM|T32-36|NIÑOS</v>
      </c>
      <c r="C10" s="109">
        <f>INDEX(PRECIO!C3:C423, MATCH(A10, PRECIO!A3:A423, 0))</f>
        <v>10</v>
      </c>
      <c r="D10" s="109">
        <f>INDEX(PRECIO!D3:D423, MATCH(A10, PRECIO!A3:A423, 0))</f>
        <v>8</v>
      </c>
      <c r="E10" s="109">
        <f>INDEX(PRECIO!E3:E423, MATCH(A10, PRECIO!A3:A423, 0))</f>
        <v>7</v>
      </c>
      <c r="F10" s="141">
        <f>INDEX(PRECIO!O3:O423, MATCH(A10, PRECIO!A3:A423, 0))</f>
        <v>0</v>
      </c>
    </row>
    <row r="11" spans="1:6" x14ac:dyDescent="0.3">
      <c r="A11" s="179">
        <v>420</v>
      </c>
      <c r="B11" s="110" t="str">
        <f>INDEX(PRECIO!B3:B429, MATCH(A11, PRECIO!A3:A429, 0))</f>
        <v>POLIN 6-8|8-10</v>
      </c>
      <c r="C11" s="109">
        <f>INDEX(PRECIO!C3:C429, MATCH(A11, PRECIO!A3:A429, 0))</f>
        <v>0</v>
      </c>
      <c r="D11" s="109">
        <f>INDEX(PRECIO!D3:D429, MATCH(A11, PRECIO!A3:A429, 0))</f>
        <v>0</v>
      </c>
      <c r="E11" s="109">
        <f>INDEX(PRECIO!E3:E429, MATCH(A11, PRECIO!A3:A429, 0))</f>
        <v>2.5</v>
      </c>
      <c r="F11" s="141">
        <f>INDEX(PRECIO!O3:O429, MATCH(A11, PRECIO!A3:A429, 0))</f>
        <v>0</v>
      </c>
    </row>
    <row r="12" spans="1:6" x14ac:dyDescent="0.3">
      <c r="A12" s="179"/>
      <c r="E12" s="148">
        <f>SUM(E9:E11)</f>
        <v>19.5</v>
      </c>
    </row>
    <row r="13" spans="1:6" x14ac:dyDescent="0.3">
      <c r="A13" s="178">
        <v>169</v>
      </c>
      <c r="B13" s="177" t="str">
        <f>INDEX(PRECIO!B3:B930, MATCH(A13, PRECIO!A3:A930, 0))</f>
        <v>UNIF BUZO|PREMIUM|T38-42│JOV</v>
      </c>
      <c r="C13" s="155">
        <f>INDEX(PRECIO!C3:C930, MATCH(A13, PRECIO!A3:A930, 0))</f>
        <v>22</v>
      </c>
      <c r="D13" s="155">
        <f>INDEX(PRECIO!D3:D930, MATCH(A13, PRECIO!A3:A930, 0))</f>
        <v>20</v>
      </c>
      <c r="E13" s="155">
        <f>INDEX(PRECIO!E3:E930, MATCH(A13, PRECIO!A3:A930, 0))</f>
        <v>19</v>
      </c>
      <c r="F13">
        <f>INDEX(PRECIO!O3:O930, MATCH(A13, PRECIO!A3:A930, 0))</f>
        <v>0</v>
      </c>
    </row>
    <row r="14" spans="1:6" x14ac:dyDescent="0.3">
      <c r="A14" s="179">
        <v>313</v>
      </c>
      <c r="B14" s="110" t="str">
        <f>INDEX(PRECIO!B3:B930, MATCH(A14, PRECIO!A3:A930, 0))</f>
        <v>BUZO|PREMIUM|T38-42│JOV</v>
      </c>
      <c r="C14" s="109">
        <f>INDEX(PRECIO!C3:C930, MATCH(A14, PRECIO!A3:A930, 0))</f>
        <v>14</v>
      </c>
      <c r="D14" s="109">
        <f>INDEX(PRECIO!D3:D930, MATCH(A14, PRECIO!A3:A930, 0))</f>
        <v>12</v>
      </c>
      <c r="E14" s="109">
        <f>INDEX(PRECIO!E3:E930, MATCH(A14, PRECIO!A3:A930, 0))</f>
        <v>11</v>
      </c>
      <c r="F14" s="141">
        <f>INDEX(PRECIO!O3:O930, MATCH(A14, PRECIO!A3:A930, 0))</f>
        <v>0</v>
      </c>
    </row>
    <row r="15" spans="1:6" x14ac:dyDescent="0.3">
      <c r="A15" s="179">
        <v>100</v>
      </c>
      <c r="B15" s="110" t="str">
        <f>INDEX(PRECIO!B3:B423, MATCH(A15, PRECIO!A3:A423, 0))</f>
        <v>PANT|PREMIUM|TXS-XL│ADULTO|JOV</v>
      </c>
      <c r="C15" s="109">
        <f>INDEX(PRECIO!C3:C423, MATCH(A15, PRECIO!A3:A423, 0))</f>
        <v>11</v>
      </c>
      <c r="D15" s="109">
        <f>INDEX(PRECIO!D3:D423, MATCH(A15, PRECIO!A3:A423, 0))</f>
        <v>9</v>
      </c>
      <c r="E15" s="109">
        <f>INDEX(PRECIO!E3:E423, MATCH(A15, PRECIO!A3:A423, 0))</f>
        <v>8</v>
      </c>
      <c r="F15" s="141">
        <f>INDEX(PRECIO!O3:O423, MATCH(A15, PRECIO!A3:A423, 0))</f>
        <v>0</v>
      </c>
    </row>
    <row r="16" spans="1:6" x14ac:dyDescent="0.3">
      <c r="A16" s="179">
        <v>420</v>
      </c>
      <c r="B16" s="110" t="str">
        <f>INDEX(PRECIO!B3:B434, MATCH(A16, PRECIO!A3:A434, 0))</f>
        <v>POLIN 6-8|8-10</v>
      </c>
      <c r="C16" s="109">
        <f>INDEX(PRECIO!C3:C434, MATCH(A16, PRECIO!A3:A434, 0))</f>
        <v>0</v>
      </c>
      <c r="D16" s="109">
        <f>INDEX(PRECIO!D3:D434, MATCH(A16, PRECIO!A3:A434, 0))</f>
        <v>0</v>
      </c>
      <c r="E16" s="109">
        <f>INDEX(PRECIO!E3:E434, MATCH(A16, PRECIO!A3:A434, 0))</f>
        <v>2.5</v>
      </c>
      <c r="F16" s="141">
        <f>INDEX(PRECIO!O3:O434, MATCH(A16, PRECIO!A3:A434, 0))</f>
        <v>0</v>
      </c>
    </row>
    <row r="17" spans="1:6" x14ac:dyDescent="0.3">
      <c r="A17" s="179"/>
      <c r="E17" s="148">
        <f>SUM(E14:E16)</f>
        <v>21.5</v>
      </c>
    </row>
    <row r="18" spans="1:6" x14ac:dyDescent="0.3">
      <c r="A18" s="178">
        <v>204</v>
      </c>
      <c r="B18" s="177" t="str">
        <f>INDEX(PRECIO!B3:B930, MATCH(A18, PRECIO!A3:A930, 0))</f>
        <v>UNIF BUZO|PREMIUM|TXS-XL│ADULTO</v>
      </c>
      <c r="C18" s="155">
        <f>INDEX(PRECIO!C3:C930, MATCH(A18, PRECIO!A3:A930, 0))</f>
        <v>21</v>
      </c>
      <c r="D18" s="155">
        <f>INDEX(PRECIO!D3:D930, MATCH(A18, PRECIO!A3:A930, 0))</f>
        <v>19</v>
      </c>
      <c r="E18" s="155">
        <f>INDEX(PRECIO!E3:E930, MATCH(A18, PRECIO!A3:A930, 0))</f>
        <v>20</v>
      </c>
      <c r="F18">
        <f>INDEX(PRECIO!O3:O930, MATCH(A18, PRECIO!A3:A930, 0))</f>
        <v>0</v>
      </c>
    </row>
    <row r="19" spans="1:6" x14ac:dyDescent="0.3">
      <c r="A19" s="179">
        <v>127</v>
      </c>
      <c r="B19" s="110" t="str">
        <f>INDEX(PRECIO!B3:B930, MATCH(A19, PRECIO!A3:A930, 0))</f>
        <v>BUZO|PREMIUM|TXS-XL│ADULTO</v>
      </c>
      <c r="C19" s="109">
        <f>INDEX(PRECIO!C3:C930, MATCH(A19, PRECIO!A3:A930, 0))</f>
        <v>15</v>
      </c>
      <c r="D19" s="109">
        <f>INDEX(PRECIO!D3:D930, MATCH(A19, PRECIO!A3:A930, 0))</f>
        <v>13</v>
      </c>
      <c r="E19" s="109">
        <f>INDEX(PRECIO!E3:E930, MATCH(A19, PRECIO!A3:A930, 0))</f>
        <v>12</v>
      </c>
      <c r="F19" s="141">
        <f>INDEX(PRECIO!O3:O930, MATCH(A19, PRECIO!A3:A930, 0))</f>
        <v>7.6</v>
      </c>
    </row>
    <row r="20" spans="1:6" x14ac:dyDescent="0.3">
      <c r="A20" s="179">
        <v>100</v>
      </c>
      <c r="B20" s="110" t="str">
        <f>INDEX(PRECIO!B3:B423, MATCH(A20, PRECIO!A3:A423, 0))</f>
        <v>PANT|PREMIUM|TXS-XL│ADULTO|JOV</v>
      </c>
      <c r="C20" s="109">
        <f>INDEX(PRECIO!C3:C423, MATCH(A20, PRECIO!A3:A423, 0))</f>
        <v>11</v>
      </c>
      <c r="D20" s="109">
        <f>INDEX(PRECIO!D3:D423, MATCH(A20, PRECIO!A3:A423, 0))</f>
        <v>9</v>
      </c>
      <c r="E20" s="109">
        <f>INDEX(PRECIO!E3:E423, MATCH(A20, PRECIO!A3:A423, 0))</f>
        <v>8</v>
      </c>
      <c r="F20" s="141">
        <f>INDEX(PRECIO!O3:O423, MATCH(A20, PRECIO!A3:A423, 0))</f>
        <v>0</v>
      </c>
    </row>
    <row r="21" spans="1:6" x14ac:dyDescent="0.3">
      <c r="A21" s="179">
        <v>420</v>
      </c>
      <c r="B21" s="110" t="str">
        <f>INDEX(PRECIO!B3:B438, MATCH(A21, PRECIO!A3:A438, 0))</f>
        <v>POLIN 6-8|8-10</v>
      </c>
      <c r="C21" s="109">
        <f>INDEX(PRECIO!C3:C438, MATCH(A21, PRECIO!A3:A438, 0))</f>
        <v>0</v>
      </c>
      <c r="D21" s="109">
        <f>INDEX(PRECIO!D3:D438, MATCH(A21, PRECIO!A3:A438, 0))</f>
        <v>0</v>
      </c>
      <c r="E21" s="109">
        <f>INDEX(PRECIO!E3:E438, MATCH(A21, PRECIO!A3:A438, 0))</f>
        <v>2.5</v>
      </c>
      <c r="F21" s="141">
        <f>INDEX(PRECIO!O3:O438, MATCH(A21, PRECIO!A3:A438, 0))</f>
        <v>0</v>
      </c>
    </row>
    <row r="22" spans="1:6" x14ac:dyDescent="0.3">
      <c r="E22" s="148">
        <f>SUM(E19:E21)</f>
        <v>22.5</v>
      </c>
    </row>
    <row r="23" spans="1:6" x14ac:dyDescent="0.3">
      <c r="A23" s="180">
        <v>205</v>
      </c>
      <c r="B23" s="33" t="str">
        <f>INDEX(PRECIO!B3:B930, MATCH(A23, PRECIO!A3:A930, 0))</f>
        <v>UNIF BUZO|PREMIUM|T2XL│ADULTO</v>
      </c>
      <c r="C23" s="44">
        <f>INDEX(PRECIO!C3:C930, MATCH(A23, PRECIO!A3:A930, 0))</f>
        <v>22</v>
      </c>
      <c r="D23" s="44">
        <f>INDEX(PRECIO!D3:D930, MATCH(A23, PRECIO!A3:A930, 0))</f>
        <v>20</v>
      </c>
      <c r="E23" s="44">
        <f>INDEX(PRECIO!E3:E930, MATCH(A23, PRECIO!A3:A930, 0))</f>
        <v>21</v>
      </c>
      <c r="F23">
        <f>INDEX(PRECIO!O3:O930, MATCH(A23, PRECIO!A3:A930, 0))</f>
        <v>0</v>
      </c>
    </row>
    <row r="24" spans="1:6" x14ac:dyDescent="0.3">
      <c r="A24" s="180">
        <v>206</v>
      </c>
      <c r="B24" s="33" t="str">
        <f>INDEX(PRECIO!B3:B930, MATCH(A24, PRECIO!A3:A930, 0))</f>
        <v>UNIF BUZO|PREMIUM|T3XL│ADULTO</v>
      </c>
      <c r="C24" s="44">
        <f>INDEX(PRECIO!C3:C930, MATCH(A24, PRECIO!A3:A930, 0))</f>
        <v>23</v>
      </c>
      <c r="D24" s="44">
        <f>INDEX(PRECIO!D3:D930, MATCH(A24, PRECIO!A3:A930, 0))</f>
        <v>21</v>
      </c>
      <c r="E24" s="44">
        <f>INDEX(PRECIO!E3:E930, MATCH(A24, PRECIO!A3:A930, 0))</f>
        <v>22</v>
      </c>
      <c r="F24">
        <f>INDEX(PRECIO!O3:O930, MATCH(A24, PRECIO!A3:A930, 0))</f>
        <v>0</v>
      </c>
    </row>
    <row r="25" spans="1:6" x14ac:dyDescent="0.3">
      <c r="A25" s="180">
        <v>207</v>
      </c>
      <c r="B25" s="33" t="str">
        <f>INDEX(PRECIO!B3:B930, MATCH(A25, PRECIO!A3:A930, 0))</f>
        <v>UNIF BUZO|PREMIUM|T4XL│ADULTO</v>
      </c>
      <c r="C25" s="44">
        <f>INDEX(PRECIO!C3:C930, MATCH(A25, PRECIO!A3:A930, 0))</f>
        <v>24</v>
      </c>
      <c r="D25" s="44">
        <f>INDEX(PRECIO!D3:D930, MATCH(A25, PRECIO!A3:A930, 0))</f>
        <v>22</v>
      </c>
      <c r="E25" s="44">
        <f>INDEX(PRECIO!E3:E930, MATCH(A25, PRECIO!A3:A930, 0))</f>
        <v>23</v>
      </c>
      <c r="F25">
        <f>INDEX(PRECIO!O3:O930, MATCH(A25, PRECIO!A3:A930, 0))</f>
        <v>0</v>
      </c>
    </row>
    <row r="26" spans="1:6" x14ac:dyDescent="0.3">
      <c r="A26" s="180">
        <v>208</v>
      </c>
      <c r="B26" s="33" t="str">
        <f>INDEX(PRECIO!B3:B930, MATCH(A26, PRECIO!A3:A930, 0))</f>
        <v>UNIF BUZO|PREMIUM|T5XL│ADULTO</v>
      </c>
      <c r="C26" s="44">
        <f>INDEX(PRECIO!C3:C930, MATCH(A26, PRECIO!A3:A930, 0))</f>
        <v>25</v>
      </c>
      <c r="D26" s="44">
        <f>INDEX(PRECIO!D3:D930, MATCH(A26, PRECIO!A3:A930, 0))</f>
        <v>23</v>
      </c>
      <c r="E26" s="44">
        <f>INDEX(PRECIO!E3:E930, MATCH(A26, PRECIO!A3:A930, 0))</f>
        <v>24</v>
      </c>
      <c r="F26">
        <f>INDEX(PRECIO!O3:O930, MATCH(A26, PRECIO!A3:A930, 0))</f>
        <v>0</v>
      </c>
    </row>
    <row r="27" spans="1:6" x14ac:dyDescent="0.3">
      <c r="A27" s="180">
        <v>209</v>
      </c>
      <c r="B27" s="33" t="str">
        <f>INDEX(PRECIO!B3:B930, MATCH(A27, PRECIO!A3:A930, 0))</f>
        <v>UNIF BUZO|PREMIUM|T6XL│ADULTO</v>
      </c>
      <c r="C27" s="44">
        <f>INDEX(PRECIO!C3:C930, MATCH(A27, PRECIO!A3:A930, 0))</f>
        <v>26</v>
      </c>
      <c r="D27" s="44">
        <f>INDEX(PRECIO!D3:D930, MATCH(A27, PRECIO!A3:A930, 0))</f>
        <v>24</v>
      </c>
      <c r="E27" s="44">
        <f>INDEX(PRECIO!E3:E930, MATCH(A27, PRECIO!A3:A930, 0))</f>
        <v>25</v>
      </c>
      <c r="F27">
        <f>INDEX(PRECIO!O3:O930, MATCH(A27, PRECIO!A3:A930, 0))</f>
        <v>0</v>
      </c>
    </row>
    <row r="28" spans="1:6" x14ac:dyDescent="0.3">
      <c r="A28" s="179">
        <v>210</v>
      </c>
      <c r="B28" s="110" t="str">
        <f>INDEX(PRECIO!B3:B930, MATCH(A28, PRECIO!A3:A930, 0))</f>
        <v>UNIF BUZO|PREMIUM|T7XL│ADULTO</v>
      </c>
      <c r="C28" s="109">
        <f>INDEX(PRECIO!C3:C930, MATCH(A28, PRECIO!A3:A930, 0))</f>
        <v>27</v>
      </c>
      <c r="D28" s="109">
        <f>INDEX(PRECIO!D3:D930, MATCH(A28, PRECIO!A3:A930, 0))</f>
        <v>25</v>
      </c>
      <c r="E28" s="109">
        <f>INDEX(PRECIO!E3:E930, MATCH(A28, PRECIO!A3:A930, 0))</f>
        <v>26</v>
      </c>
      <c r="F28" s="141">
        <f>INDEX(PRECIO!O3:O930, MATCH(A28, PRECIO!A3:A930, 0))</f>
        <v>0</v>
      </c>
    </row>
    <row r="33" spans="1:1" x14ac:dyDescent="0.3">
      <c r="A33" s="179"/>
    </row>
  </sheetData>
  <mergeCells count="1"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5139-9D75-438F-9D14-E63A63873025}">
  <sheetPr codeName="Hoja17"/>
  <dimension ref="A1:F42"/>
  <sheetViews>
    <sheetView zoomScaleNormal="100" workbookViewId="0">
      <pane ySplit="2" topLeftCell="A3" activePane="bottomLeft" state="frozenSplit"/>
      <selection activeCell="I14" sqref="I14"/>
      <selection pane="bottomLeft" activeCell="H12" sqref="H12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6" width="11.44140625" style="109"/>
  </cols>
  <sheetData>
    <row r="1" spans="1:6" ht="29.25" customHeight="1" x14ac:dyDescent="0.3">
      <c r="A1" s="277" t="s">
        <v>980</v>
      </c>
      <c r="B1" s="277"/>
      <c r="C1" s="277"/>
      <c r="D1" s="277"/>
      <c r="E1" s="277"/>
      <c r="F1" s="118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08" t="str">
        <f>+PRECIO!O2</f>
        <v>VALOR</v>
      </c>
    </row>
    <row r="3" spans="1:6" x14ac:dyDescent="0.3">
      <c r="A3" s="122">
        <v>13</v>
      </c>
      <c r="B3" s="123" t="str">
        <f>INDEX(PRECIO!$B$3:$B$930, MATCH(A3, PRECIO!$A$3:$A$930, 0))</f>
        <v>BUZO|ECO|T26-30│NIÑOS</v>
      </c>
      <c r="C3" s="124">
        <f>INDEX(PRECIO!$C$3:$C$930, MATCH(A3, PRECIO!$A$3:$A$930, 0))</f>
        <v>10.5</v>
      </c>
      <c r="D3" s="124">
        <f>INDEX(PRECIO!$D$3:$D$930, MATCH(A3, PRECIO!$A$3:$A$930, 0))</f>
        <v>8.5</v>
      </c>
      <c r="E3" s="124">
        <f>INDEX(PRECIO!$E$3:$E$930, MATCH(A3, PRECIO!$A$3:$A$930, 0))</f>
        <v>7.5</v>
      </c>
      <c r="F3" s="112">
        <f>INDEX(PRECIO!O3:O423, MATCH(A3, PRECIO!A3:A423, 0))</f>
        <v>0</v>
      </c>
    </row>
    <row r="4" spans="1:6" x14ac:dyDescent="0.3">
      <c r="A4" s="122">
        <v>25</v>
      </c>
      <c r="B4" s="123" t="str">
        <f>INDEX(PRECIO!$B$3:$B$930, MATCH(A4, PRECIO!$A$3:$A$930, 0))</f>
        <v>BUZO|ECO|T32-36│NIÑOS</v>
      </c>
      <c r="C4" s="124">
        <f>INDEX(PRECIO!$C$3:$C$930, MATCH(A4, PRECIO!$A$3:$A$930, 0))</f>
        <v>11</v>
      </c>
      <c r="D4" s="124">
        <f>INDEX(PRECIO!$D$3:$D$930, MATCH(A4, PRECIO!$A$3:$A$930, 0))</f>
        <v>9</v>
      </c>
      <c r="E4" s="124">
        <f>INDEX(PRECIO!$E$3:$E$930, MATCH(A4, PRECIO!$A$3:$A$930, 0))</f>
        <v>8</v>
      </c>
      <c r="F4" s="112">
        <f>INDEX(PRECIO!O3:O423, MATCH(A4, PRECIO!A3:A423, 0))</f>
        <v>0</v>
      </c>
    </row>
    <row r="5" spans="1:6" x14ac:dyDescent="0.3">
      <c r="A5" s="125">
        <v>311</v>
      </c>
      <c r="B5" s="126" t="str">
        <f>INDEX(PRECIO!$B$3:$B$930, MATCH(A5, PRECIO!$A$3:$A$930, 0))</f>
        <v>BUZO|ECO|T38-42│JOV</v>
      </c>
      <c r="C5" s="127">
        <f>INDEX(PRECIO!$C$3:$C$930, MATCH(A5, PRECIO!$A$3:$A$930, 0))</f>
        <v>12</v>
      </c>
      <c r="D5" s="127">
        <f>INDEX(PRECIO!$D$3:$D$930, MATCH(A5, PRECIO!$A$3:$A$930, 0))</f>
        <v>10</v>
      </c>
      <c r="E5" s="127">
        <f>INDEX(PRECIO!$E$3:$E$930, MATCH(A5, PRECIO!$A$3:$A$930, 0))</f>
        <v>9</v>
      </c>
      <c r="F5" s="115">
        <f>INDEX(PRECIO!O3:O423, MATCH(A5, PRECIO!A3:A423, 0))</f>
        <v>0</v>
      </c>
    </row>
    <row r="6" spans="1:6" x14ac:dyDescent="0.3">
      <c r="A6" s="128">
        <v>109</v>
      </c>
      <c r="B6" s="129" t="str">
        <f>INDEX(PRECIO!$B$3:$B$930, MATCH(A6, PRECIO!$A$3:$A$930, 0))</f>
        <v>BUZO|ECO|TXS-XL│ADULTO</v>
      </c>
      <c r="C6" s="130">
        <f>INDEX(PRECIO!$C$3:$C$930, MATCH(A6, PRECIO!$A$3:$A$930, 0))</f>
        <v>13</v>
      </c>
      <c r="D6" s="130">
        <f>INDEX(PRECIO!$D$3:$D$930, MATCH(A6, PRECIO!$A$3:$A$930, 0))</f>
        <v>11</v>
      </c>
      <c r="E6" s="130">
        <f>INDEX(PRECIO!$E$3:$E$930, MATCH(A6, PRECIO!$A$3:$A$930, 0))</f>
        <v>10</v>
      </c>
      <c r="F6" s="113">
        <f>INDEX(PRECIO!O3:O423, MATCH(A6, PRECIO!A3:A423, 0))</f>
        <v>7.6</v>
      </c>
    </row>
    <row r="7" spans="1:6" x14ac:dyDescent="0.3">
      <c r="A7" s="128">
        <v>110</v>
      </c>
      <c r="B7" s="129" t="str">
        <f>INDEX(PRECIO!$B$3:$B$930, MATCH(A7, PRECIO!$A$3:$A$930, 0))</f>
        <v>BUZO|ECO|T2XL│ADULTO</v>
      </c>
      <c r="C7" s="130">
        <f>INDEX(PRECIO!$C$3:$C$930, MATCH(A7, PRECIO!$A$3:$A$930, 0))</f>
        <v>14</v>
      </c>
      <c r="D7" s="130">
        <f>INDEX(PRECIO!$D$3:$D$930, MATCH(A7, PRECIO!$A$3:$A$930, 0))</f>
        <v>12</v>
      </c>
      <c r="E7" s="130">
        <f>INDEX(PRECIO!$E$3:$E$930, MATCH(A7, PRECIO!$A$3:$A$930, 0))</f>
        <v>11</v>
      </c>
      <c r="F7" s="113">
        <f>INDEX(PRECIO!O3:O423, MATCH(A7, PRECIO!A3:A423, 0))</f>
        <v>0</v>
      </c>
    </row>
    <row r="8" spans="1:6" x14ac:dyDescent="0.3">
      <c r="A8" s="128">
        <v>111</v>
      </c>
      <c r="B8" s="129" t="str">
        <f>INDEX(PRECIO!$B$3:$B$930, MATCH(A8, PRECIO!$A$3:$A$930, 0))</f>
        <v>BUZO|ECO|T3XL│ADULTO</v>
      </c>
      <c r="C8" s="130">
        <f>INDEX(PRECIO!$C$3:$C$930, MATCH(A8, PRECIO!$A$3:$A$930, 0))</f>
        <v>15</v>
      </c>
      <c r="D8" s="130">
        <f>INDEX(PRECIO!$D$3:$D$930, MATCH(A8, PRECIO!$A$3:$A$930, 0))</f>
        <v>13</v>
      </c>
      <c r="E8" s="130">
        <f>INDEX(PRECIO!$E$3:$E$930, MATCH(A8, PRECIO!$A$3:$A$930, 0))</f>
        <v>12</v>
      </c>
      <c r="F8" s="113">
        <f>INDEX(PRECIO!O3:O423, MATCH(A8, PRECIO!A3:A423, 0))</f>
        <v>0</v>
      </c>
    </row>
    <row r="9" spans="1:6" x14ac:dyDescent="0.3">
      <c r="A9" s="128">
        <v>112</v>
      </c>
      <c r="B9" s="129" t="str">
        <f>INDEX(PRECIO!$B$3:$B$930, MATCH(A9, PRECIO!$A$3:$A$930, 0))</f>
        <v>BUZO|ECO|T4XL│ADULTO</v>
      </c>
      <c r="C9" s="130">
        <f>INDEX(PRECIO!$C$3:$C$930, MATCH(A9, PRECIO!$A$3:$A$930, 0))</f>
        <v>16</v>
      </c>
      <c r="D9" s="130">
        <f>INDEX(PRECIO!$D$3:$D$930, MATCH(A9, PRECIO!$A$3:$A$930, 0))</f>
        <v>14</v>
      </c>
      <c r="E9" s="130">
        <f>INDEX(PRECIO!$E$3:$E$930, MATCH(A9, PRECIO!$A$3:$A$930, 0))</f>
        <v>13</v>
      </c>
      <c r="F9" s="113">
        <f>INDEX(PRECIO!O3:O423, MATCH(A9, PRECIO!A3:A423, 0))</f>
        <v>0</v>
      </c>
    </row>
    <row r="10" spans="1:6" x14ac:dyDescent="0.3">
      <c r="A10" s="128">
        <v>113</v>
      </c>
      <c r="B10" s="129" t="str">
        <f>INDEX(PRECIO!$B$3:$B$930, MATCH(A10, PRECIO!$A$3:$A$930, 0))</f>
        <v>BUZO|ECO|T5XL│ADULTO</v>
      </c>
      <c r="C10" s="130">
        <f>INDEX(PRECIO!$C$3:$C$930, MATCH(A10, PRECIO!$A$3:$A$930, 0))</f>
        <v>17</v>
      </c>
      <c r="D10" s="130">
        <f>INDEX(PRECIO!$D$3:$D$930, MATCH(A10, PRECIO!$A$3:$A$930, 0))</f>
        <v>15</v>
      </c>
      <c r="E10" s="130">
        <f>INDEX(PRECIO!$E$3:$E$930, MATCH(A10, PRECIO!$A$3:$A$930, 0))</f>
        <v>14</v>
      </c>
      <c r="F10" s="113">
        <f>INDEX(PRECIO!O3:O423, MATCH(A10, PRECIO!A3:A423, 0))</f>
        <v>0</v>
      </c>
    </row>
    <row r="11" spans="1:6" x14ac:dyDescent="0.3">
      <c r="A11" s="128">
        <v>114</v>
      </c>
      <c r="B11" s="129" t="str">
        <f>INDEX(PRECIO!$B$3:$B$930, MATCH(A11, PRECIO!$A$3:$A$930, 0))</f>
        <v>BUZO|ECO|T6XL│ADULTO</v>
      </c>
      <c r="C11" s="130">
        <f>INDEX(PRECIO!$C$3:$C$930, MATCH(A11, PRECIO!$A$3:$A$930, 0))</f>
        <v>18</v>
      </c>
      <c r="D11" s="130">
        <f>INDEX(PRECIO!$D$3:$D$930, MATCH(A11, PRECIO!$A$3:$A$930, 0))</f>
        <v>16</v>
      </c>
      <c r="E11" s="130">
        <f>INDEX(PRECIO!$E$3:$E$930, MATCH(A11, PRECIO!$A$3:$A$930, 0))</f>
        <v>15</v>
      </c>
      <c r="F11" s="113">
        <f>INDEX(PRECIO!O3:O423, MATCH(A11, PRECIO!A3:A423, 0))</f>
        <v>0</v>
      </c>
    </row>
    <row r="12" spans="1:6" x14ac:dyDescent="0.3">
      <c r="A12" s="128">
        <v>115</v>
      </c>
      <c r="B12" s="129" t="str">
        <f>INDEX(PRECIO!$B$3:$B$930, MATCH(A12, PRECIO!$A$3:$A$930, 0))</f>
        <v>BUZO|ECO|T7XL│ADULTO</v>
      </c>
      <c r="C12" s="130">
        <f>INDEX(PRECIO!$C$3:$C$930, MATCH(A12, PRECIO!$A$3:$A$930, 0))</f>
        <v>19</v>
      </c>
      <c r="D12" s="130">
        <f>INDEX(PRECIO!$D$3:$D$930, MATCH(A12, PRECIO!$A$3:$A$930, 0))</f>
        <v>17</v>
      </c>
      <c r="E12" s="130">
        <f>INDEX(PRECIO!$E$3:$E$930, MATCH(A12, PRECIO!$A$3:$A$930, 0))</f>
        <v>16</v>
      </c>
      <c r="F12" s="113">
        <f>INDEX(PRECIO!O3:O423, MATCH(A12, PRECIO!A3:A423, 0))</f>
        <v>0</v>
      </c>
    </row>
    <row r="13" spans="1:6" x14ac:dyDescent="0.3">
      <c r="A13" s="128">
        <v>116</v>
      </c>
      <c r="B13" s="129" t="str">
        <f>INDEX(PRECIO!$B$3:$B$930, MATCH(A13, PRECIO!$A$3:$A$930, 0))</f>
        <v>BUZO|ECO|T8XL│ADULTO</v>
      </c>
      <c r="C13" s="130">
        <f>INDEX(PRECIO!$C$3:$C$930, MATCH(A13, PRECIO!$A$3:$A$930, 0))</f>
        <v>20</v>
      </c>
      <c r="D13" s="130">
        <f>INDEX(PRECIO!$D$3:$D$930, MATCH(A13, PRECIO!$A$3:$A$930, 0))</f>
        <v>18</v>
      </c>
      <c r="E13" s="130">
        <f>INDEX(PRECIO!$E$3:$E$930, MATCH(A13, PRECIO!$A$3:$A$930, 0))</f>
        <v>17</v>
      </c>
      <c r="F13" s="113">
        <f>INDEX(PRECIO!O3:O423, MATCH(A13, PRECIO!A3:A423, 0))</f>
        <v>0</v>
      </c>
    </row>
    <row r="14" spans="1:6" x14ac:dyDescent="0.3">
      <c r="A14" s="128">
        <v>117</v>
      </c>
      <c r="B14" s="129" t="str">
        <f>INDEX(PRECIO!$B$3:$B$930, MATCH(A14, PRECIO!$A$3:$A$930, 0))</f>
        <v>BUZO|ECO|T9XL│ADULTO</v>
      </c>
      <c r="C14" s="130">
        <f>INDEX(PRECIO!$C$3:$C$930, MATCH(A14, PRECIO!$A$3:$A$930, 0))</f>
        <v>21</v>
      </c>
      <c r="D14" s="130">
        <f>INDEX(PRECIO!$D$3:$D$930, MATCH(A14, PRECIO!$A$3:$A$930, 0))</f>
        <v>19</v>
      </c>
      <c r="E14" s="130">
        <f>INDEX(PRECIO!$E$3:$E$930, MATCH(A14, PRECIO!$A$3:$A$930, 0))</f>
        <v>18</v>
      </c>
      <c r="F14" s="113">
        <f>INDEX(PRECIO!O3:O423, MATCH(A14, PRECIO!A3:A423, 0))</f>
        <v>0</v>
      </c>
    </row>
    <row r="15" spans="1:6" ht="25.8" x14ac:dyDescent="0.3">
      <c r="A15" s="277" t="s">
        <v>981</v>
      </c>
      <c r="B15" s="277"/>
      <c r="C15" s="277"/>
      <c r="D15" s="277"/>
      <c r="E15" s="277"/>
      <c r="F15" s="118"/>
    </row>
    <row r="16" spans="1:6" x14ac:dyDescent="0.3">
      <c r="A16" s="120" t="str">
        <f>+PRECIO!A2</f>
        <v>COD.</v>
      </c>
      <c r="B16" s="120" t="str">
        <f>+PRECIO!B2</f>
        <v>DESCRIPCION</v>
      </c>
      <c r="C16" s="120" t="str">
        <f>+PRECIO!C2</f>
        <v>UNI</v>
      </c>
      <c r="D16" s="120" t="str">
        <f>+PRECIO!D2</f>
        <v>&gt;12</v>
      </c>
      <c r="E16" s="120" t="str">
        <f>+PRECIO!E2</f>
        <v>&gt;25</v>
      </c>
      <c r="F16" s="114" t="str">
        <f>+PRECIO!O2</f>
        <v>VALOR</v>
      </c>
    </row>
    <row r="17" spans="1:6" x14ac:dyDescent="0.3">
      <c r="A17" s="122">
        <v>14</v>
      </c>
      <c r="B17" s="123" t="str">
        <f>INDEX(PRECIO!$B$3:$B$930, MATCH(A17, PRECIO!$A$3:$A$930, 0))</f>
        <v>BUZO|ESTANDAR|T26-30│NIÑOS</v>
      </c>
      <c r="C17" s="124">
        <f>INDEX(PRECIO!$C$3:$C$930, MATCH(A17, PRECIO!$A$3:$A$930, 0))</f>
        <v>11.5</v>
      </c>
      <c r="D17" s="124">
        <f>INDEX(PRECIO!$D$3:$D$930, MATCH(A17, PRECIO!$A$3:$A$930, 0))</f>
        <v>9.5</v>
      </c>
      <c r="E17" s="124">
        <f>INDEX(PRECIO!$E$3:$E$930, MATCH(A17, PRECIO!$A$3:$A$930, 0))</f>
        <v>8.5</v>
      </c>
      <c r="F17" s="112">
        <f>INDEX(PRECIO!O3:O423, MATCH(A17, PRECIO!A3:A423, 0))</f>
        <v>0</v>
      </c>
    </row>
    <row r="18" spans="1:6" x14ac:dyDescent="0.3">
      <c r="A18" s="122">
        <v>26</v>
      </c>
      <c r="B18" s="123" t="str">
        <f>INDEX(PRECIO!$B$3:$B$930, MATCH(A18, PRECIO!$A$3:$A$930, 0))</f>
        <v>BUZO|ESTANDAR|T32-36│NIÑOS</v>
      </c>
      <c r="C18" s="124">
        <f>INDEX(PRECIO!$C$3:$C$930, MATCH(A18, PRECIO!$A$3:$A$930, 0))</f>
        <v>12</v>
      </c>
      <c r="D18" s="124">
        <f>INDEX(PRECIO!$D$3:$D$930, MATCH(A18, PRECIO!$A$3:$A$930, 0))</f>
        <v>10</v>
      </c>
      <c r="E18" s="124">
        <f>INDEX(PRECIO!$E$3:$E$930, MATCH(A18, PRECIO!$A$3:$A$930, 0))</f>
        <v>9</v>
      </c>
      <c r="F18" s="112">
        <f>INDEX(PRECIO!O3:O423, MATCH(A18, PRECIO!A3:A423, 0))</f>
        <v>0</v>
      </c>
    </row>
    <row r="19" spans="1:6" x14ac:dyDescent="0.3">
      <c r="A19" s="125">
        <v>312</v>
      </c>
      <c r="B19" s="126" t="str">
        <f>INDEX(PRECIO!$B$3:$B$930, MATCH(A19, PRECIO!$A$3:$A$930, 0))</f>
        <v>BUZO|ESTANDAR|T38-42│JOV</v>
      </c>
      <c r="C19" s="127">
        <f>INDEX(PRECIO!$C$3:$C$930, MATCH(A19, PRECIO!$A$3:$A$930, 0))</f>
        <v>13</v>
      </c>
      <c r="D19" s="127">
        <f>INDEX(PRECIO!$D$3:$D$930, MATCH(A19, PRECIO!$A$3:$A$930, 0))</f>
        <v>11</v>
      </c>
      <c r="E19" s="127">
        <f>INDEX(PRECIO!$E$3:$E$930, MATCH(A19, PRECIO!$A$3:$A$930, 0))</f>
        <v>10</v>
      </c>
      <c r="F19" s="115">
        <f>INDEX(PRECIO!O3:O423, MATCH(A19, PRECIO!A3:A423, 0))</f>
        <v>0</v>
      </c>
    </row>
    <row r="20" spans="1:6" x14ac:dyDescent="0.3">
      <c r="A20" s="135">
        <v>118</v>
      </c>
      <c r="B20" s="182" t="str">
        <f>INDEX(PRECIO!$B$3:$B$930, MATCH(A20, PRECIO!$A$3:$A$930, 0))</f>
        <v>BUZO|ESTANDAR|TXS-XL│ADULTO</v>
      </c>
      <c r="C20" s="136">
        <f>INDEX(PRECIO!$C$3:$C$930, MATCH(A20, PRECIO!$A$3:$A$930, 0))</f>
        <v>14</v>
      </c>
      <c r="D20" s="136">
        <f>INDEX(PRECIO!$D$3:$D$930, MATCH(A20, PRECIO!$A$3:$A$930, 0))</f>
        <v>12</v>
      </c>
      <c r="E20" s="136">
        <f>INDEX(PRECIO!$E$3:$E$930, MATCH(A20, PRECIO!$A$3:$A$930, 0))</f>
        <v>11</v>
      </c>
      <c r="F20" s="116">
        <f>INDEX(PRECIO!O3:O423, MATCH(A20, PRECIO!A3:A423, 0))</f>
        <v>7.6</v>
      </c>
    </row>
    <row r="21" spans="1:6" x14ac:dyDescent="0.3">
      <c r="A21" s="135">
        <v>119</v>
      </c>
      <c r="B21" s="182" t="str">
        <f>INDEX(PRECIO!$B$3:$B$930, MATCH(A21, PRECIO!$A$3:$A$930, 0))</f>
        <v>BUZO|ESTANDAR|T2XL│ADULTO</v>
      </c>
      <c r="C21" s="136">
        <f>INDEX(PRECIO!$C$3:$C$930, MATCH(A21, PRECIO!$A$3:$A$930, 0))</f>
        <v>15</v>
      </c>
      <c r="D21" s="136">
        <f>INDEX(PRECIO!$D$3:$D$930, MATCH(A21, PRECIO!$A$3:$A$930, 0))</f>
        <v>13</v>
      </c>
      <c r="E21" s="136">
        <f>INDEX(PRECIO!$E$3:$E$930, MATCH(A21, PRECIO!$A$3:$A$930, 0))</f>
        <v>12</v>
      </c>
      <c r="F21" s="116">
        <f>INDEX(PRECIO!O3:O423, MATCH(A21, PRECIO!A3:A423, 0))</f>
        <v>0</v>
      </c>
    </row>
    <row r="22" spans="1:6" x14ac:dyDescent="0.3">
      <c r="A22" s="135">
        <v>120</v>
      </c>
      <c r="B22" s="182" t="str">
        <f>INDEX(PRECIO!$B$3:$B$930, MATCH(A22, PRECIO!$A$3:$A$930, 0))</f>
        <v>BUZO|ESTANDAR|T3XL│ADULTO</v>
      </c>
      <c r="C22" s="136">
        <f>INDEX(PRECIO!$C$3:$C$930, MATCH(A22, PRECIO!$A$3:$A$930, 0))</f>
        <v>16</v>
      </c>
      <c r="D22" s="136">
        <f>INDEX(PRECIO!$D$3:$D$930, MATCH(A22, PRECIO!$A$3:$A$930, 0))</f>
        <v>14</v>
      </c>
      <c r="E22" s="136">
        <f>INDEX(PRECIO!$E$3:$E$930, MATCH(A22, PRECIO!$A$3:$A$930, 0))</f>
        <v>13</v>
      </c>
      <c r="F22" s="116">
        <f>INDEX(PRECIO!O3:O423, MATCH(A22, PRECIO!A3:A423, 0))</f>
        <v>0</v>
      </c>
    </row>
    <row r="23" spans="1:6" x14ac:dyDescent="0.3">
      <c r="A23" s="135">
        <v>121</v>
      </c>
      <c r="B23" s="182" t="str">
        <f>INDEX(PRECIO!$B$3:$B$930, MATCH(A23, PRECIO!$A$3:$A$930, 0))</f>
        <v>BUZO|ESTANDAR|T4XL│ADULTO</v>
      </c>
      <c r="C23" s="136">
        <f>INDEX(PRECIO!$C$3:$C$930, MATCH(A23, PRECIO!$A$3:$A$930, 0))</f>
        <v>17</v>
      </c>
      <c r="D23" s="136">
        <f>INDEX(PRECIO!$D$3:$D$930, MATCH(A23, PRECIO!$A$3:$A$930, 0))</f>
        <v>15</v>
      </c>
      <c r="E23" s="136">
        <f>INDEX(PRECIO!$E$3:$E$930, MATCH(A23, PRECIO!$A$3:$A$930, 0))</f>
        <v>14</v>
      </c>
      <c r="F23" s="116">
        <f>INDEX(PRECIO!O3:O423, MATCH(A23, PRECIO!A3:A423, 0))</f>
        <v>0</v>
      </c>
    </row>
    <row r="24" spans="1:6" x14ac:dyDescent="0.3">
      <c r="A24" s="135">
        <v>122</v>
      </c>
      <c r="B24" s="182" t="str">
        <f>INDEX(PRECIO!$B$3:$B$930, MATCH(A24, PRECIO!$A$3:$A$930, 0))</f>
        <v>BUZO|ESTANDAR|T5XL│ADULTO</v>
      </c>
      <c r="C24" s="136">
        <f>INDEX(PRECIO!$C$3:$C$930, MATCH(A24, PRECIO!$A$3:$A$930, 0))</f>
        <v>18</v>
      </c>
      <c r="D24" s="136">
        <f>INDEX(PRECIO!$D$3:$D$930, MATCH(A24, PRECIO!$A$3:$A$930, 0))</f>
        <v>16</v>
      </c>
      <c r="E24" s="136">
        <f>INDEX(PRECIO!$E$3:$E$930, MATCH(A24, PRECIO!$A$3:$A$930, 0))</f>
        <v>15</v>
      </c>
      <c r="F24" s="116">
        <f>INDEX(PRECIO!O3:O423, MATCH(A24, PRECIO!A3:A423, 0))</f>
        <v>0</v>
      </c>
    </row>
    <row r="25" spans="1:6" x14ac:dyDescent="0.3">
      <c r="A25" s="135">
        <v>123</v>
      </c>
      <c r="B25" s="182" t="str">
        <f>INDEX(PRECIO!$B$3:$B$930, MATCH(A25, PRECIO!$A$3:$A$930, 0))</f>
        <v>BUZO|ESTANDAR|T6XL│ADULTO</v>
      </c>
      <c r="C25" s="136">
        <f>INDEX(PRECIO!$C$3:$C$930, MATCH(A25, PRECIO!$A$3:$A$930, 0))</f>
        <v>19</v>
      </c>
      <c r="D25" s="136">
        <f>INDEX(PRECIO!$D$3:$D$930, MATCH(A25, PRECIO!$A$3:$A$930, 0))</f>
        <v>17</v>
      </c>
      <c r="E25" s="136">
        <f>INDEX(PRECIO!$E$3:$E$930, MATCH(A25, PRECIO!$A$3:$A$930, 0))</f>
        <v>16</v>
      </c>
      <c r="F25" s="116">
        <f>INDEX(PRECIO!O3:O423, MATCH(A25, PRECIO!A3:A423, 0))</f>
        <v>0</v>
      </c>
    </row>
    <row r="26" spans="1:6" x14ac:dyDescent="0.3">
      <c r="A26" s="135">
        <v>124</v>
      </c>
      <c r="B26" s="182" t="str">
        <f>INDEX(PRECIO!$B$3:$B$930, MATCH(A26, PRECIO!$A$3:$A$930, 0))</f>
        <v>BUZO|ESTANDAR|T7XL│ADULTO</v>
      </c>
      <c r="C26" s="136">
        <f>INDEX(PRECIO!$C$3:$C$930, MATCH(A26, PRECIO!$A$3:$A$930, 0))</f>
        <v>20</v>
      </c>
      <c r="D26" s="136">
        <f>INDEX(PRECIO!$D$3:$D$930, MATCH(A26, PRECIO!$A$3:$A$930, 0))</f>
        <v>18</v>
      </c>
      <c r="E26" s="136">
        <f>INDEX(PRECIO!$E$3:$E$930, MATCH(A26, PRECIO!$A$3:$A$930, 0))</f>
        <v>17</v>
      </c>
      <c r="F26" s="116">
        <f>INDEX(PRECIO!O3:O423, MATCH(A26, PRECIO!A3:A423, 0))</f>
        <v>0</v>
      </c>
    </row>
    <row r="27" spans="1:6" x14ac:dyDescent="0.3">
      <c r="A27" s="135">
        <v>125</v>
      </c>
      <c r="B27" s="182" t="str">
        <f>INDEX(PRECIO!$B$3:$B$930, MATCH(A27, PRECIO!$A$3:$A$930, 0))</f>
        <v>BUZO|ESTANDAR|T8XL│ADULTO</v>
      </c>
      <c r="C27" s="136">
        <f>INDEX(PRECIO!$C$3:$C$930, MATCH(A27, PRECIO!$A$3:$A$930, 0))</f>
        <v>21</v>
      </c>
      <c r="D27" s="136">
        <f>INDEX(PRECIO!$D$3:$D$930, MATCH(A27, PRECIO!$A$3:$A$930, 0))</f>
        <v>19</v>
      </c>
      <c r="E27" s="136">
        <f>INDEX(PRECIO!$E$3:$E$930, MATCH(A27, PRECIO!$A$3:$A$930, 0))</f>
        <v>18</v>
      </c>
      <c r="F27" s="116">
        <f>INDEX(PRECIO!O3:O423, MATCH(A27, PRECIO!A3:A423, 0))</f>
        <v>0</v>
      </c>
    </row>
    <row r="28" spans="1:6" x14ac:dyDescent="0.3">
      <c r="A28" s="135">
        <v>126</v>
      </c>
      <c r="B28" s="182" t="str">
        <f>INDEX(PRECIO!$B$3:$B$930, MATCH(A28, PRECIO!$A$3:$A$930, 0))</f>
        <v>BUZO|ESTANDAR|T9XL│ADULTO</v>
      </c>
      <c r="C28" s="136">
        <f>INDEX(PRECIO!$C$3:$C$930, MATCH(A28, PRECIO!$A$3:$A$930, 0))</f>
        <v>22</v>
      </c>
      <c r="D28" s="136">
        <f>INDEX(PRECIO!$D$3:$D$930, MATCH(A28, PRECIO!$A$3:$A$930, 0))</f>
        <v>20</v>
      </c>
      <c r="E28" s="136">
        <f>INDEX(PRECIO!$E$3:$E$930, MATCH(A28, PRECIO!$A$3:$A$930, 0))</f>
        <v>19</v>
      </c>
      <c r="F28" s="116">
        <f>INDEX(PRECIO!O3:O423, MATCH(A28, PRECIO!A3:A423, 0))</f>
        <v>0</v>
      </c>
    </row>
    <row r="29" spans="1:6" ht="25.8" x14ac:dyDescent="0.3">
      <c r="A29" s="277" t="s">
        <v>982</v>
      </c>
      <c r="B29" s="277"/>
      <c r="C29" s="277"/>
      <c r="D29" s="277"/>
      <c r="E29" s="277"/>
      <c r="F29" s="118"/>
    </row>
    <row r="30" spans="1:6" x14ac:dyDescent="0.3">
      <c r="A30" s="120" t="str">
        <f>+PRECIO!A2</f>
        <v>COD.</v>
      </c>
      <c r="B30" s="121" t="str">
        <f>+PRECIO!B2</f>
        <v>DESCRIPCION</v>
      </c>
      <c r="C30" s="120" t="str">
        <f>+PRECIO!C2</f>
        <v>UNI</v>
      </c>
      <c r="D30" s="120" t="str">
        <f>+PRECIO!D2</f>
        <v>&gt;12</v>
      </c>
      <c r="E30" s="120" t="str">
        <f>+PRECIO!E2</f>
        <v>&gt;25</v>
      </c>
      <c r="F30" s="114" t="str">
        <f>+PRECIO!O2</f>
        <v>VALOR</v>
      </c>
    </row>
    <row r="31" spans="1:6" x14ac:dyDescent="0.3">
      <c r="A31" s="122">
        <v>15</v>
      </c>
      <c r="B31" s="123" t="str">
        <f>INDEX(PRECIO!B3:B423, MATCH(A31, PRECIO!A3:A423, 0))</f>
        <v>BUZO|PREMIUM|T26-30│NIÑOS</v>
      </c>
      <c r="C31" s="124">
        <f>INDEX(PRECIO!C3:C423, MATCH(A31, PRECIO!A3:A423, 0))</f>
        <v>12.5</v>
      </c>
      <c r="D31" s="124">
        <f>INDEX(PRECIO!D3:D423, MATCH(A31, PRECIO!A3:A423, 0))</f>
        <v>10.5</v>
      </c>
      <c r="E31" s="124">
        <f>INDEX(PRECIO!E3:E423, MATCH(A31, PRECIO!A3:A423, 0))</f>
        <v>9.5</v>
      </c>
      <c r="F31" s="112">
        <f>INDEX(PRECIO!O3:O423, MATCH(A31, PRECIO!A3:A423, 0))</f>
        <v>0</v>
      </c>
    </row>
    <row r="32" spans="1:6" x14ac:dyDescent="0.3">
      <c r="A32" s="122">
        <v>27</v>
      </c>
      <c r="B32" s="123" t="str">
        <f>INDEX(PRECIO!B3:B423, MATCH(A32, PRECIO!A3:A423, 0))</f>
        <v>BUZO|PREMIUM|T32-36│NIÑOS</v>
      </c>
      <c r="C32" s="124">
        <f>INDEX(PRECIO!C3:C423, MATCH(A32, PRECIO!A3:A423, 0))</f>
        <v>13</v>
      </c>
      <c r="D32" s="124">
        <f>INDEX(PRECIO!D3:D423, MATCH(A32, PRECIO!A3:A423, 0))</f>
        <v>11</v>
      </c>
      <c r="E32" s="124">
        <f>INDEX(PRECIO!E3:E423, MATCH(A32, PRECIO!A3:A423, 0))</f>
        <v>10</v>
      </c>
      <c r="F32" s="112">
        <f>INDEX(PRECIO!O3:O423, MATCH(A32, PRECIO!A3:A423, 0))</f>
        <v>0</v>
      </c>
    </row>
    <row r="33" spans="1:6" x14ac:dyDescent="0.3">
      <c r="A33" s="125">
        <v>313</v>
      </c>
      <c r="B33" s="126" t="str">
        <f>INDEX(PRECIO!$B$3:$B$930, MATCH(A33, PRECIO!$A$3:$A$930, 0))</f>
        <v>BUZO|PREMIUM|T38-42│JOV</v>
      </c>
      <c r="C33" s="127">
        <f>INDEX(PRECIO!$C$3:$C$930, MATCH(A33, PRECIO!$A$3:$A$930, 0))</f>
        <v>14</v>
      </c>
      <c r="D33" s="127">
        <f>INDEX(PRECIO!$D$3:$D$930, MATCH(A33, PRECIO!$A$3:$A$930, 0))</f>
        <v>12</v>
      </c>
      <c r="E33" s="127">
        <f>INDEX(PRECIO!$E$3:$E$930, MATCH(A33, PRECIO!$A$3:$A$930, 0))</f>
        <v>11</v>
      </c>
      <c r="F33" s="115">
        <f>INDEX(PRECIO!O3:O423, MATCH(A33, PRECIO!A3:A423, 0))</f>
        <v>0</v>
      </c>
    </row>
    <row r="34" spans="1:6" x14ac:dyDescent="0.3">
      <c r="A34" s="135">
        <v>127</v>
      </c>
      <c r="B34" s="182" t="str">
        <f>INDEX(PRECIO!$B$3:$B$930, MATCH(A34, PRECIO!$A$3:$A$930, 0))</f>
        <v>BUZO|PREMIUM|TXS-XL│ADULTO</v>
      </c>
      <c r="C34" s="136">
        <f>INDEX(PRECIO!$C$3:$C$930, MATCH(A34, PRECIO!$A$3:$A$930, 0))</f>
        <v>15</v>
      </c>
      <c r="D34" s="136">
        <f>INDEX(PRECIO!$D$3:$D$930, MATCH(A34, PRECIO!$A$3:$A$930, 0))</f>
        <v>13</v>
      </c>
      <c r="E34" s="136">
        <f>INDEX(PRECIO!$E$3:$E$930, MATCH(A34, PRECIO!$A$3:$A$930, 0))</f>
        <v>12</v>
      </c>
      <c r="F34" s="116">
        <f>INDEX(PRECIO!O3:O423, MATCH(A34, PRECIO!A3:A423, 0))</f>
        <v>7.6</v>
      </c>
    </row>
    <row r="35" spans="1:6" x14ac:dyDescent="0.3">
      <c r="A35" s="135">
        <v>128</v>
      </c>
      <c r="B35" s="182" t="str">
        <f>INDEX(PRECIO!$B$3:$B$930, MATCH(A35, PRECIO!$A$3:$A$930, 0))</f>
        <v>BUZO|PREMIUM|T2XL│ADULTO</v>
      </c>
      <c r="C35" s="136">
        <f>INDEX(PRECIO!$C$3:$C$930, MATCH(A35, PRECIO!$A$3:$A$930, 0))</f>
        <v>16</v>
      </c>
      <c r="D35" s="136">
        <f>INDEX(PRECIO!$D$3:$D$930, MATCH(A35, PRECIO!$A$3:$A$930, 0))</f>
        <v>14</v>
      </c>
      <c r="E35" s="136">
        <f>INDEX(PRECIO!$E$3:$E$930, MATCH(A35, PRECIO!$A$3:$A$930, 0))</f>
        <v>13</v>
      </c>
      <c r="F35" s="116">
        <f>INDEX(PRECIO!O3:O423, MATCH(A35, PRECIO!A3:A423, 0))</f>
        <v>0</v>
      </c>
    </row>
    <row r="36" spans="1:6" x14ac:dyDescent="0.3">
      <c r="A36" s="135">
        <v>129</v>
      </c>
      <c r="B36" s="182" t="str">
        <f>INDEX(PRECIO!$B$3:$B$930, MATCH(A36, PRECIO!$A$3:$A$930, 0))</f>
        <v>BUZO|PREMIUM|T3XL│ADULTO</v>
      </c>
      <c r="C36" s="136">
        <f>INDEX(PRECIO!$C$3:$C$930, MATCH(A36, PRECIO!$A$3:$A$930, 0))</f>
        <v>17</v>
      </c>
      <c r="D36" s="136">
        <f>INDEX(PRECIO!$D$3:$D$930, MATCH(A36, PRECIO!$A$3:$A$930, 0))</f>
        <v>15</v>
      </c>
      <c r="E36" s="136">
        <f>INDEX(PRECIO!$E$3:$E$930, MATCH(A36, PRECIO!$A$3:$A$930, 0))</f>
        <v>14</v>
      </c>
      <c r="F36" s="116">
        <f>INDEX(PRECIO!O3:O423, MATCH(A36, PRECIO!A3:A423, 0))</f>
        <v>0</v>
      </c>
    </row>
    <row r="37" spans="1:6" x14ac:dyDescent="0.3">
      <c r="A37" s="135">
        <v>130</v>
      </c>
      <c r="B37" s="182" t="str">
        <f>INDEX(PRECIO!$B$3:$B$930, MATCH(A37, PRECIO!$A$3:$A$930, 0))</f>
        <v>BUZO|PREMIUM|T4XL│ADULTO</v>
      </c>
      <c r="C37" s="136">
        <f>INDEX(PRECIO!$C$3:$C$930, MATCH(A37, PRECIO!$A$3:$A$930, 0))</f>
        <v>18</v>
      </c>
      <c r="D37" s="136">
        <f>INDEX(PRECIO!$D$3:$D$930, MATCH(A37, PRECIO!$A$3:$A$930, 0))</f>
        <v>16</v>
      </c>
      <c r="E37" s="136">
        <f>INDEX(PRECIO!$E$3:$E$930, MATCH(A37, PRECIO!$A$3:$A$930, 0))</f>
        <v>15</v>
      </c>
      <c r="F37" s="116">
        <f>INDEX(PRECIO!O3:O423, MATCH(A37, PRECIO!A3:A423, 0))</f>
        <v>0</v>
      </c>
    </row>
    <row r="38" spans="1:6" x14ac:dyDescent="0.3">
      <c r="A38" s="135">
        <v>131</v>
      </c>
      <c r="B38" s="182" t="str">
        <f>INDEX(PRECIO!$B$3:$B$930, MATCH(A38, PRECIO!$A$3:$A$930, 0))</f>
        <v>BUZO|PREMIUM|T5XL│ADULTO</v>
      </c>
      <c r="C38" s="136">
        <f>INDEX(PRECIO!$C$3:$C$930, MATCH(A38, PRECIO!$A$3:$A$930, 0))</f>
        <v>19</v>
      </c>
      <c r="D38" s="136">
        <f>INDEX(PRECIO!$D$3:$D$930, MATCH(A38, PRECIO!$A$3:$A$930, 0))</f>
        <v>17</v>
      </c>
      <c r="E38" s="136">
        <f>INDEX(PRECIO!$E$3:$E$930, MATCH(A38, PRECIO!$A$3:$A$930, 0))</f>
        <v>16</v>
      </c>
      <c r="F38" s="116">
        <f>INDEX(PRECIO!O3:O423, MATCH(A38, PRECIO!A3:A423, 0))</f>
        <v>0</v>
      </c>
    </row>
    <row r="39" spans="1:6" x14ac:dyDescent="0.3">
      <c r="A39" s="135">
        <v>132</v>
      </c>
      <c r="B39" s="182" t="str">
        <f>INDEX(PRECIO!$B$3:$B$930, MATCH(A39, PRECIO!$A$3:$A$930, 0))</f>
        <v>BUZO|PREMIUM|T6XL│ADULTO</v>
      </c>
      <c r="C39" s="136">
        <f>INDEX(PRECIO!$C$3:$C$930, MATCH(A39, PRECIO!$A$3:$A$930, 0))</f>
        <v>20</v>
      </c>
      <c r="D39" s="136">
        <f>INDEX(PRECIO!$D$3:$D$930, MATCH(A39, PRECIO!$A$3:$A$930, 0))</f>
        <v>18</v>
      </c>
      <c r="E39" s="136">
        <f>INDEX(PRECIO!$E$3:$E$930, MATCH(A39, PRECIO!$A$3:$A$930, 0))</f>
        <v>17</v>
      </c>
      <c r="F39" s="116">
        <f>INDEX(PRECIO!O3:O423, MATCH(A39, PRECIO!A3:A423, 0))</f>
        <v>0</v>
      </c>
    </row>
    <row r="40" spans="1:6" x14ac:dyDescent="0.3">
      <c r="A40" s="135">
        <v>133</v>
      </c>
      <c r="B40" s="182" t="str">
        <f>INDEX(PRECIO!$B$3:$B$930, MATCH(A40, PRECIO!$A$3:$A$930, 0))</f>
        <v>BUZO|PREMIUM|T7XL│ADULTO</v>
      </c>
      <c r="C40" s="136">
        <f>INDEX(PRECIO!$C$3:$C$930, MATCH(A40, PRECIO!$A$3:$A$930, 0))</f>
        <v>21</v>
      </c>
      <c r="D40" s="136">
        <f>INDEX(PRECIO!$D$3:$D$930, MATCH(A40, PRECIO!$A$3:$A$930, 0))</f>
        <v>19</v>
      </c>
      <c r="E40" s="136">
        <f>INDEX(PRECIO!$E$3:$E$930, MATCH(A40, PRECIO!$A$3:$A$930, 0))</f>
        <v>18</v>
      </c>
      <c r="F40" s="116">
        <f>INDEX(PRECIO!O3:O423, MATCH(A40, PRECIO!A3:A423, 0))</f>
        <v>0</v>
      </c>
    </row>
    <row r="41" spans="1:6" x14ac:dyDescent="0.3">
      <c r="A41" s="135">
        <v>134</v>
      </c>
      <c r="B41" s="182" t="str">
        <f>INDEX(PRECIO!$B$3:$B$930, MATCH(A41, PRECIO!$A$3:$A$930, 0))</f>
        <v>BUZO|PREMIUM|T8XL│ADULTO</v>
      </c>
      <c r="C41" s="136">
        <f>INDEX(PRECIO!$C$3:$C$930, MATCH(A41, PRECIO!$A$3:$A$930, 0))</f>
        <v>22</v>
      </c>
      <c r="D41" s="136">
        <f>INDEX(PRECIO!$D$3:$D$930, MATCH(A41, PRECIO!$A$3:$A$930, 0))</f>
        <v>20</v>
      </c>
      <c r="E41" s="136">
        <f>INDEX(PRECIO!$E$3:$E$930, MATCH(A41, PRECIO!$A$3:$A$930, 0))</f>
        <v>19</v>
      </c>
      <c r="F41" s="116">
        <f>INDEX(PRECIO!O3:O423, MATCH(A41, PRECIO!A3:A423, 0))</f>
        <v>0</v>
      </c>
    </row>
    <row r="42" spans="1:6" x14ac:dyDescent="0.3">
      <c r="A42" s="135">
        <v>135</v>
      </c>
      <c r="B42" s="182" t="str">
        <f>INDEX(PRECIO!$B$3:$B$930, MATCH(A42, PRECIO!$A$3:$A$930, 0))</f>
        <v>BUZO|PREMIUM|T9XL│ADULTO</v>
      </c>
      <c r="C42" s="136">
        <f>INDEX(PRECIO!$C$3:$C$930, MATCH(A42, PRECIO!$A$3:$A$930, 0))</f>
        <v>23</v>
      </c>
      <c r="D42" s="136">
        <f>INDEX(PRECIO!$D$3:$D$930, MATCH(A42, PRECIO!$A$3:$A$930, 0))</f>
        <v>21</v>
      </c>
      <c r="E42" s="136">
        <f>INDEX(PRECIO!$E$3:$E$930, MATCH(A42, PRECIO!$A$3:$A$930, 0))</f>
        <v>20</v>
      </c>
      <c r="F42" s="116">
        <f>INDEX(PRECIO!O3:O423, MATCH(A42, PRECIO!A3:A423, 0))</f>
        <v>0</v>
      </c>
    </row>
  </sheetData>
  <mergeCells count="3">
    <mergeCell ref="A1:E1"/>
    <mergeCell ref="A15:E15"/>
    <mergeCell ref="A29:E29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F6EBC-ABD4-47C2-882C-320E06779462}">
  <sheetPr codeName="Hoja11"/>
  <dimension ref="A1:F86"/>
  <sheetViews>
    <sheetView topLeftCell="A73" zoomScaleNormal="100" workbookViewId="0">
      <selection activeCell="H92" sqref="H92"/>
    </sheetView>
  </sheetViews>
  <sheetFormatPr baseColWidth="10" defaultRowHeight="14.4" x14ac:dyDescent="0.3"/>
  <cols>
    <col min="1" max="1" width="11.44140625" style="109"/>
    <col min="2" max="2" width="44.5546875" style="110" bestFit="1" customWidth="1"/>
    <col min="3" max="5" width="11.44140625" style="109"/>
    <col min="6" max="6" width="11.44140625" style="273"/>
  </cols>
  <sheetData>
    <row r="1" spans="1:6" ht="25.8" x14ac:dyDescent="0.3">
      <c r="A1" s="277" t="s">
        <v>341</v>
      </c>
      <c r="B1" s="277"/>
      <c r="C1" s="277"/>
      <c r="D1" s="277"/>
      <c r="E1" s="277"/>
      <c r="F1" s="268"/>
    </row>
    <row r="2" spans="1:6" x14ac:dyDescent="0.3">
      <c r="A2" s="120" t="str">
        <f>+PRECIO!A2</f>
        <v>COD.</v>
      </c>
      <c r="B2" s="120" t="str">
        <f>+PRECIO!B2</f>
        <v>DESCRIPCION</v>
      </c>
      <c r="C2" s="120" t="str">
        <f>+PRECIO!C2</f>
        <v>UNI</v>
      </c>
      <c r="D2" s="120" t="str">
        <f>+PRECIO!D2</f>
        <v>&gt;12</v>
      </c>
      <c r="E2" s="120" t="str">
        <f>+PRECIO!E2</f>
        <v>&gt;25</v>
      </c>
      <c r="F2" s="269" t="str">
        <f>+PRECIO!O2</f>
        <v>VALOR</v>
      </c>
    </row>
    <row r="3" spans="1:6" x14ac:dyDescent="0.3">
      <c r="A3" s="122">
        <v>180</v>
      </c>
      <c r="B3" s="123" t="str">
        <f>INDEX(PRECIO!B3:B375, MATCH(A3, PRECIO!A3:A375, 0))</f>
        <v>CAMI POLO|DEPORT|T26-30│NIÑO|SUBLI</v>
      </c>
      <c r="C3" s="124">
        <f>INDEX(PRECIO!C3:C375, MATCH(A3, PRECIO!A3:A375, 0))</f>
        <v>11</v>
      </c>
      <c r="D3" s="124">
        <f>INDEX(PRECIO!D3:D375, MATCH(A3, PRECIO!A3:A375, 0))</f>
        <v>9</v>
      </c>
      <c r="E3" s="124">
        <f>INDEX(PRECIO!E3:E375, MATCH(A3, PRECIO!A3:A375, 0))</f>
        <v>8</v>
      </c>
      <c r="F3" s="201">
        <f>INDEX(PRECIO!O3:O375, MATCH(A3, PRECIO!A3:A375, 0))</f>
        <v>7.6</v>
      </c>
    </row>
    <row r="4" spans="1:6" x14ac:dyDescent="0.3">
      <c r="A4" s="122">
        <v>296</v>
      </c>
      <c r="B4" s="123" t="str">
        <f>INDEX(PRECIO!B3:B375, MATCH(A4, PRECIO!A3:A375, 0))</f>
        <v>CAMI POLO|DEPORT|T32-36│NIÑO|SUBLI</v>
      </c>
      <c r="C4" s="124">
        <f>INDEX(PRECIO!C3:C375, MATCH(A4, PRECIO!A3:A375, 0))</f>
        <v>12</v>
      </c>
      <c r="D4" s="124">
        <f>INDEX(PRECIO!D3:D375, MATCH(A4, PRECIO!A3:A375, 0))</f>
        <v>10</v>
      </c>
      <c r="E4" s="124">
        <f>INDEX(PRECIO!E3:E375, MATCH(A4, PRECIO!A3:A375, 0))</f>
        <v>9</v>
      </c>
      <c r="F4" s="201">
        <f>INDEX(PRECIO!O3:O375, MATCH(A4, PRECIO!A3:A375, 0))</f>
        <v>0</v>
      </c>
    </row>
    <row r="5" spans="1:6" x14ac:dyDescent="0.3">
      <c r="A5" s="125">
        <v>297</v>
      </c>
      <c r="B5" s="126" t="str">
        <f>INDEX(PRECIO!B3:B375, MATCH(A5, PRECIO!A3:A375, 0))</f>
        <v>CAMI POLO|DEPORT| T38-42│JOV|SUBLI</v>
      </c>
      <c r="C5" s="127">
        <f>INDEX(PRECIO!C3:C375, MATCH(A5, PRECIO!A3:A375, 0))</f>
        <v>13</v>
      </c>
      <c r="D5" s="127">
        <f>INDEX(PRECIO!D3:D375, MATCH(A5, PRECIO!A3:A375, 0))</f>
        <v>11</v>
      </c>
      <c r="E5" s="127">
        <f>INDEX(PRECIO!E3:E375, MATCH(A5, PRECIO!A3:A375, 0))</f>
        <v>10</v>
      </c>
      <c r="F5" s="201">
        <f>INDEX(PRECIO!O3:O375, MATCH(A5, PRECIO!A3:A375, 0))</f>
        <v>8.2899999999999991</v>
      </c>
    </row>
    <row r="6" spans="1:6" x14ac:dyDescent="0.3">
      <c r="A6" s="135">
        <v>137</v>
      </c>
      <c r="B6" s="182" t="str">
        <f>INDEX(PRECIO!B3:B375, MATCH(A6, PRECIO!A3:A375, 0))</f>
        <v>CAMI POLO|DEPORT|TXS-XL |SUBLI</v>
      </c>
      <c r="C6" s="136">
        <f>INDEX(PRECIO!C3:C375, MATCH(A6, PRECIO!A3:A375, 0))</f>
        <v>14</v>
      </c>
      <c r="D6" s="136">
        <f>INDEX(PRECIO!D3:D375, MATCH(A6, PRECIO!A3:A375, 0))</f>
        <v>12</v>
      </c>
      <c r="E6" s="136">
        <f>INDEX(PRECIO!E3:E375, MATCH(A6, PRECIO!A3:A375, 0))</f>
        <v>11</v>
      </c>
      <c r="F6" s="201">
        <f>INDEX(PRECIO!O3:O375, MATCH(A6, PRECIO!A3:A375, 0))</f>
        <v>8.2899999999999991</v>
      </c>
    </row>
    <row r="7" spans="1:6" x14ac:dyDescent="0.3">
      <c r="A7" s="135">
        <v>138</v>
      </c>
      <c r="B7" s="182" t="str">
        <f>INDEX(PRECIO!B3:B375, MATCH(A7, PRECIO!A3:A375, 0))</f>
        <v>CAMI POLO|DEPORT|T2XL |SUBLI</v>
      </c>
      <c r="C7" s="136">
        <f>INDEX(PRECIO!C3:C375, MATCH(A7, PRECIO!A3:A375, 0))</f>
        <v>15</v>
      </c>
      <c r="D7" s="136">
        <f>INDEX(PRECIO!D3:D375, MATCH(A7, PRECIO!A3:A375, 0))</f>
        <v>13</v>
      </c>
      <c r="E7" s="136">
        <f>INDEX(PRECIO!E3:E375, MATCH(A7, PRECIO!A3:A375, 0))</f>
        <v>12</v>
      </c>
      <c r="F7" s="201">
        <f>INDEX(PRECIO!O3:O375, MATCH(A7, PRECIO!A3:A375, 0))</f>
        <v>0</v>
      </c>
    </row>
    <row r="8" spans="1:6" x14ac:dyDescent="0.3">
      <c r="A8" s="135">
        <v>139</v>
      </c>
      <c r="B8" s="182" t="str">
        <f>INDEX(PRECIO!B3:B375, MATCH(A8, PRECIO!A3:A375, 0))</f>
        <v>CAMI POLO|DEPORT|T3XL |SUBLI</v>
      </c>
      <c r="C8" s="136">
        <f>INDEX(PRECIO!C3:C375, MATCH(A8, PRECIO!A3:A375, 0))</f>
        <v>16</v>
      </c>
      <c r="D8" s="136">
        <f>INDEX(PRECIO!D3:D375, MATCH(A8, PRECIO!A3:A375, 0))</f>
        <v>14</v>
      </c>
      <c r="E8" s="136">
        <f>INDEX(PRECIO!E3:E375, MATCH(A8, PRECIO!A3:A375, 0))</f>
        <v>13</v>
      </c>
      <c r="F8" s="201">
        <f>INDEX(PRECIO!O3:O375, MATCH(A8, PRECIO!A3:A375, 0))</f>
        <v>0</v>
      </c>
    </row>
    <row r="9" spans="1:6" x14ac:dyDescent="0.3">
      <c r="A9" s="135">
        <v>140</v>
      </c>
      <c r="B9" s="182" t="str">
        <f>INDEX(PRECIO!B3:B375, MATCH(A9, PRECIO!A3:A375, 0))</f>
        <v>CAMI POLO|DEPORT|T4XL |SUBLI</v>
      </c>
      <c r="C9" s="136">
        <f>INDEX(PRECIO!C3:C375, MATCH(A9, PRECIO!A3:A375, 0))</f>
        <v>17</v>
      </c>
      <c r="D9" s="136">
        <f>INDEX(PRECIO!D3:D375, MATCH(A9, PRECIO!A3:A375, 0))</f>
        <v>15</v>
      </c>
      <c r="E9" s="136">
        <f>INDEX(PRECIO!E3:E375, MATCH(A9, PRECIO!A3:A375, 0))</f>
        <v>14</v>
      </c>
      <c r="F9" s="201">
        <f>INDEX(PRECIO!O3:O375, MATCH(A9, PRECIO!A3:A375, 0))</f>
        <v>0</v>
      </c>
    </row>
    <row r="10" spans="1:6" x14ac:dyDescent="0.3">
      <c r="A10" s="135">
        <v>141</v>
      </c>
      <c r="B10" s="182" t="str">
        <f>INDEX(PRECIO!B3:B375, MATCH(A10, PRECIO!A3:A375, 0))</f>
        <v>CAMI POLO|DEPORT|T5XL |SUBLI</v>
      </c>
      <c r="C10" s="136">
        <f>INDEX(PRECIO!C3:C375, MATCH(A10, PRECIO!A3:A375, 0))</f>
        <v>18</v>
      </c>
      <c r="D10" s="136">
        <f>INDEX(PRECIO!D3:D375, MATCH(A10, PRECIO!A3:A375, 0))</f>
        <v>16</v>
      </c>
      <c r="E10" s="136">
        <f>INDEX(PRECIO!E3:E375, MATCH(A10, PRECIO!A3:A375, 0))</f>
        <v>15</v>
      </c>
      <c r="F10" s="201">
        <f>INDEX(PRECIO!O3:O375, MATCH(A10, PRECIO!A3:A375, 0))</f>
        <v>0</v>
      </c>
    </row>
    <row r="11" spans="1:6" x14ac:dyDescent="0.3">
      <c r="A11" s="135">
        <v>142</v>
      </c>
      <c r="B11" s="182" t="str">
        <f>INDEX(PRECIO!B3:B375, MATCH(A11, PRECIO!A3:A375, 0))</f>
        <v>CAMI POLO|DEPORT|T6XL |SUBLI</v>
      </c>
      <c r="C11" s="136">
        <f>INDEX(PRECIO!C3:C375, MATCH(A11, PRECIO!A3:A375, 0))</f>
        <v>19</v>
      </c>
      <c r="D11" s="136">
        <f>INDEX(PRECIO!D3:D375, MATCH(A11, PRECIO!A3:A375, 0))</f>
        <v>17</v>
      </c>
      <c r="E11" s="136">
        <f>INDEX(PRECIO!E3:E375, MATCH(A11, PRECIO!A3:A375, 0))</f>
        <v>16</v>
      </c>
      <c r="F11" s="201">
        <f>INDEX(PRECIO!O3:O375, MATCH(A11, PRECIO!A3:A375, 0))</f>
        <v>0</v>
      </c>
    </row>
    <row r="12" spans="1:6" x14ac:dyDescent="0.3">
      <c r="A12" s="135">
        <v>143</v>
      </c>
      <c r="B12" s="182" t="str">
        <f>INDEX(PRECIO!B3:B375, MATCH(A12, PRECIO!A3:A375, 0))</f>
        <v>CAMI POLO|DEPORT|T7XL |SUBLI</v>
      </c>
      <c r="C12" s="136">
        <f>INDEX(PRECIO!C3:C375, MATCH(A12, PRECIO!A3:A375, 0))</f>
        <v>20</v>
      </c>
      <c r="D12" s="136">
        <f>INDEX(PRECIO!D3:D375, MATCH(A12, PRECIO!A3:A375, 0))</f>
        <v>18</v>
      </c>
      <c r="E12" s="136">
        <f>INDEX(PRECIO!E3:E375, MATCH(A12, PRECIO!A3:A375, 0))</f>
        <v>17</v>
      </c>
      <c r="F12" s="201">
        <f>INDEX(PRECIO!O3:O375, MATCH(A12, PRECIO!A3:A375, 0))</f>
        <v>0</v>
      </c>
    </row>
    <row r="13" spans="1:6" x14ac:dyDescent="0.3">
      <c r="A13" s="135">
        <v>144</v>
      </c>
      <c r="B13" s="182" t="str">
        <f>INDEX(PRECIO!B3:B375, MATCH(A13, PRECIO!A3:A375, 0))</f>
        <v>CAMI POLO|DEPORT|T8XL |SUBLI</v>
      </c>
      <c r="C13" s="136">
        <f>INDEX(PRECIO!C3:C375, MATCH(A13, PRECIO!A3:A375, 0))</f>
        <v>21</v>
      </c>
      <c r="D13" s="136">
        <f>INDEX(PRECIO!D3:D375, MATCH(A13, PRECIO!A3:A375, 0))</f>
        <v>19</v>
      </c>
      <c r="E13" s="136">
        <f>INDEX(PRECIO!E3:E375, MATCH(A13, PRECIO!A3:A375, 0))</f>
        <v>18</v>
      </c>
      <c r="F13" s="201">
        <f>INDEX(PRECIO!O3:O375, MATCH(A13, PRECIO!A3:A375, 0))</f>
        <v>0</v>
      </c>
    </row>
    <row r="14" spans="1:6" x14ac:dyDescent="0.3">
      <c r="A14" s="135">
        <v>145</v>
      </c>
      <c r="B14" s="182" t="str">
        <f>INDEX(PRECIO!B3:B375, MATCH(A14, PRECIO!A3:A375, 0))</f>
        <v>CAMI POLO|DEPORT|T9XL |SUBLI</v>
      </c>
      <c r="C14" s="136">
        <f>INDEX(PRECIO!C3:C375, MATCH(A14, PRECIO!A3:A375, 0))</f>
        <v>22</v>
      </c>
      <c r="D14" s="136">
        <f>INDEX(PRECIO!D3:D375, MATCH(A14, PRECIO!A3:A375, 0))</f>
        <v>20</v>
      </c>
      <c r="E14" s="136">
        <f>INDEX(PRECIO!E3:E375, MATCH(A14, PRECIO!A3:A375, 0))</f>
        <v>19</v>
      </c>
      <c r="F14" s="201">
        <f>INDEX(PRECIO!O3:O375, MATCH(A14, PRECIO!A3:A375, 0))</f>
        <v>0</v>
      </c>
    </row>
    <row r="15" spans="1:6" x14ac:dyDescent="0.3">
      <c r="A15" s="131"/>
      <c r="B15" s="132"/>
      <c r="C15" s="133"/>
      <c r="D15" s="133"/>
      <c r="E15" s="133"/>
      <c r="F15" s="201"/>
    </row>
    <row r="16" spans="1:6" ht="29.25" customHeight="1" x14ac:dyDescent="0.3">
      <c r="A16" s="277" t="s">
        <v>340</v>
      </c>
      <c r="B16" s="277"/>
      <c r="C16" s="277"/>
      <c r="D16" s="277"/>
      <c r="E16" s="277"/>
      <c r="F16" s="270"/>
    </row>
    <row r="17" spans="1:6" x14ac:dyDescent="0.3">
      <c r="A17" s="120" t="str">
        <f>+PRECIO!A2</f>
        <v>COD.</v>
      </c>
      <c r="B17" s="121" t="str">
        <f>+PRECIO!B2</f>
        <v>DESCRIPCION</v>
      </c>
      <c r="C17" s="120" t="str">
        <f>+PRECIO!C2</f>
        <v>UNI</v>
      </c>
      <c r="D17" s="121" t="str">
        <f>+PRECIO!D2</f>
        <v>&gt;12</v>
      </c>
      <c r="E17" s="120" t="str">
        <f>+PRECIO!E2</f>
        <v>&gt;25</v>
      </c>
      <c r="F17" s="271" t="str">
        <f>+PRECIO!O2</f>
        <v>VALOR</v>
      </c>
    </row>
    <row r="18" spans="1:6" x14ac:dyDescent="0.3">
      <c r="A18" s="122">
        <v>278</v>
      </c>
      <c r="B18" s="123" t="str">
        <f>INDEX(PRECIO!B3:B377, MATCH(A18, PRECIO!A3:A377, 0))</f>
        <v>CAMI POLO|PIKE|T26-30│NIÑO|BORDADO</v>
      </c>
      <c r="C18" s="124">
        <f>INDEX(PRECIO!C3:C377, MATCH(A18, PRECIO!A3:A377, 0))</f>
        <v>11</v>
      </c>
      <c r="D18" s="124">
        <f>INDEX(PRECIO!D3:D377, MATCH(A18, PRECIO!A3:A377, 0))</f>
        <v>10</v>
      </c>
      <c r="E18" s="124">
        <f>INDEX(PRECIO!E3:E377, MATCH(A18, PRECIO!A3:A377, 0))</f>
        <v>9</v>
      </c>
      <c r="F18" s="201">
        <f>INDEX(PRECIO!O3:O377, MATCH(A18, PRECIO!A3:A377, 0))</f>
        <v>0</v>
      </c>
    </row>
    <row r="19" spans="1:6" x14ac:dyDescent="0.3">
      <c r="A19" s="122">
        <v>279</v>
      </c>
      <c r="B19" s="123" t="str">
        <f>INDEX(PRECIO!B3:B377, MATCH(A19, PRECIO!A3:A377, 0))</f>
        <v>CAMI POLO|PIKE|T32-36│NIÑO|BORDADO</v>
      </c>
      <c r="C19" s="124">
        <f>INDEX(PRECIO!C3:C377, MATCH(A19, PRECIO!A3:A377, 0))</f>
        <v>12</v>
      </c>
      <c r="D19" s="124">
        <f>INDEX(PRECIO!D3:D377, MATCH(A19, PRECIO!A3:A377, 0))</f>
        <v>11</v>
      </c>
      <c r="E19" s="124">
        <f>INDEX(PRECIO!E3:E377, MATCH(A19, PRECIO!A3:A377, 0))</f>
        <v>10</v>
      </c>
      <c r="F19" s="201">
        <f>INDEX(PRECIO!O3:O377, MATCH(A19, PRECIO!A3:A377, 0))</f>
        <v>0</v>
      </c>
    </row>
    <row r="20" spans="1:6" x14ac:dyDescent="0.3">
      <c r="A20" s="125">
        <v>280</v>
      </c>
      <c r="B20" s="126" t="str">
        <f>INDEX(PRECIO!B3:B378, MATCH(A20, PRECIO!A3:A378, 0))</f>
        <v>CAMI POLO|PIKE|T38-42│JOV|BORDADO</v>
      </c>
      <c r="C20" s="127">
        <f>INDEX(PRECIO!C3:C378, MATCH(A20, PRECIO!A3:A378, 0))</f>
        <v>13</v>
      </c>
      <c r="D20" s="127">
        <f>INDEX(PRECIO!D3:D378, MATCH(A20, PRECIO!A3:A378, 0))</f>
        <v>12</v>
      </c>
      <c r="E20" s="127">
        <f>INDEX(PRECIO!E3:E378, MATCH(A20, PRECIO!A3:A378, 0))</f>
        <v>11</v>
      </c>
      <c r="F20" s="201">
        <f>INDEX(PRECIO!O3:O378, MATCH(A20, PRECIO!A3:A378, 0))</f>
        <v>0</v>
      </c>
    </row>
    <row r="21" spans="1:6" x14ac:dyDescent="0.3">
      <c r="A21" s="135">
        <v>269</v>
      </c>
      <c r="B21" s="182" t="str">
        <f>INDEX(PRECIO!B3:B377, MATCH(A21, PRECIO!A3:A377, 0))</f>
        <v>CAMI POLO|PIKE|TXS-XL|BORDADO</v>
      </c>
      <c r="C21" s="136">
        <f>INDEX(PRECIO!C3:C377, MATCH(A21, PRECIO!A3:A377, 0))</f>
        <v>15</v>
      </c>
      <c r="D21" s="136">
        <f>INDEX(PRECIO!D3:D377, MATCH(A21, PRECIO!A3:A377, 0))</f>
        <v>13</v>
      </c>
      <c r="E21" s="136">
        <f>INDEX(PRECIO!E3:E377, MATCH(A21, PRECIO!A3:A377, 0))</f>
        <v>12</v>
      </c>
      <c r="F21" s="201">
        <f>INDEX(PRECIO!O3:O377, MATCH(A21, PRECIO!A3:A377, 0))</f>
        <v>11.55</v>
      </c>
    </row>
    <row r="22" spans="1:6" x14ac:dyDescent="0.3">
      <c r="A22" s="135">
        <v>270</v>
      </c>
      <c r="B22" s="182" t="str">
        <f>INDEX(PRECIO!B3:B377, MATCH(A22, PRECIO!A3:A377, 0))</f>
        <v>CAMI POLO|PIKE|T2XL|BORDADO</v>
      </c>
      <c r="C22" s="136">
        <f>INDEX(PRECIO!C3:C377, MATCH(A22, PRECIO!A3:A377, 0))</f>
        <v>16</v>
      </c>
      <c r="D22" s="136">
        <f>INDEX(PRECIO!D3:D377, MATCH(A22, PRECIO!A3:A377, 0))</f>
        <v>14</v>
      </c>
      <c r="E22" s="136">
        <f>INDEX(PRECIO!E3:E377, MATCH(A22, PRECIO!A3:A377, 0))</f>
        <v>13</v>
      </c>
      <c r="F22" s="201">
        <f>INDEX(PRECIO!O3:O377, MATCH(A22, PRECIO!A3:A377, 0))</f>
        <v>0</v>
      </c>
    </row>
    <row r="23" spans="1:6" x14ac:dyDescent="0.3">
      <c r="A23" s="135">
        <v>271</v>
      </c>
      <c r="B23" s="182" t="str">
        <f>INDEX(PRECIO!B3:B377, MATCH(A23, PRECIO!A3:A377, 0))</f>
        <v>CAMI POLO|PIKE|T3XL|BORDADO</v>
      </c>
      <c r="C23" s="136">
        <f>INDEX(PRECIO!C3:C377, MATCH(A23, PRECIO!A3:A377, 0))</f>
        <v>17</v>
      </c>
      <c r="D23" s="136">
        <f>INDEX(PRECIO!D3:D377, MATCH(A23, PRECIO!A3:A377, 0))</f>
        <v>15</v>
      </c>
      <c r="E23" s="136">
        <f>INDEX(PRECIO!E3:E377, MATCH(A23, PRECIO!A3:A377, 0))</f>
        <v>14</v>
      </c>
      <c r="F23" s="201">
        <f>INDEX(PRECIO!O3:O377, MATCH(A23, PRECIO!A3:A377, 0))</f>
        <v>0</v>
      </c>
    </row>
    <row r="24" spans="1:6" x14ac:dyDescent="0.3">
      <c r="A24" s="135">
        <v>272</v>
      </c>
      <c r="B24" s="182" t="str">
        <f>INDEX(PRECIO!B3:B377, MATCH(A24, PRECIO!A3:A377, 0))</f>
        <v>CAMI POLO|PIKE|T4XL|BORDADO</v>
      </c>
      <c r="C24" s="136">
        <f>INDEX(PRECIO!C3:C377, MATCH(A24, PRECIO!A3:A377, 0))</f>
        <v>18</v>
      </c>
      <c r="D24" s="136">
        <f>INDEX(PRECIO!D3:D377, MATCH(A24, PRECIO!A3:A377, 0))</f>
        <v>16</v>
      </c>
      <c r="E24" s="136">
        <f>INDEX(PRECIO!E3:E377, MATCH(A24, PRECIO!A3:A377, 0))</f>
        <v>15</v>
      </c>
      <c r="F24" s="201">
        <f>INDEX(PRECIO!O3:O377, MATCH(A24, PRECIO!A3:A377, 0))</f>
        <v>0</v>
      </c>
    </row>
    <row r="25" spans="1:6" x14ac:dyDescent="0.3">
      <c r="A25" s="135">
        <v>273</v>
      </c>
      <c r="B25" s="182" t="str">
        <f>INDEX(PRECIO!B3:B377, MATCH(A25, PRECIO!A3:A377, 0))</f>
        <v>CAMI POLO|PIKE|T5XL|BORDADO</v>
      </c>
      <c r="C25" s="136">
        <f>INDEX(PRECIO!C3:C377, MATCH(A25, PRECIO!A3:A377, 0))</f>
        <v>19</v>
      </c>
      <c r="D25" s="136">
        <f>INDEX(PRECIO!D3:D377, MATCH(A25, PRECIO!A3:A377, 0))</f>
        <v>17</v>
      </c>
      <c r="E25" s="136">
        <f>INDEX(PRECIO!E3:E377, MATCH(A25, PRECIO!A3:A377, 0))</f>
        <v>16</v>
      </c>
      <c r="F25" s="201">
        <f>INDEX(PRECIO!O3:O377, MATCH(A25, PRECIO!A3:A377, 0))</f>
        <v>0</v>
      </c>
    </row>
    <row r="26" spans="1:6" x14ac:dyDescent="0.3">
      <c r="A26" s="135">
        <v>274</v>
      </c>
      <c r="B26" s="182" t="str">
        <f>INDEX(PRECIO!B3:B377, MATCH(A26, PRECIO!A3:A377, 0))</f>
        <v>CAMI POLO|PIKE|T6XL|BORDADO</v>
      </c>
      <c r="C26" s="136">
        <f>INDEX(PRECIO!C3:C377, MATCH(A26, PRECIO!A3:A377, 0))</f>
        <v>20</v>
      </c>
      <c r="D26" s="136">
        <f>INDEX(PRECIO!D3:D377, MATCH(A26, PRECIO!A3:A377, 0))</f>
        <v>18</v>
      </c>
      <c r="E26" s="136">
        <f>INDEX(PRECIO!E3:E377, MATCH(A26, PRECIO!A3:A377, 0))</f>
        <v>17</v>
      </c>
      <c r="F26" s="201">
        <f>INDEX(PRECIO!O3:O377, MATCH(A26, PRECIO!A3:A377, 0))</f>
        <v>0</v>
      </c>
    </row>
    <row r="27" spans="1:6" x14ac:dyDescent="0.3">
      <c r="A27" s="135">
        <v>275</v>
      </c>
      <c r="B27" s="182" t="str">
        <f>INDEX(PRECIO!B3:B377, MATCH(A27, PRECIO!A3:A377, 0))</f>
        <v>CAMI POLO|PIKE|T7XL|BORDADO</v>
      </c>
      <c r="C27" s="136">
        <f>INDEX(PRECIO!C3:C377, MATCH(A27, PRECIO!A3:A377, 0))</f>
        <v>21</v>
      </c>
      <c r="D27" s="136">
        <f>INDEX(PRECIO!D3:D377, MATCH(A27, PRECIO!A3:A377, 0))</f>
        <v>19</v>
      </c>
      <c r="E27" s="136">
        <f>INDEX(PRECIO!E3:E377, MATCH(A27, PRECIO!A3:A377, 0))</f>
        <v>18</v>
      </c>
      <c r="F27" s="201">
        <f>INDEX(PRECIO!O3:O377, MATCH(A27, PRECIO!A3:A377, 0))</f>
        <v>0</v>
      </c>
    </row>
    <row r="28" spans="1:6" x14ac:dyDescent="0.3">
      <c r="A28" s="135">
        <v>276</v>
      </c>
      <c r="B28" s="182" t="str">
        <f>INDEX(PRECIO!B3:B377, MATCH(A28, PRECIO!A3:A377, 0))</f>
        <v>CAMI POLO|PIKE|T8XL|BORDADO</v>
      </c>
      <c r="C28" s="136">
        <f>INDEX(PRECIO!C3:C377, MATCH(A28, PRECIO!A3:A377, 0))</f>
        <v>22</v>
      </c>
      <c r="D28" s="136">
        <f>INDEX(PRECIO!D3:D377, MATCH(A28, PRECIO!A3:A377, 0))</f>
        <v>20</v>
      </c>
      <c r="E28" s="136">
        <f>INDEX(PRECIO!E3:E377, MATCH(A28, PRECIO!A3:A377, 0))</f>
        <v>19</v>
      </c>
      <c r="F28" s="201">
        <f>INDEX(PRECIO!O3:O377, MATCH(A28, PRECIO!A3:A377, 0))</f>
        <v>0</v>
      </c>
    </row>
    <row r="29" spans="1:6" x14ac:dyDescent="0.3">
      <c r="A29" s="135">
        <v>277</v>
      </c>
      <c r="B29" s="182" t="str">
        <f>INDEX(PRECIO!B3:B377, MATCH(A29, PRECIO!A3:A377, 0))</f>
        <v>CAMI POLO|PIKE|T9XL|BORDADO</v>
      </c>
      <c r="C29" s="136">
        <f>INDEX(PRECIO!C3:C377, MATCH(A29, PRECIO!A3:A377, 0))</f>
        <v>23</v>
      </c>
      <c r="D29" s="136">
        <f>INDEX(PRECIO!D3:D377, MATCH(A29, PRECIO!A3:A377, 0))</f>
        <v>21</v>
      </c>
      <c r="E29" s="136">
        <f>INDEX(PRECIO!E3:E377, MATCH(A29, PRECIO!A3:A377, 0))</f>
        <v>20</v>
      </c>
      <c r="F29" s="201">
        <f>INDEX(PRECIO!O3:O377, MATCH(A29, PRECIO!A3:A377, 0))</f>
        <v>0</v>
      </c>
    </row>
    <row r="30" spans="1:6" ht="29.25" customHeight="1" x14ac:dyDescent="0.3">
      <c r="A30" s="277" t="s">
        <v>342</v>
      </c>
      <c r="B30" s="277"/>
      <c r="C30" s="277"/>
      <c r="D30" s="277"/>
      <c r="E30" s="277"/>
      <c r="F30" s="270"/>
    </row>
    <row r="31" spans="1:6" x14ac:dyDescent="0.3">
      <c r="A31" s="120" t="str">
        <f>+PRECIO!A2</f>
        <v>COD.</v>
      </c>
      <c r="B31" s="120" t="str">
        <f>+PRECIO!B2</f>
        <v>DESCRIPCION</v>
      </c>
      <c r="C31" s="120" t="str">
        <f>+PRECIO!C2</f>
        <v>UNI</v>
      </c>
      <c r="D31" s="120" t="str">
        <f>+PRECIO!D2</f>
        <v>&gt;12</v>
      </c>
      <c r="E31" s="120" t="str">
        <f>+PRECIO!E2</f>
        <v>&gt;25</v>
      </c>
      <c r="F31" s="269" t="str">
        <f>+PRECIO!O2</f>
        <v>VALOR</v>
      </c>
    </row>
    <row r="32" spans="1:6" x14ac:dyDescent="0.3">
      <c r="A32" s="122">
        <v>290</v>
      </c>
      <c r="B32" s="123" t="str">
        <f>INDEX(PRECIO!B3:B375, MATCH(A32, PRECIO!A3:A375, 0))</f>
        <v>CAMI POLO|ALGODON|T26-30│NIÑO|BORDADO</v>
      </c>
      <c r="C32" s="124">
        <f>INDEX(PRECIO!C3:C375, MATCH(A32, PRECIO!A3:A375, 0))</f>
        <v>12</v>
      </c>
      <c r="D32" s="124">
        <f>INDEX(PRECIO!D3:D375, MATCH(A32, PRECIO!A3:A375, 0))</f>
        <v>10</v>
      </c>
      <c r="E32" s="124">
        <f>INDEX(PRECIO!E3:E375, MATCH(A32, PRECIO!A3:A375, 0))</f>
        <v>9</v>
      </c>
      <c r="F32" s="201">
        <f>INDEX(PRECIO!O3:O375, MATCH(A32, PRECIO!A3:A375, 0))</f>
        <v>0</v>
      </c>
    </row>
    <row r="33" spans="1:6" x14ac:dyDescent="0.3">
      <c r="A33" s="122">
        <v>291</v>
      </c>
      <c r="B33" s="123" t="str">
        <f>INDEX(PRECIO!B3:B375, MATCH(A33, PRECIO!A3:A375, 0))</f>
        <v>CAMI POLO|ALGODON|T32-36│NIÑO|BORDADO</v>
      </c>
      <c r="C33" s="124">
        <f>INDEX(PRECIO!C3:C375, MATCH(A33, PRECIO!A3:A375, 0))</f>
        <v>13</v>
      </c>
      <c r="D33" s="124">
        <f>INDEX(PRECIO!D3:D375, MATCH(A33, PRECIO!A3:A375, 0))</f>
        <v>11</v>
      </c>
      <c r="E33" s="124">
        <f>INDEX(PRECIO!E3:E375, MATCH(A33, PRECIO!A3:A375, 0))</f>
        <v>10</v>
      </c>
      <c r="F33" s="201">
        <f>INDEX(PRECIO!O3:O375, MATCH(A33, PRECIO!A3:A375, 0))</f>
        <v>0</v>
      </c>
    </row>
    <row r="34" spans="1:6" x14ac:dyDescent="0.3">
      <c r="A34" s="125">
        <v>292</v>
      </c>
      <c r="B34" s="126" t="str">
        <f>INDEX(PRECIO!B3:B375, MATCH(A34, PRECIO!A3:A375, 0))</f>
        <v>CAMI POLO|ALGODON|T38-42│JOV|BORDADO</v>
      </c>
      <c r="C34" s="127">
        <f>INDEX(PRECIO!C3:C375, MATCH(A34, PRECIO!A3:A375, 0))</f>
        <v>14</v>
      </c>
      <c r="D34" s="127">
        <f>INDEX(PRECIO!D3:D375, MATCH(A34, PRECIO!A3:A375, 0))</f>
        <v>12</v>
      </c>
      <c r="E34" s="127">
        <f>INDEX(PRECIO!E3:E375, MATCH(A34, PRECIO!A3:A375, 0))</f>
        <v>11</v>
      </c>
      <c r="F34" s="201">
        <f>INDEX(PRECIO!O3:O375, MATCH(A34, PRECIO!A3:A375, 0))</f>
        <v>0</v>
      </c>
    </row>
    <row r="35" spans="1:6" x14ac:dyDescent="0.3">
      <c r="A35" s="135">
        <v>281</v>
      </c>
      <c r="B35" s="182" t="str">
        <f>INDEX(PRECIO!B3:B375, MATCH(A35, PRECIO!A3:A375, 0))</f>
        <v>CAMI POLO|ALGODON|TXS-XL|BORDADO</v>
      </c>
      <c r="C35" s="136">
        <f>INDEX(PRECIO!C3:C375, MATCH(A35, PRECIO!A3:A375, 0))</f>
        <v>15</v>
      </c>
      <c r="D35" s="136">
        <f>INDEX(PRECIO!D3:D375, MATCH(A35, PRECIO!A3:A375, 0))</f>
        <v>13</v>
      </c>
      <c r="E35" s="136">
        <f>INDEX(PRECIO!E3:E375, MATCH(A35, PRECIO!A3:A375, 0))</f>
        <v>12</v>
      </c>
      <c r="F35" s="201">
        <f>INDEX(PRECIO!O3:O375, MATCH(A35, PRECIO!A3:A375, 0))</f>
        <v>11.03</v>
      </c>
    </row>
    <row r="36" spans="1:6" x14ac:dyDescent="0.3">
      <c r="A36" s="135">
        <v>282</v>
      </c>
      <c r="B36" s="182" t="str">
        <f>INDEX(PRECIO!B3:B375, MATCH(A36, PRECIO!A3:A375, 0))</f>
        <v>CAMI POLO|ALGODON|T2XL|BORDADO</v>
      </c>
      <c r="C36" s="136">
        <f>INDEX(PRECIO!C3:C375, MATCH(A36, PRECIO!A3:A375, 0))</f>
        <v>16</v>
      </c>
      <c r="D36" s="136">
        <f>INDEX(PRECIO!D3:D375, MATCH(A36, PRECIO!A3:A375, 0))</f>
        <v>14</v>
      </c>
      <c r="E36" s="136">
        <f>INDEX(PRECIO!E3:E375, MATCH(A36, PRECIO!A3:A375, 0))</f>
        <v>13</v>
      </c>
      <c r="F36" s="201">
        <f>INDEX(PRECIO!O3:O375, MATCH(A36, PRECIO!A3:A375, 0))</f>
        <v>0</v>
      </c>
    </row>
    <row r="37" spans="1:6" x14ac:dyDescent="0.3">
      <c r="A37" s="135">
        <v>283</v>
      </c>
      <c r="B37" s="182" t="str">
        <f>INDEX(PRECIO!B3:B375, MATCH(A37, PRECIO!A3:A375, 0))</f>
        <v>CAMI POLO|ALGODON|T3XL|BORDADO</v>
      </c>
      <c r="C37" s="136">
        <f>INDEX(PRECIO!C3:C375, MATCH(A37, PRECIO!A3:A375, 0))</f>
        <v>17</v>
      </c>
      <c r="D37" s="136">
        <f>INDEX(PRECIO!D3:D375, MATCH(A37, PRECIO!A3:A375, 0))</f>
        <v>15</v>
      </c>
      <c r="E37" s="136">
        <f>INDEX(PRECIO!E3:E375, MATCH(A37, PRECIO!A3:A375, 0))</f>
        <v>14</v>
      </c>
      <c r="F37" s="201">
        <f>INDEX(PRECIO!O3:O375, MATCH(A37, PRECIO!A3:A375, 0))</f>
        <v>0</v>
      </c>
    </row>
    <row r="38" spans="1:6" x14ac:dyDescent="0.3">
      <c r="A38" s="135">
        <v>284</v>
      </c>
      <c r="B38" s="182" t="str">
        <f>INDEX(PRECIO!B3:B375, MATCH(A38, PRECIO!A3:A375, 0))</f>
        <v>CAMI POLO|ALGODON|T4XL|BORDADO</v>
      </c>
      <c r="C38" s="136">
        <f>INDEX(PRECIO!C3:C375, MATCH(A38, PRECIO!A3:A375, 0))</f>
        <v>18</v>
      </c>
      <c r="D38" s="136">
        <f>INDEX(PRECIO!D3:D375, MATCH(A38, PRECIO!A3:A375, 0))</f>
        <v>16</v>
      </c>
      <c r="E38" s="136">
        <f>INDEX(PRECIO!E3:E375, MATCH(A38, PRECIO!A3:A375, 0))</f>
        <v>15</v>
      </c>
      <c r="F38" s="201">
        <f>INDEX(PRECIO!O3:O375, MATCH(A38, PRECIO!A3:A375, 0))</f>
        <v>0</v>
      </c>
    </row>
    <row r="39" spans="1:6" x14ac:dyDescent="0.3">
      <c r="A39" s="135">
        <v>285</v>
      </c>
      <c r="B39" s="182" t="str">
        <f>INDEX(PRECIO!B3:B375, MATCH(A39, PRECIO!A3:A375, 0))</f>
        <v>CAMI POLO|ALGODON|T5XL|BORDADO</v>
      </c>
      <c r="C39" s="136">
        <f>INDEX(PRECIO!C3:C375, MATCH(A39, PRECIO!A3:A375, 0))</f>
        <v>19</v>
      </c>
      <c r="D39" s="136">
        <f>INDEX(PRECIO!D3:D375, MATCH(A39, PRECIO!A3:A375, 0))</f>
        <v>17</v>
      </c>
      <c r="E39" s="136">
        <f>INDEX(PRECIO!E3:E375, MATCH(A39, PRECIO!A3:A375, 0))</f>
        <v>16</v>
      </c>
      <c r="F39" s="201">
        <f>INDEX(PRECIO!O3:O375, MATCH(A39, PRECIO!A3:A375, 0))</f>
        <v>0</v>
      </c>
    </row>
    <row r="40" spans="1:6" x14ac:dyDescent="0.3">
      <c r="A40" s="135">
        <v>286</v>
      </c>
      <c r="B40" s="182" t="str">
        <f>INDEX(PRECIO!B3:B375, MATCH(A40, PRECIO!A3:A375, 0))</f>
        <v>CAMI POLO|ALGODON|T6XL|BORDADO</v>
      </c>
      <c r="C40" s="136">
        <f>INDEX(PRECIO!C3:C375, MATCH(A40, PRECIO!A3:A375, 0))</f>
        <v>20</v>
      </c>
      <c r="D40" s="136">
        <f>INDEX(PRECIO!D3:D375, MATCH(A40, PRECIO!A3:A375, 0))</f>
        <v>18</v>
      </c>
      <c r="E40" s="136">
        <f>INDEX(PRECIO!E3:E375, MATCH(A40, PRECIO!A3:A375, 0))</f>
        <v>17</v>
      </c>
      <c r="F40" s="201">
        <f>INDEX(PRECIO!O3:O375, MATCH(A40, PRECIO!A3:A375, 0))</f>
        <v>0</v>
      </c>
    </row>
    <row r="41" spans="1:6" x14ac:dyDescent="0.3">
      <c r="A41" s="135">
        <v>287</v>
      </c>
      <c r="B41" s="182" t="str">
        <f>INDEX(PRECIO!B3:B375, MATCH(A41, PRECIO!A3:A375, 0))</f>
        <v>CAMI POLO|ALGODON|T7XL|BORDADO</v>
      </c>
      <c r="C41" s="136">
        <f>INDEX(PRECIO!C3:C375, MATCH(A41, PRECIO!A3:A375, 0))</f>
        <v>21</v>
      </c>
      <c r="D41" s="136">
        <f>INDEX(PRECIO!D3:D375, MATCH(A41, PRECIO!A3:A375, 0))</f>
        <v>19</v>
      </c>
      <c r="E41" s="136">
        <f>INDEX(PRECIO!E3:E375, MATCH(A41, PRECIO!A3:A375, 0))</f>
        <v>18</v>
      </c>
      <c r="F41" s="201">
        <f>INDEX(PRECIO!O3:O375, MATCH(A41, PRECIO!A3:A375, 0))</f>
        <v>0</v>
      </c>
    </row>
    <row r="42" spans="1:6" x14ac:dyDescent="0.3">
      <c r="A42" s="135">
        <v>288</v>
      </c>
      <c r="B42" s="182" t="str">
        <f>INDEX(PRECIO!B3:B375, MATCH(A42, PRECIO!A3:A375, 0))</f>
        <v>CAMI POLO|ALGODON|T8XL|BORDADO</v>
      </c>
      <c r="C42" s="136">
        <f>INDEX(PRECIO!C3:C375, MATCH(A42, PRECIO!A3:A375, 0))</f>
        <v>22</v>
      </c>
      <c r="D42" s="136">
        <f>INDEX(PRECIO!D3:D375, MATCH(A42, PRECIO!A3:A375, 0))</f>
        <v>20</v>
      </c>
      <c r="E42" s="136">
        <f>INDEX(PRECIO!E3:E375, MATCH(A42, PRECIO!A3:A375, 0))</f>
        <v>19</v>
      </c>
      <c r="F42" s="201">
        <f>INDEX(PRECIO!O3:O375, MATCH(A42, PRECIO!A3:A375, 0))</f>
        <v>0</v>
      </c>
    </row>
    <row r="43" spans="1:6" x14ac:dyDescent="0.3">
      <c r="A43" s="135">
        <v>289</v>
      </c>
      <c r="B43" s="182" t="str">
        <f>INDEX(PRECIO!B3:B375, MATCH(A43, PRECIO!A3:A375, 0))</f>
        <v>CAMI POLO|ALGODON|T9XL|BORDADO</v>
      </c>
      <c r="C43" s="136">
        <f>INDEX(PRECIO!C3:C375, MATCH(A43, PRECIO!A3:A375, 0))</f>
        <v>23</v>
      </c>
      <c r="D43" s="136">
        <f>INDEX(PRECIO!D3:D375, MATCH(A43, PRECIO!A3:A375, 0))</f>
        <v>21</v>
      </c>
      <c r="E43" s="136">
        <f>INDEX(PRECIO!E3:E375, MATCH(A43, PRECIO!A3:A375, 0))</f>
        <v>20</v>
      </c>
      <c r="F43" s="201">
        <f>INDEX(PRECIO!O3:O375, MATCH(A43, PRECIO!A3:A375, 0))</f>
        <v>0</v>
      </c>
    </row>
    <row r="44" spans="1:6" x14ac:dyDescent="0.3">
      <c r="A44" s="196"/>
      <c r="B44" s="197"/>
      <c r="C44" s="198"/>
      <c r="D44" s="198"/>
      <c r="E44" s="198"/>
      <c r="F44" s="198"/>
    </row>
    <row r="45" spans="1:6" x14ac:dyDescent="0.3">
      <c r="A45" s="196"/>
      <c r="B45" s="197"/>
      <c r="C45" s="198"/>
      <c r="D45" s="198"/>
      <c r="E45" s="198"/>
      <c r="F45" s="198"/>
    </row>
    <row r="46" spans="1:6" x14ac:dyDescent="0.3">
      <c r="A46" s="196"/>
      <c r="B46" s="197"/>
      <c r="C46" s="198"/>
      <c r="D46" s="198"/>
      <c r="E46" s="198"/>
      <c r="F46" s="198"/>
    </row>
    <row r="47" spans="1:6" x14ac:dyDescent="0.3">
      <c r="A47" s="196"/>
      <c r="B47" s="197"/>
      <c r="C47" s="198"/>
      <c r="D47" s="198"/>
      <c r="E47" s="198"/>
      <c r="F47" s="198"/>
    </row>
    <row r="48" spans="1:6" x14ac:dyDescent="0.3">
      <c r="A48" s="198"/>
      <c r="B48" s="197"/>
      <c r="C48" s="198"/>
      <c r="D48" s="198"/>
      <c r="E48" s="198"/>
      <c r="F48" s="198"/>
    </row>
    <row r="49" spans="1:6" ht="29.25" customHeight="1" x14ac:dyDescent="0.3">
      <c r="A49" s="284" t="s">
        <v>343</v>
      </c>
      <c r="B49" s="284"/>
      <c r="C49" s="284"/>
      <c r="D49" s="284"/>
      <c r="E49" s="284"/>
      <c r="F49" s="272"/>
    </row>
    <row r="50" spans="1:6" x14ac:dyDescent="0.3">
      <c r="A50" s="120" t="str">
        <f>+PRECIO!A2</f>
        <v>COD.</v>
      </c>
      <c r="B50" s="120" t="str">
        <f>+PRECIO!B2</f>
        <v>DESCRIPCION</v>
      </c>
      <c r="C50" s="120" t="str">
        <f>+PRECIO!C2</f>
        <v>UNI</v>
      </c>
      <c r="D50" s="120" t="str">
        <f>+PRECIO!D2</f>
        <v>&gt;12</v>
      </c>
      <c r="E50" s="120" t="str">
        <f>+PRECIO!E2</f>
        <v>&gt;25</v>
      </c>
      <c r="F50" s="269" t="str">
        <f>+PRECIO!O2</f>
        <v>VALOR</v>
      </c>
    </row>
    <row r="51" spans="1:6" x14ac:dyDescent="0.3">
      <c r="A51" s="122">
        <v>266</v>
      </c>
      <c r="B51" s="123" t="str">
        <f>INDEX(PRECIO!B3:B375, MATCH(A51, PRECIO!A3:A375, 0))</f>
        <v>CAMI POLO |PIKE|T26-30│NIÑO|DTF LOGO</v>
      </c>
      <c r="C51" s="124">
        <f>INDEX(PRECIO!C3:C375, MATCH(A51, PRECIO!A3:A375, 0))</f>
        <v>10</v>
      </c>
      <c r="D51" s="124">
        <f>INDEX(PRECIO!D3:D375, MATCH(A51, PRECIO!A3:A375, 0))</f>
        <v>8</v>
      </c>
      <c r="E51" s="124">
        <f>INDEX(PRECIO!E3:E375, MATCH(A51, PRECIO!A3:A375, 0))</f>
        <v>7</v>
      </c>
      <c r="F51" s="201">
        <f>INDEX(PRECIO!O3:O375, MATCH(A51, PRECIO!A3:A375, 0))</f>
        <v>0</v>
      </c>
    </row>
    <row r="52" spans="1:6" x14ac:dyDescent="0.3">
      <c r="A52" s="122">
        <v>267</v>
      </c>
      <c r="B52" s="123" t="str">
        <f>INDEX(PRECIO!B3:B375, MATCH(A52, PRECIO!A3:A375, 0))</f>
        <v>CAMI POLO|PIKE|T32-36│NIÑO|DTF LOGO</v>
      </c>
      <c r="C52" s="124">
        <f>INDEX(PRECIO!C3:C375, MATCH(A52, PRECIO!A3:A375, 0))</f>
        <v>11</v>
      </c>
      <c r="D52" s="124">
        <f>INDEX(PRECIO!D3:D375, MATCH(A52, PRECIO!A3:A375, 0))</f>
        <v>9</v>
      </c>
      <c r="E52" s="124">
        <f>INDEX(PRECIO!E3:E375, MATCH(A52, PRECIO!A3:A375, 0))</f>
        <v>8</v>
      </c>
      <c r="F52" s="201">
        <f>INDEX(PRECIO!O3:O375, MATCH(A52, PRECIO!A3:A375, 0))</f>
        <v>0</v>
      </c>
    </row>
    <row r="53" spans="1:6" x14ac:dyDescent="0.3">
      <c r="A53" s="125">
        <v>268</v>
      </c>
      <c r="B53" s="126" t="str">
        <f>INDEX(PRECIO!B3:B375, MATCH(A53, PRECIO!A3:A375, 0))</f>
        <v>CAMI POLO |PIKE|T38-42|JOV|DTF LOGO</v>
      </c>
      <c r="C53" s="127">
        <f>INDEX(PRECIO!C3:C375, MATCH(A53, PRECIO!A3:A375, 0))</f>
        <v>12</v>
      </c>
      <c r="D53" s="127">
        <f>INDEX(PRECIO!D3:D375, MATCH(A53, PRECIO!A3:A375, 0))</f>
        <v>10</v>
      </c>
      <c r="E53" s="127">
        <f>INDEX(PRECIO!E3:E375, MATCH(A53, PRECIO!A3:A375, 0))</f>
        <v>9</v>
      </c>
      <c r="F53" s="201">
        <f>INDEX(PRECIO!O3:O375, MATCH(A53, PRECIO!A3:A375, 0))</f>
        <v>0</v>
      </c>
    </row>
    <row r="54" spans="1:6" x14ac:dyDescent="0.3">
      <c r="A54" s="135">
        <v>230</v>
      </c>
      <c r="B54" s="182" t="str">
        <f>INDEX(PRECIO!B3:B375, MATCH(A54, PRECIO!A3:A375, 0))</f>
        <v>CAMI POLO |PIKE|TXS-XL | DTF LOGO</v>
      </c>
      <c r="C54" s="136">
        <f>INDEX(PRECIO!C3:C375, MATCH(A54, PRECIO!A3:A375, 0))</f>
        <v>13</v>
      </c>
      <c r="D54" s="136">
        <f>INDEX(PRECIO!D3:D375, MATCH(A54, PRECIO!A3:A375, 0))</f>
        <v>11</v>
      </c>
      <c r="E54" s="136">
        <f>INDEX(PRECIO!E3:E375, MATCH(A54, PRECIO!A3:A375, 0))</f>
        <v>10</v>
      </c>
      <c r="F54" s="201">
        <f>INDEX(PRECIO!O3:O375, MATCH(A54, PRECIO!A3:A375, 0))</f>
        <v>8.59</v>
      </c>
    </row>
    <row r="55" spans="1:6" x14ac:dyDescent="0.3">
      <c r="A55" s="135">
        <v>231</v>
      </c>
      <c r="B55" s="182" t="str">
        <f>INDEX(PRECIO!B3:B375, MATCH(A55, PRECIO!A3:A375, 0))</f>
        <v>CAMI POLO |PIKE|T2XL | DTF LOGO</v>
      </c>
      <c r="C55" s="136">
        <f>INDEX(PRECIO!C3:C375, MATCH(A55, PRECIO!A3:A375, 0))</f>
        <v>17</v>
      </c>
      <c r="D55" s="136">
        <f>INDEX(PRECIO!D3:D375, MATCH(A55, PRECIO!A3:A375, 0))</f>
        <v>15</v>
      </c>
      <c r="E55" s="136">
        <f>INDEX(PRECIO!E3:E375, MATCH(A55, PRECIO!A3:A375, 0))</f>
        <v>14</v>
      </c>
      <c r="F55" s="201">
        <f>INDEX(PRECIO!O3:O375, MATCH(A55, PRECIO!A3:A375, 0))</f>
        <v>0</v>
      </c>
    </row>
    <row r="56" spans="1:6" x14ac:dyDescent="0.3">
      <c r="A56" s="135">
        <v>232</v>
      </c>
      <c r="B56" s="182" t="str">
        <f>INDEX(PRECIO!B3:B375, MATCH(A56, PRECIO!A3:A375, 0))</f>
        <v>CAMI POLO |PIKE|T3XL | DTF LOGO</v>
      </c>
      <c r="C56" s="136">
        <f>INDEX(PRECIO!C3:C375, MATCH(A56, PRECIO!A3:A375, 0))</f>
        <v>18</v>
      </c>
      <c r="D56" s="136">
        <f>INDEX(PRECIO!D3:D375, MATCH(A56, PRECIO!A3:A375, 0))</f>
        <v>16</v>
      </c>
      <c r="E56" s="136">
        <f>INDEX(PRECIO!E3:E375, MATCH(A56, PRECIO!A3:A375, 0))</f>
        <v>15</v>
      </c>
      <c r="F56" s="201">
        <f>INDEX(PRECIO!O3:O375, MATCH(A56, PRECIO!A3:A375, 0))</f>
        <v>0</v>
      </c>
    </row>
    <row r="57" spans="1:6" x14ac:dyDescent="0.3">
      <c r="A57" s="135">
        <v>233</v>
      </c>
      <c r="B57" s="182" t="str">
        <f>INDEX(PRECIO!B3:B375, MATCH(A57, PRECIO!A3:A375, 0))</f>
        <v>CAMI POLO |PIKE|T4XL | DTF LOGO</v>
      </c>
      <c r="C57" s="136">
        <f>INDEX(PRECIO!C3:C375, MATCH(A57, PRECIO!A3:A375, 0))</f>
        <v>19</v>
      </c>
      <c r="D57" s="136">
        <f>INDEX(PRECIO!D3:D375, MATCH(A57, PRECIO!A3:A375, 0))</f>
        <v>17</v>
      </c>
      <c r="E57" s="136">
        <f>INDEX(PRECIO!E3:E375, MATCH(A57, PRECIO!A3:A375, 0))</f>
        <v>16</v>
      </c>
      <c r="F57" s="201">
        <f>INDEX(PRECIO!O3:O375, MATCH(A57, PRECIO!A3:A375, 0))</f>
        <v>0</v>
      </c>
    </row>
    <row r="58" spans="1:6" x14ac:dyDescent="0.3">
      <c r="A58" s="135">
        <v>234</v>
      </c>
      <c r="B58" s="182" t="str">
        <f>INDEX(PRECIO!B3:B375, MATCH(A58, PRECIO!A3:A375, 0))</f>
        <v>CAMI POLO |PIKE|T5XL | DTF LOGO</v>
      </c>
      <c r="C58" s="136">
        <f>INDEX(PRECIO!C3:C375, MATCH(A58, PRECIO!A3:A375, 0))</f>
        <v>20</v>
      </c>
      <c r="D58" s="136">
        <f>INDEX(PRECIO!D3:D375, MATCH(A58, PRECIO!A3:A375, 0))</f>
        <v>18</v>
      </c>
      <c r="E58" s="136">
        <f>INDEX(PRECIO!E3:E375, MATCH(A58, PRECIO!A3:A375, 0))</f>
        <v>17</v>
      </c>
      <c r="F58" s="201">
        <f>INDEX(PRECIO!O3:O375, MATCH(A58, PRECIO!A3:A375, 0))</f>
        <v>0</v>
      </c>
    </row>
    <row r="59" spans="1:6" x14ac:dyDescent="0.3">
      <c r="A59" s="135">
        <v>235</v>
      </c>
      <c r="B59" s="182" t="str">
        <f>INDEX(PRECIO!B3:B375, MATCH(A59, PRECIO!A3:A375, 0))</f>
        <v>CAMI POLO |PIKE|T6XL | DTF LOGO</v>
      </c>
      <c r="C59" s="136">
        <f>INDEX(PRECIO!C3:C375, MATCH(A59, PRECIO!A3:A375, 0))</f>
        <v>21</v>
      </c>
      <c r="D59" s="136">
        <f>INDEX(PRECIO!D3:D375, MATCH(A59, PRECIO!A3:A375, 0))</f>
        <v>19</v>
      </c>
      <c r="E59" s="136">
        <f>INDEX(PRECIO!E3:E375, MATCH(A59, PRECIO!A3:A375, 0))</f>
        <v>18</v>
      </c>
      <c r="F59" s="201">
        <f>INDEX(PRECIO!O3:O375, MATCH(A59, PRECIO!A3:A375, 0))</f>
        <v>0</v>
      </c>
    </row>
    <row r="60" spans="1:6" x14ac:dyDescent="0.3">
      <c r="A60" s="135">
        <v>236</v>
      </c>
      <c r="B60" s="182" t="str">
        <f>INDEX(PRECIO!B3:B375, MATCH(A60, PRECIO!A3:A375, 0))</f>
        <v>CAMI POLO |PIKE|T7XL | DTF LOGO</v>
      </c>
      <c r="C60" s="136">
        <f>INDEX(PRECIO!C3:C375, MATCH(A60, PRECIO!A3:A375, 0))</f>
        <v>22</v>
      </c>
      <c r="D60" s="136">
        <f>INDEX(PRECIO!D3:D375, MATCH(A60, PRECIO!A3:A375, 0))</f>
        <v>18</v>
      </c>
      <c r="E60" s="136">
        <f>INDEX(PRECIO!E3:E375, MATCH(A60, PRECIO!A3:A375, 0))</f>
        <v>17</v>
      </c>
      <c r="F60" s="201">
        <f>INDEX(PRECIO!O3:O375, MATCH(A60, PRECIO!A3:A375, 0))</f>
        <v>0</v>
      </c>
    </row>
    <row r="61" spans="1:6" x14ac:dyDescent="0.3">
      <c r="A61" s="135">
        <v>264</v>
      </c>
      <c r="B61" s="182" t="str">
        <f>INDEX(PRECIO!B3:B375, MATCH(A61, PRECIO!A3:A375, 0))</f>
        <v>CAMI POLO |PIKE|T8XL | DTF LOGO</v>
      </c>
      <c r="C61" s="136">
        <f>INDEX(PRECIO!C3:C375, MATCH(A61, PRECIO!A3:A375, 0))</f>
        <v>22</v>
      </c>
      <c r="D61" s="136">
        <f>INDEX(PRECIO!D3:D375, MATCH(A61, PRECIO!A3:A375, 0))</f>
        <v>18</v>
      </c>
      <c r="E61" s="136">
        <f>INDEX(PRECIO!E3:E375, MATCH(A61, PRECIO!A3:A375, 0))</f>
        <v>17</v>
      </c>
      <c r="F61" s="201">
        <f>INDEX(PRECIO!O3:O375, MATCH(A61, PRECIO!A3:A375, 0))</f>
        <v>0</v>
      </c>
    </row>
    <row r="62" spans="1:6" x14ac:dyDescent="0.3">
      <c r="A62" s="135">
        <v>265</v>
      </c>
      <c r="B62" s="182" t="str">
        <f>INDEX(PRECIO!B3:B375, MATCH(A62, PRECIO!A3:A375, 0))</f>
        <v>CAMI POLO |PIKE|T9XL | DTF LOGO</v>
      </c>
      <c r="C62" s="136">
        <f>INDEX(PRECIO!C3:C375, MATCH(A62, PRECIO!A3:A375, 0))</f>
        <v>22</v>
      </c>
      <c r="D62" s="136">
        <f>INDEX(PRECIO!D3:D375, MATCH(A62, PRECIO!A3:A375, 0))</f>
        <v>18</v>
      </c>
      <c r="E62" s="136">
        <f>INDEX(PRECIO!E3:E375, MATCH(A62, PRECIO!A3:A375, 0))</f>
        <v>17</v>
      </c>
      <c r="F62" s="201">
        <f>INDEX(PRECIO!O3:O375, MATCH(A62, PRECIO!A3:A375, 0))</f>
        <v>0</v>
      </c>
    </row>
    <row r="63" spans="1:6" ht="25.8" x14ac:dyDescent="0.3">
      <c r="A63" s="285" t="s">
        <v>343</v>
      </c>
      <c r="B63" s="285"/>
      <c r="C63" s="285"/>
      <c r="D63" s="285"/>
      <c r="E63" s="285"/>
      <c r="F63" s="270"/>
    </row>
    <row r="64" spans="1:6" x14ac:dyDescent="0.3">
      <c r="A64" s="120" t="str">
        <f>+PRECIO!A2</f>
        <v>COD.</v>
      </c>
      <c r="B64" s="121" t="str">
        <f>+PRECIO!B2</f>
        <v>DESCRIPCION</v>
      </c>
      <c r="C64" s="120" t="str">
        <f>+PRECIO!C2</f>
        <v>UNI</v>
      </c>
      <c r="D64" s="121" t="str">
        <f>+PRECIO!D2</f>
        <v>&gt;12</v>
      </c>
      <c r="E64" s="120" t="str">
        <f>+PRECIO!E2</f>
        <v>&gt;25</v>
      </c>
      <c r="F64" s="269" t="str">
        <f>+PRECIO!O2</f>
        <v>VALOR</v>
      </c>
    </row>
    <row r="65" spans="1:6" x14ac:dyDescent="0.3">
      <c r="A65" s="131">
        <v>466</v>
      </c>
      <c r="B65" s="132" t="str">
        <f>INDEX(PRECIO!$B$3:$B$935, MATCH(A65, PRECIO!$A$3:$A$935, 0))</f>
        <v>CAMI MAO|TXS-XL |SUBLI</v>
      </c>
      <c r="C65" s="133">
        <f>INDEX(PRECIO!$C$3:$C$935, MATCH(A65, PRECIO!$A$3:$A$935, 0))</f>
        <v>14</v>
      </c>
      <c r="D65" s="133">
        <f>INDEX(PRECIO!$D$3:$D$935, MATCH(A65, PRECIO!$A$3:$A$935, 0))</f>
        <v>12</v>
      </c>
      <c r="E65" s="133">
        <f>INDEX(PRECIO!$E$3:$E$935, MATCH(A65, PRECIO!$A$3:$A$935, 0))</f>
        <v>11</v>
      </c>
      <c r="F65" s="201">
        <f>INDEX(PRECIO!$O$3:$O$935, MATCH(A65, PRECIO!$A$3:$A$935, 0))</f>
        <v>9.7799999999999994</v>
      </c>
    </row>
    <row r="66" spans="1:6" x14ac:dyDescent="0.3">
      <c r="A66" s="131">
        <v>467</v>
      </c>
      <c r="B66" s="132" t="str">
        <f>INDEX(PRECIO!$B$3:$B$935, MATCH(A66, PRECIO!$A$3:$A$935, 0))</f>
        <v>CAMI MAO|T2XL |SUBLI</v>
      </c>
      <c r="C66" s="133">
        <f>INDEX(PRECIO!$C$3:$C$935, MATCH(A66, PRECIO!$A$3:$A$935, 0))</f>
        <v>15</v>
      </c>
      <c r="D66" s="133">
        <f>INDEX(PRECIO!$D$3:$D$935, MATCH(A66, PRECIO!$A$3:$A$935, 0))</f>
        <v>13</v>
      </c>
      <c r="E66" s="133">
        <f>INDEX(PRECIO!$E$3:$E$935, MATCH(A66, PRECIO!$A$3:$A$935, 0))</f>
        <v>12</v>
      </c>
      <c r="F66" s="201">
        <f>INDEX(PRECIO!$O$3:$O$935, MATCH(A66, PRECIO!$A$3:$A$935, 0))</f>
        <v>0</v>
      </c>
    </row>
    <row r="67" spans="1:6" x14ac:dyDescent="0.3">
      <c r="A67" s="131">
        <v>468</v>
      </c>
      <c r="B67" s="132" t="str">
        <f>INDEX(PRECIO!$B$3:$B$935, MATCH(A67, PRECIO!$A$3:$A$935, 0))</f>
        <v>CAMI MAO|T3XL |SUBLI</v>
      </c>
      <c r="C67" s="133">
        <f>INDEX(PRECIO!$C$3:$C$935, MATCH(A67, PRECIO!$A$3:$A$935, 0))</f>
        <v>16</v>
      </c>
      <c r="D67" s="133">
        <f>INDEX(PRECIO!$D$3:$D$935, MATCH(A67, PRECIO!$A$3:$A$935, 0))</f>
        <v>14</v>
      </c>
      <c r="E67" s="133">
        <f>INDEX(PRECIO!$E$3:$E$935, MATCH(A67, PRECIO!$A$3:$A$935, 0))</f>
        <v>13</v>
      </c>
      <c r="F67" s="201">
        <f>INDEX(PRECIO!$O$3:$O$935, MATCH(A67, PRECIO!$A$3:$A$935, 0))</f>
        <v>0</v>
      </c>
    </row>
    <row r="68" spans="1:6" x14ac:dyDescent="0.3">
      <c r="A68" s="131">
        <v>469</v>
      </c>
      <c r="B68" s="132" t="str">
        <f>INDEX(PRECIO!$B$3:$B$935, MATCH(A68, PRECIO!$A$3:$A$935, 0))</f>
        <v>CAMI MAO|T4XL |SUBLI</v>
      </c>
      <c r="C68" s="133">
        <f>INDEX(PRECIO!$C$3:$C$935, MATCH(A68, PRECIO!$A$3:$A$935, 0))</f>
        <v>17</v>
      </c>
      <c r="D68" s="133">
        <f>INDEX(PRECIO!$D$3:$D$935, MATCH(A68, PRECIO!$A$3:$A$935, 0))</f>
        <v>15</v>
      </c>
      <c r="E68" s="133">
        <f>INDEX(PRECIO!$E$3:$E$935, MATCH(A68, PRECIO!$A$3:$A$935, 0))</f>
        <v>14</v>
      </c>
      <c r="F68" s="201">
        <f>INDEX(PRECIO!$O$3:$O$935, MATCH(A68, PRECIO!$A$3:$A$935, 0))</f>
        <v>0</v>
      </c>
    </row>
    <row r="69" spans="1:6" x14ac:dyDescent="0.3">
      <c r="A69" s="131">
        <v>470</v>
      </c>
      <c r="B69" s="132" t="str">
        <f>INDEX(PRECIO!$B$3:$B$935, MATCH(A69, PRECIO!$A$3:$A$935, 0))</f>
        <v>CAMI MAO|T5XL |SUBLI</v>
      </c>
      <c r="C69" s="133">
        <f>INDEX(PRECIO!$C$3:$C$935, MATCH(A69, PRECIO!$A$3:$A$935, 0))</f>
        <v>18</v>
      </c>
      <c r="D69" s="133">
        <f>INDEX(PRECIO!$D$3:$D$935, MATCH(A69, PRECIO!$A$3:$A$935, 0))</f>
        <v>16</v>
      </c>
      <c r="E69" s="133">
        <f>INDEX(PRECIO!$E$3:$E$935, MATCH(A69, PRECIO!$A$3:$A$935, 0))</f>
        <v>15</v>
      </c>
      <c r="F69" s="201">
        <f>INDEX(PRECIO!$O$3:$O$935, MATCH(A69, PRECIO!$A$3:$A$935, 0))</f>
        <v>0</v>
      </c>
    </row>
    <row r="70" spans="1:6" x14ac:dyDescent="0.3">
      <c r="A70" s="131">
        <v>471</v>
      </c>
      <c r="B70" s="132" t="str">
        <f>INDEX(PRECIO!$B$3:$B$935, MATCH(A70, PRECIO!$A$3:$A$935, 0))</f>
        <v>CAMI MAO|T6XL |SUBLI</v>
      </c>
      <c r="C70" s="133">
        <f>INDEX(PRECIO!$C$3:$C$935, MATCH(A70, PRECIO!$A$3:$A$935, 0))</f>
        <v>19</v>
      </c>
      <c r="D70" s="133">
        <f>INDEX(PRECIO!$D$3:$D$935, MATCH(A70, PRECIO!$A$3:$A$935, 0))</f>
        <v>17</v>
      </c>
      <c r="E70" s="133">
        <f>INDEX(PRECIO!$E$3:$E$935, MATCH(A70, PRECIO!$A$3:$A$935, 0))</f>
        <v>16</v>
      </c>
      <c r="F70" s="201">
        <f>INDEX(PRECIO!$O$3:$O$935, MATCH(A70, PRECIO!$A$3:$A$935, 0))</f>
        <v>0</v>
      </c>
    </row>
    <row r="71" spans="1:6" x14ac:dyDescent="0.3">
      <c r="A71" s="131">
        <v>472</v>
      </c>
      <c r="B71" s="132" t="str">
        <f>INDEX(PRECIO!$B$3:$B$935, MATCH(A71, PRECIO!$A$3:$A$935, 0))</f>
        <v>CAMI MAO|T7XL |SUBLI</v>
      </c>
      <c r="C71" s="133">
        <f>INDEX(PRECIO!$C$3:$C$935, MATCH(A71, PRECIO!$A$3:$A$935, 0))</f>
        <v>20</v>
      </c>
      <c r="D71" s="133">
        <f>INDEX(PRECIO!$D$3:$D$935, MATCH(A71, PRECIO!$A$3:$A$935, 0))</f>
        <v>18</v>
      </c>
      <c r="E71" s="133">
        <f>INDEX(PRECIO!$E$3:$E$935, MATCH(A71, PRECIO!$A$3:$A$935, 0))</f>
        <v>17</v>
      </c>
      <c r="F71" s="201">
        <f>INDEX(PRECIO!$O$3:$O$935, MATCH(A71, PRECIO!$A$3:$A$935, 0))</f>
        <v>0</v>
      </c>
    </row>
    <row r="72" spans="1:6" x14ac:dyDescent="0.3">
      <c r="A72" s="131">
        <v>473</v>
      </c>
      <c r="B72" s="132" t="str">
        <f>INDEX(PRECIO!$B$3:$B$935, MATCH(A72, PRECIO!$A$3:$A$935, 0))</f>
        <v>CAMI MAO|T8XL |SUBLI</v>
      </c>
      <c r="C72" s="133">
        <f>INDEX(PRECIO!$C$3:$C$935, MATCH(A72, PRECIO!$A$3:$A$935, 0))</f>
        <v>21</v>
      </c>
      <c r="D72" s="133">
        <f>INDEX(PRECIO!$D$3:$D$935, MATCH(A72, PRECIO!$A$3:$A$935, 0))</f>
        <v>19</v>
      </c>
      <c r="E72" s="133">
        <f>INDEX(PRECIO!$E$3:$E$935, MATCH(A72, PRECIO!$A$3:$A$935, 0))</f>
        <v>18</v>
      </c>
      <c r="F72" s="201">
        <f>INDEX(PRECIO!$O$3:$O$935, MATCH(A72, PRECIO!$A$3:$A$935, 0))</f>
        <v>0</v>
      </c>
    </row>
    <row r="73" spans="1:6" x14ac:dyDescent="0.3">
      <c r="A73" s="131">
        <v>474</v>
      </c>
      <c r="B73" s="132" t="str">
        <f>INDEX(PRECIO!$B$3:$B$935, MATCH(A73, PRECIO!$A$3:$A$935, 0))</f>
        <v>CAMI MAO|T9XL |SUBLI</v>
      </c>
      <c r="C73" s="133">
        <f>INDEX(PRECIO!$C$3:$C$935, MATCH(A73, PRECIO!$A$3:$A$935, 0))</f>
        <v>22</v>
      </c>
      <c r="D73" s="133">
        <f>INDEX(PRECIO!$D$3:$D$935, MATCH(A73, PRECIO!$A$3:$A$935, 0))</f>
        <v>20</v>
      </c>
      <c r="E73" s="133">
        <f>INDEX(PRECIO!$E$3:$E$935, MATCH(A73, PRECIO!$A$3:$A$935, 0))</f>
        <v>19</v>
      </c>
      <c r="F73" s="201">
        <f>INDEX(PRECIO!$O$3:$O$935, MATCH(A73, PRECIO!$A$3:$A$935, 0))</f>
        <v>0</v>
      </c>
    </row>
    <row r="74" spans="1:6" s="215" customFormat="1" x14ac:dyDescent="0.3">
      <c r="A74" s="213"/>
      <c r="B74" s="214"/>
      <c r="C74" s="213"/>
      <c r="D74" s="213"/>
      <c r="E74" s="213"/>
      <c r="F74" s="198"/>
    </row>
    <row r="75" spans="1:6" s="215" customFormat="1" x14ac:dyDescent="0.3">
      <c r="A75" s="213"/>
      <c r="B75" s="214"/>
      <c r="C75" s="213"/>
      <c r="D75" s="213"/>
      <c r="E75" s="213"/>
      <c r="F75" s="198"/>
    </row>
    <row r="76" spans="1:6" ht="25.8" x14ac:dyDescent="0.3">
      <c r="A76" s="283" t="s">
        <v>1049</v>
      </c>
      <c r="B76" s="283"/>
      <c r="C76" s="283"/>
      <c r="D76" s="283"/>
      <c r="E76" s="283"/>
      <c r="F76" s="272"/>
    </row>
    <row r="77" spans="1:6" x14ac:dyDescent="0.3">
      <c r="A77" s="120" t="str">
        <f>+PRECIO!A2</f>
        <v>COD.</v>
      </c>
      <c r="B77" s="120" t="str">
        <f>+PRECIO!B2</f>
        <v>DESCRIPCION</v>
      </c>
      <c r="C77" s="120" t="str">
        <f>+PRECIO!C2</f>
        <v>UNI</v>
      </c>
      <c r="D77" s="120" t="str">
        <f>+PRECIO!D2</f>
        <v>&gt;12</v>
      </c>
      <c r="E77" s="120" t="str">
        <f>+PRECIO!E2</f>
        <v>&gt;25</v>
      </c>
      <c r="F77" s="269" t="str">
        <f>+PRECIO!O2</f>
        <v>VALOR</v>
      </c>
    </row>
    <row r="78" spans="1:6" x14ac:dyDescent="0.3">
      <c r="A78" s="131">
        <v>466</v>
      </c>
      <c r="B78" s="132" t="str">
        <f>INDEX(PRECIO!$B$3:$B$933, MATCH(A78, PRECIO!$A$3:$A$933, 0))</f>
        <v>CAMI MAO|TXS-XL |SUBLI</v>
      </c>
      <c r="C78" s="133">
        <f>INDEX(PRECIO!$C$3:$C$933, MATCH(A78, PRECIO!$A$3:$A$933, 0))</f>
        <v>14</v>
      </c>
      <c r="D78" s="133">
        <f>INDEX(PRECIO!$D$3:$D$933, MATCH(A78, PRECIO!$A$3:$A$933, 0))</f>
        <v>12</v>
      </c>
      <c r="E78" s="133">
        <f>INDEX(PRECIO!$E$3:$E$933, MATCH(A78, PRECIO!$A$3:$A$933, 0))</f>
        <v>11</v>
      </c>
      <c r="F78" s="201">
        <f>INDEX(PRECIO!$O$3:$O$933, MATCH(A78, PRECIO!$A$3:$A$933, 0))</f>
        <v>9.7799999999999994</v>
      </c>
    </row>
    <row r="79" spans="1:6" x14ac:dyDescent="0.3">
      <c r="A79" s="131">
        <v>467</v>
      </c>
      <c r="B79" s="132" t="str">
        <f>INDEX(PRECIO!$B$3:$B$933, MATCH(A79, PRECIO!$A$3:$A$933, 0))</f>
        <v>CAMI MAO|T2XL |SUBLI</v>
      </c>
      <c r="C79" s="133">
        <f>INDEX(PRECIO!$C$3:$C$933, MATCH(A79, PRECIO!$A$3:$A$933, 0))</f>
        <v>15</v>
      </c>
      <c r="D79" s="133">
        <f>INDEX(PRECIO!$D$3:$D$933, MATCH(A79, PRECIO!$A$3:$A$933, 0))</f>
        <v>13</v>
      </c>
      <c r="E79" s="133">
        <f>INDEX(PRECIO!$E$3:$E$933, MATCH(A79, PRECIO!$A$3:$A$933, 0))</f>
        <v>12</v>
      </c>
      <c r="F79" s="201">
        <f>INDEX(PRECIO!$O$3:$O$933, MATCH(A79, PRECIO!$A$3:$A$933, 0))</f>
        <v>0</v>
      </c>
    </row>
    <row r="80" spans="1:6" x14ac:dyDescent="0.3">
      <c r="A80" s="131">
        <v>468</v>
      </c>
      <c r="B80" s="132" t="str">
        <f>INDEX(PRECIO!$B$3:$B$933, MATCH(A80, PRECIO!$A$3:$A$933, 0))</f>
        <v>CAMI MAO|T3XL |SUBLI</v>
      </c>
      <c r="C80" s="133">
        <f>INDEX(PRECIO!$C$3:$C$933, MATCH(A80, PRECIO!$A$3:$A$933, 0))</f>
        <v>16</v>
      </c>
      <c r="D80" s="133">
        <f>INDEX(PRECIO!$D$3:$D$933, MATCH(A80, PRECIO!$A$3:$A$933, 0))</f>
        <v>14</v>
      </c>
      <c r="E80" s="133">
        <f>INDEX(PRECIO!$E$3:$E$933, MATCH(A80, PRECIO!$A$3:$A$933, 0))</f>
        <v>13</v>
      </c>
      <c r="F80" s="201">
        <f>INDEX(PRECIO!$O$3:$O$933, MATCH(A80, PRECIO!$A$3:$A$933, 0))</f>
        <v>0</v>
      </c>
    </row>
    <row r="81" spans="1:6" x14ac:dyDescent="0.3">
      <c r="A81" s="131">
        <v>469</v>
      </c>
      <c r="B81" s="132" t="str">
        <f>INDEX(PRECIO!$B$3:$B$933, MATCH(A81, PRECIO!$A$3:$A$933, 0))</f>
        <v>CAMI MAO|T4XL |SUBLI</v>
      </c>
      <c r="C81" s="133">
        <f>INDEX(PRECIO!$C$3:$C$933, MATCH(A81, PRECIO!$A$3:$A$933, 0))</f>
        <v>17</v>
      </c>
      <c r="D81" s="133">
        <f>INDEX(PRECIO!$D$3:$D$933, MATCH(A81, PRECIO!$A$3:$A$933, 0))</f>
        <v>15</v>
      </c>
      <c r="E81" s="133">
        <f>INDEX(PRECIO!$E$3:$E$933, MATCH(A81, PRECIO!$A$3:$A$933, 0))</f>
        <v>14</v>
      </c>
      <c r="F81" s="201">
        <f>INDEX(PRECIO!$O$3:$O$933, MATCH(A81, PRECIO!$A$3:$A$933, 0))</f>
        <v>0</v>
      </c>
    </row>
    <row r="82" spans="1:6" x14ac:dyDescent="0.3">
      <c r="A82" s="131">
        <v>470</v>
      </c>
      <c r="B82" s="132" t="str">
        <f>INDEX(PRECIO!$B$3:$B$933, MATCH(A82, PRECIO!$A$3:$A$933, 0))</f>
        <v>CAMI MAO|T5XL |SUBLI</v>
      </c>
      <c r="C82" s="133">
        <f>INDEX(PRECIO!$C$3:$C$933, MATCH(A82, PRECIO!$A$3:$A$933, 0))</f>
        <v>18</v>
      </c>
      <c r="D82" s="133">
        <f>INDEX(PRECIO!$D$3:$D$933, MATCH(A82, PRECIO!$A$3:$A$933, 0))</f>
        <v>16</v>
      </c>
      <c r="E82" s="133">
        <f>INDEX(PRECIO!$E$3:$E$933, MATCH(A82, PRECIO!$A$3:$A$933, 0))</f>
        <v>15</v>
      </c>
      <c r="F82" s="201">
        <f>INDEX(PRECIO!$O$3:$O$933, MATCH(A82, PRECIO!$A$3:$A$933, 0))</f>
        <v>0</v>
      </c>
    </row>
    <row r="83" spans="1:6" x14ac:dyDescent="0.3">
      <c r="A83" s="131">
        <v>471</v>
      </c>
      <c r="B83" s="132" t="str">
        <f>INDEX(PRECIO!$B$3:$B$933, MATCH(A83, PRECIO!$A$3:$A$933, 0))</f>
        <v>CAMI MAO|T6XL |SUBLI</v>
      </c>
      <c r="C83" s="133">
        <f>INDEX(PRECIO!$C$3:$C$933, MATCH(A83, PRECIO!$A$3:$A$933, 0))</f>
        <v>19</v>
      </c>
      <c r="D83" s="133">
        <f>INDEX(PRECIO!$D$3:$D$933, MATCH(A83, PRECIO!$A$3:$A$933, 0))</f>
        <v>17</v>
      </c>
      <c r="E83" s="133">
        <f>INDEX(PRECIO!$E$3:$E$933, MATCH(A83, PRECIO!$A$3:$A$933, 0))</f>
        <v>16</v>
      </c>
      <c r="F83" s="201">
        <f>INDEX(PRECIO!$O$3:$O$933, MATCH(A83, PRECIO!$A$3:$A$933, 0))</f>
        <v>0</v>
      </c>
    </row>
    <row r="84" spans="1:6" x14ac:dyDescent="0.3">
      <c r="A84" s="131">
        <v>472</v>
      </c>
      <c r="B84" s="132" t="str">
        <f>INDEX(PRECIO!$B$3:$B$933, MATCH(A84, PRECIO!$A$3:$A$933, 0))</f>
        <v>CAMI MAO|T7XL |SUBLI</v>
      </c>
      <c r="C84" s="133">
        <f>INDEX(PRECIO!$C$3:$C$933, MATCH(A84, PRECIO!$A$3:$A$933, 0))</f>
        <v>20</v>
      </c>
      <c r="D84" s="133">
        <f>INDEX(PRECIO!$D$3:$D$933, MATCH(A84, PRECIO!$A$3:$A$933, 0))</f>
        <v>18</v>
      </c>
      <c r="E84" s="133">
        <f>INDEX(PRECIO!$E$3:$E$933, MATCH(A84, PRECIO!$A$3:$A$933, 0))</f>
        <v>17</v>
      </c>
      <c r="F84" s="201">
        <f>INDEX(PRECIO!$O$3:$O$933, MATCH(A84, PRECIO!$A$3:$A$933, 0))</f>
        <v>0</v>
      </c>
    </row>
    <row r="85" spans="1:6" x14ac:dyDescent="0.3">
      <c r="A85" s="131">
        <v>473</v>
      </c>
      <c r="B85" s="132" t="str">
        <f>INDEX(PRECIO!$B$3:$B$933, MATCH(A85, PRECIO!$A$3:$A$933, 0))</f>
        <v>CAMI MAO|T8XL |SUBLI</v>
      </c>
      <c r="C85" s="133">
        <f>INDEX(PRECIO!$C$3:$C$933, MATCH(A85, PRECIO!$A$3:$A$933, 0))</f>
        <v>21</v>
      </c>
      <c r="D85" s="133">
        <f>INDEX(PRECIO!$D$3:$D$933, MATCH(A85, PRECIO!$A$3:$A$933, 0))</f>
        <v>19</v>
      </c>
      <c r="E85" s="133">
        <f>INDEX(PRECIO!$E$3:$E$933, MATCH(A85, PRECIO!$A$3:$A$933, 0))</f>
        <v>18</v>
      </c>
      <c r="F85" s="201">
        <f>INDEX(PRECIO!$O$3:$O$933, MATCH(A85, PRECIO!$A$3:$A$933, 0))</f>
        <v>0</v>
      </c>
    </row>
    <row r="86" spans="1:6" x14ac:dyDescent="0.3">
      <c r="A86" s="131">
        <v>474</v>
      </c>
      <c r="B86" s="132" t="str">
        <f>INDEX(PRECIO!$B$3:$B$933, MATCH(A86, PRECIO!$A$3:$A$933, 0))</f>
        <v>CAMI MAO|T9XL |SUBLI</v>
      </c>
      <c r="C86" s="133">
        <f>INDEX(PRECIO!$C$3:$C$933, MATCH(A86, PRECIO!$A$3:$A$933, 0))</f>
        <v>22</v>
      </c>
      <c r="D86" s="133">
        <f>INDEX(PRECIO!$D$3:$D$933, MATCH(A86, PRECIO!$A$3:$A$933, 0))</f>
        <v>20</v>
      </c>
      <c r="E86" s="133">
        <f>INDEX(PRECIO!$E$3:$E$933, MATCH(A86, PRECIO!$A$3:$A$933, 0))</f>
        <v>19</v>
      </c>
      <c r="F86" s="201">
        <f>INDEX(PRECIO!$O$3:$O$933, MATCH(A86, PRECIO!$A$3:$A$933, 0))</f>
        <v>0</v>
      </c>
    </row>
  </sheetData>
  <mergeCells count="6">
    <mergeCell ref="A76:E76"/>
    <mergeCell ref="A16:E16"/>
    <mergeCell ref="A1:E1"/>
    <mergeCell ref="A30:E30"/>
    <mergeCell ref="A49:E49"/>
    <mergeCell ref="A63:E63"/>
  </mergeCells>
  <pageMargins left="0.70866141732283472" right="0.70866141732283472" top="0.74803149606299213" bottom="0.74803149606299213" header="0.31496062992125984" footer="0.31496062992125984"/>
  <pageSetup paperSize="9" scale="97" orientation="portrait" horizontalDpi="360" verticalDpi="360" r:id="rId1"/>
  <headerFooter>
    <oddFooter>&amp;R&amp;F &amp;P de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B5C5-9B00-4819-833D-EF7FE93296F4}">
  <sheetPr codeName="Hoja13"/>
  <dimension ref="A1:F36"/>
  <sheetViews>
    <sheetView topLeftCell="A31" zoomScaleNormal="100" workbookViewId="0">
      <selection activeCell="D56" sqref="D56"/>
    </sheetView>
  </sheetViews>
  <sheetFormatPr baseColWidth="10" defaultRowHeight="14.4" x14ac:dyDescent="0.3"/>
  <cols>
    <col min="1" max="1" width="11.44140625" style="109"/>
    <col min="2" max="2" width="44.5546875" style="110" bestFit="1" customWidth="1"/>
    <col min="3" max="6" width="11.44140625" style="109"/>
  </cols>
  <sheetData>
    <row r="1" spans="1:6" ht="25.8" x14ac:dyDescent="0.3">
      <c r="A1" s="286" t="s">
        <v>344</v>
      </c>
      <c r="B1" s="286"/>
      <c r="C1" s="286"/>
      <c r="D1" s="286"/>
      <c r="E1" s="286"/>
      <c r="F1" s="118"/>
    </row>
    <row r="2" spans="1:6" x14ac:dyDescent="0.3">
      <c r="A2" s="120" t="str">
        <f>+PRECIO!A2</f>
        <v>COD.</v>
      </c>
      <c r="B2" s="120" t="str">
        <f>+PRECIO!B2</f>
        <v>DESCRIPCION</v>
      </c>
      <c r="C2" s="120" t="str">
        <f>+PRECIO!C2</f>
        <v>UNI</v>
      </c>
      <c r="D2" s="120" t="str">
        <f>+PRECIO!D2</f>
        <v>&gt;12</v>
      </c>
      <c r="E2" s="120" t="str">
        <f>+PRECIO!E2</f>
        <v>&gt;25</v>
      </c>
      <c r="F2" s="134" t="str">
        <f>+PRECIO!O2</f>
        <v>VALOR</v>
      </c>
    </row>
    <row r="3" spans="1:6" x14ac:dyDescent="0.3">
      <c r="A3" s="111">
        <v>146</v>
      </c>
      <c r="B3" s="110" t="str">
        <f>INDEX(PRECIO!B3:B375, MATCH(A3, PRECIO!A3:A375, 0))</f>
        <v>BUZO POLO|DEPORT|TXS-XL│SUBLI</v>
      </c>
      <c r="C3" s="109">
        <f>INDEX(PRECIO!C3:C375, MATCH(A3, PRECIO!A3:A375, 0))</f>
        <v>16</v>
      </c>
      <c r="D3" s="109">
        <f>INDEX(PRECIO!D3:D375, MATCH(A3, PRECIO!A3:A375, 0))</f>
        <v>14</v>
      </c>
      <c r="E3" s="109">
        <f>INDEX(PRECIO!E3:E375, MATCH(A3, PRECIO!A3:A375, 0))</f>
        <v>13</v>
      </c>
      <c r="F3" s="109">
        <f>INDEX(PRECIO!O3:O375, MATCH(A3, PRECIO!A3:A375, 0))</f>
        <v>10.14</v>
      </c>
    </row>
    <row r="4" spans="1:6" x14ac:dyDescent="0.3">
      <c r="A4" s="111">
        <v>147</v>
      </c>
      <c r="B4" s="110" t="str">
        <f>INDEX(PRECIO!B3:B375, MATCH(A4, PRECIO!A3:A375, 0))</f>
        <v>BUZO POLO|DEPORT|T2XL│SUBLI</v>
      </c>
      <c r="C4" s="109">
        <f>INDEX(PRECIO!C3:C375, MATCH(A4, PRECIO!A3:A375, 0))</f>
        <v>17</v>
      </c>
      <c r="D4" s="109">
        <f>INDEX(PRECIO!D3:D375, MATCH(A4, PRECIO!A3:A375, 0))</f>
        <v>15</v>
      </c>
      <c r="E4" s="109">
        <f>INDEX(PRECIO!E3:E375, MATCH(A4, PRECIO!A3:A375, 0))</f>
        <v>14</v>
      </c>
      <c r="F4" s="109">
        <f>INDEX(PRECIO!O3:O375, MATCH(A4, PRECIO!A3:A375, 0))</f>
        <v>0</v>
      </c>
    </row>
    <row r="5" spans="1:6" x14ac:dyDescent="0.3">
      <c r="A5" s="111">
        <v>148</v>
      </c>
      <c r="B5" s="110" t="str">
        <f>INDEX(PRECIO!B3:B375, MATCH(A5, PRECIO!A3:A375, 0))</f>
        <v>BUZO POLO|DEPORT|T3XL│SUBLI</v>
      </c>
      <c r="C5" s="109">
        <f>INDEX(PRECIO!C3:C375, MATCH(A5, PRECIO!A3:A375, 0))</f>
        <v>18</v>
      </c>
      <c r="D5" s="109">
        <f>INDEX(PRECIO!D3:D375, MATCH(A5, PRECIO!A3:A375, 0))</f>
        <v>16</v>
      </c>
      <c r="E5" s="109">
        <f>INDEX(PRECIO!E3:E375, MATCH(A5, PRECIO!A3:A375, 0))</f>
        <v>15</v>
      </c>
      <c r="F5" s="109">
        <f>INDEX(PRECIO!O3:O375, MATCH(A5, PRECIO!A3:A375, 0))</f>
        <v>0</v>
      </c>
    </row>
    <row r="6" spans="1:6" x14ac:dyDescent="0.3">
      <c r="A6" s="111">
        <v>149</v>
      </c>
      <c r="B6" s="110" t="str">
        <f>INDEX(PRECIO!B3:B375, MATCH(A6, PRECIO!A3:A375, 0))</f>
        <v>BUZO POLO|DEPORT|T4XL│SUBLI</v>
      </c>
      <c r="C6" s="109">
        <f>INDEX(PRECIO!C3:C375, MATCH(A6, PRECIO!A3:A375, 0))</f>
        <v>19</v>
      </c>
      <c r="D6" s="109">
        <f>INDEX(PRECIO!D3:D375, MATCH(A6, PRECIO!A3:A375, 0))</f>
        <v>17</v>
      </c>
      <c r="E6" s="109">
        <f>INDEX(PRECIO!E3:E375, MATCH(A6, PRECIO!A3:A375, 0))</f>
        <v>16</v>
      </c>
      <c r="F6" s="109">
        <f>INDEX(PRECIO!O3:O375, MATCH(A6, PRECIO!A3:A375, 0))</f>
        <v>0</v>
      </c>
    </row>
    <row r="7" spans="1:6" x14ac:dyDescent="0.3">
      <c r="A7" s="111">
        <v>150</v>
      </c>
      <c r="B7" s="110" t="str">
        <f>INDEX(PRECIO!B3:B375, MATCH(A7, PRECIO!A3:A375, 0))</f>
        <v>BUZO POLO|DEPORT|T5XL│SUBLI</v>
      </c>
      <c r="C7" s="109">
        <f>INDEX(PRECIO!C3:C375, MATCH(A7, PRECIO!A3:A375, 0))</f>
        <v>20</v>
      </c>
      <c r="D7" s="109">
        <f>INDEX(PRECIO!D3:D375, MATCH(A7, PRECIO!A3:A375, 0))</f>
        <v>18</v>
      </c>
      <c r="E7" s="109">
        <f>INDEX(PRECIO!E3:E375, MATCH(A7, PRECIO!A3:A375, 0))</f>
        <v>17</v>
      </c>
      <c r="F7" s="109">
        <f>INDEX(PRECIO!O3:O375, MATCH(A7, PRECIO!A3:A375, 0))</f>
        <v>0</v>
      </c>
    </row>
    <row r="8" spans="1:6" x14ac:dyDescent="0.3">
      <c r="A8" s="111">
        <v>151</v>
      </c>
      <c r="B8" s="110" t="str">
        <f>INDEX(PRECIO!B3:B375, MATCH(A8, PRECIO!A3:A375, 0))</f>
        <v>BUZO POLO|DEPORT|T6XL│SUBLI</v>
      </c>
      <c r="C8" s="109">
        <f>INDEX(PRECIO!C3:C375, MATCH(A8, PRECIO!A3:A375, 0))</f>
        <v>21</v>
      </c>
      <c r="D8" s="109">
        <f>INDEX(PRECIO!D3:D375, MATCH(A8, PRECIO!A3:A375, 0))</f>
        <v>19</v>
      </c>
      <c r="E8" s="109">
        <f>INDEX(PRECIO!E3:E375, MATCH(A8, PRECIO!A3:A375, 0))</f>
        <v>18</v>
      </c>
      <c r="F8" s="109">
        <f>INDEX(PRECIO!O3:O375, MATCH(A8, PRECIO!A3:A375, 0))</f>
        <v>0</v>
      </c>
    </row>
    <row r="9" spans="1:6" x14ac:dyDescent="0.3">
      <c r="A9" s="111">
        <v>152</v>
      </c>
      <c r="B9" s="110" t="str">
        <f>INDEX(PRECIO!B3:B375, MATCH(A9, PRECIO!A3:A375, 0))</f>
        <v>BUZO POLO|DEPORT|T7XL│SUBLI</v>
      </c>
      <c r="C9" s="109">
        <f>INDEX(PRECIO!C3:C375, MATCH(A9, PRECIO!A3:A375, 0))</f>
        <v>22</v>
      </c>
      <c r="D9" s="109">
        <f>INDEX(PRECIO!D3:D375, MATCH(A9, PRECIO!A3:A375, 0))</f>
        <v>20</v>
      </c>
      <c r="E9" s="109">
        <f>INDEX(PRECIO!E3:E375, MATCH(A9, PRECIO!A3:A375, 0))</f>
        <v>19</v>
      </c>
      <c r="F9" s="109">
        <f>INDEX(PRECIO!O3:O375, MATCH(A9, PRECIO!A3:A375, 0))</f>
        <v>0</v>
      </c>
    </row>
    <row r="10" spans="1:6" x14ac:dyDescent="0.3">
      <c r="A10" s="111">
        <v>153</v>
      </c>
      <c r="B10" s="110" t="str">
        <f>INDEX(PRECIO!B3:B375, MATCH(A10, PRECIO!A3:A375, 0))</f>
        <v>BUZO POLO|DEPORT|T8XL│SUBLI</v>
      </c>
      <c r="C10" s="109">
        <f>INDEX(PRECIO!C3:C375, MATCH(A10, PRECIO!A3:A375, 0))</f>
        <v>23</v>
      </c>
      <c r="D10" s="109">
        <f>INDEX(PRECIO!D3:D375, MATCH(A10, PRECIO!A3:A375, 0))</f>
        <v>21</v>
      </c>
      <c r="E10" s="109">
        <f>INDEX(PRECIO!E3:E375, MATCH(A10, PRECIO!A3:A375, 0))</f>
        <v>20</v>
      </c>
      <c r="F10" s="109">
        <f>INDEX(PRECIO!O3:O375, MATCH(A10, PRECIO!A3:A375, 0))</f>
        <v>0</v>
      </c>
    </row>
    <row r="11" spans="1:6" x14ac:dyDescent="0.3">
      <c r="A11" s="111">
        <v>154</v>
      </c>
      <c r="B11" s="110" t="str">
        <f>INDEX(PRECIO!B3:B375, MATCH(A11, PRECIO!A3:A375, 0))</f>
        <v>BUZO POLO|DEPORT|T9XL│SUBLI</v>
      </c>
      <c r="C11" s="109">
        <f>INDEX(PRECIO!C3:C375, MATCH(A11, PRECIO!A3:A375, 0))</f>
        <v>24</v>
      </c>
      <c r="D11" s="109">
        <f>INDEX(PRECIO!D3:D375, MATCH(A11, PRECIO!A3:A375, 0))</f>
        <v>22</v>
      </c>
      <c r="E11" s="109">
        <f>INDEX(PRECIO!E3:E375, MATCH(A11, PRECIO!A3:A375, 0))</f>
        <v>21</v>
      </c>
      <c r="F11" s="109">
        <f>INDEX(PRECIO!O3:O375, MATCH(A11, PRECIO!A3:A375, 0))</f>
        <v>0</v>
      </c>
    </row>
    <row r="12" spans="1:6" x14ac:dyDescent="0.3">
      <c r="A12" s="111"/>
    </row>
    <row r="13" spans="1:6" ht="25.8" x14ac:dyDescent="0.3">
      <c r="A13" s="287" t="s">
        <v>345</v>
      </c>
      <c r="B13" s="288"/>
      <c r="C13" s="288"/>
      <c r="D13" s="288"/>
      <c r="E13" s="289"/>
      <c r="F13" s="118"/>
    </row>
    <row r="14" spans="1:6" x14ac:dyDescent="0.3">
      <c r="A14" s="120" t="str">
        <f>+PRECIO!A2</f>
        <v>COD.</v>
      </c>
      <c r="B14" s="121" t="str">
        <f>+PRECIO!B2</f>
        <v>DESCRIPCION</v>
      </c>
      <c r="C14" s="120" t="str">
        <f>+PRECIO!C2</f>
        <v>UNI</v>
      </c>
      <c r="D14" s="121" t="str">
        <f>+PRECIO!D2</f>
        <v>&gt;12</v>
      </c>
      <c r="E14" s="120" t="str">
        <f>+PRECIO!E2</f>
        <v>&gt;25</v>
      </c>
      <c r="F14" s="108" t="str">
        <f>+PRECIO!O2</f>
        <v>VALOR</v>
      </c>
    </row>
    <row r="15" spans="1:6" x14ac:dyDescent="0.3">
      <c r="A15" s="111">
        <v>223</v>
      </c>
      <c r="B15" s="110" t="str">
        <f>INDEX(PRECIO!B3:B375, MATCH(A15, PRECIO!A3:A375, 0))</f>
        <v>BUZO POLO PIKE TXS-XL│BORDADO</v>
      </c>
      <c r="C15" s="109">
        <f>INDEX(PRECIO!C3:C375, MATCH(A15, PRECIO!A3:A375, 0))</f>
        <v>17</v>
      </c>
      <c r="D15" s="109">
        <f>INDEX(PRECIO!D3:D375, MATCH(A15, PRECIO!A3:A375, 0))</f>
        <v>15</v>
      </c>
      <c r="E15" s="109">
        <f>INDEX(PRECIO!E3:E375, MATCH(A15, PRECIO!A3:A375, 0))</f>
        <v>14</v>
      </c>
      <c r="F15" s="109">
        <f>INDEX(PRECIO!O3:O375, MATCH(A15, PRECIO!A3:A375, 0))</f>
        <v>0</v>
      </c>
    </row>
    <row r="16" spans="1:6" x14ac:dyDescent="0.3">
      <c r="A16" s="111">
        <v>224</v>
      </c>
      <c r="B16" s="110" t="str">
        <f>INDEX(PRECIO!B3:B375, MATCH(A16, PRECIO!A3:A375, 0))</f>
        <v>BUZO POLO PIKE T2XL│BORDADO</v>
      </c>
      <c r="C16" s="109">
        <f>INDEX(PRECIO!C3:C375, MATCH(A16, PRECIO!A3:A375, 0))</f>
        <v>18</v>
      </c>
      <c r="D16" s="109">
        <f>INDEX(PRECIO!D3:D375, MATCH(A16, PRECIO!A3:A375, 0))</f>
        <v>16</v>
      </c>
      <c r="E16" s="109">
        <f>INDEX(PRECIO!E3:E375, MATCH(A16, PRECIO!A3:A375, 0))</f>
        <v>15</v>
      </c>
      <c r="F16" s="109">
        <f>INDEX(PRECIO!O3:O375, MATCH(A16, PRECIO!A3:A375, 0))</f>
        <v>0</v>
      </c>
    </row>
    <row r="17" spans="1:6" x14ac:dyDescent="0.3">
      <c r="A17" s="111">
        <v>225</v>
      </c>
      <c r="B17" s="110" t="str">
        <f>INDEX(PRECIO!B3:B375, MATCH(A17, PRECIO!A3:A375, 0))</f>
        <v>BUZO POLO PIKE T3XL│BORDADO</v>
      </c>
      <c r="C17" s="109">
        <f>INDEX(PRECIO!C3:C375, MATCH(A17, PRECIO!A3:A375, 0))</f>
        <v>19</v>
      </c>
      <c r="D17" s="109">
        <f>INDEX(PRECIO!D3:D375, MATCH(A17, PRECIO!A3:A375, 0))</f>
        <v>17</v>
      </c>
      <c r="E17" s="109">
        <f>INDEX(PRECIO!E3:E375, MATCH(A17, PRECIO!A3:A375, 0))</f>
        <v>16</v>
      </c>
      <c r="F17" s="109">
        <f>INDEX(PRECIO!O3:O375, MATCH(A17, PRECIO!A3:A375, 0))</f>
        <v>0</v>
      </c>
    </row>
    <row r="18" spans="1:6" x14ac:dyDescent="0.3">
      <c r="A18" s="111">
        <v>226</v>
      </c>
      <c r="B18" s="110" t="str">
        <f>INDEX(PRECIO!B3:B375, MATCH(A18, PRECIO!A3:A375, 0))</f>
        <v>BUZO POLO PIKE T4XL│BORDADO</v>
      </c>
      <c r="C18" s="109">
        <f>INDEX(PRECIO!C3:C375, MATCH(A18, PRECIO!A3:A375, 0))</f>
        <v>20</v>
      </c>
      <c r="D18" s="109">
        <f>INDEX(PRECIO!D3:D375, MATCH(A18, PRECIO!A3:A375, 0))</f>
        <v>18</v>
      </c>
      <c r="E18" s="109">
        <f>INDEX(PRECIO!E3:E375, MATCH(A18, PRECIO!A3:A375, 0))</f>
        <v>17</v>
      </c>
      <c r="F18" s="109">
        <f>INDEX(PRECIO!O3:O375, MATCH(A18, PRECIO!A3:A375, 0))</f>
        <v>0</v>
      </c>
    </row>
    <row r="19" spans="1:6" x14ac:dyDescent="0.3">
      <c r="A19" s="111">
        <v>227</v>
      </c>
      <c r="B19" s="110" t="str">
        <f>INDEX(PRECIO!B3:B375, MATCH(A19, PRECIO!A3:A375, 0))</f>
        <v>BUZO POLO PIKE T5XL│BORDADO</v>
      </c>
      <c r="C19" s="109">
        <f>INDEX(PRECIO!C3:C375, MATCH(A19, PRECIO!A3:A375, 0))</f>
        <v>21</v>
      </c>
      <c r="D19" s="109">
        <f>INDEX(PRECIO!D3:D375, MATCH(A19, PRECIO!A3:A375, 0))</f>
        <v>19</v>
      </c>
      <c r="E19" s="109">
        <f>INDEX(PRECIO!E3:E375, MATCH(A19, PRECIO!A3:A375, 0))</f>
        <v>18</v>
      </c>
      <c r="F19" s="109">
        <f>INDEX(PRECIO!O3:O375, MATCH(A19, PRECIO!A3:A375, 0))</f>
        <v>0</v>
      </c>
    </row>
    <row r="20" spans="1:6" x14ac:dyDescent="0.3">
      <c r="A20" s="111">
        <v>228</v>
      </c>
      <c r="B20" s="110" t="str">
        <f>INDEX(PRECIO!B3:B375, MATCH(A20, PRECIO!A3:A375, 0))</f>
        <v>BUZO POLO PIKE T6XL│BORDADO</v>
      </c>
      <c r="C20" s="109">
        <f>INDEX(PRECIO!C3:C375, MATCH(A20, PRECIO!A3:A375, 0))</f>
        <v>22</v>
      </c>
      <c r="D20" s="109">
        <f>INDEX(PRECIO!D3:D375, MATCH(A20, PRECIO!A3:A375, 0))</f>
        <v>20</v>
      </c>
      <c r="E20" s="109">
        <f>INDEX(PRECIO!E3:E375, MATCH(A20, PRECIO!A3:A375, 0))</f>
        <v>19</v>
      </c>
      <c r="F20" s="109">
        <f>INDEX(PRECIO!O3:O375, MATCH(A20, PRECIO!A3:A375, 0))</f>
        <v>0</v>
      </c>
    </row>
    <row r="21" spans="1:6" x14ac:dyDescent="0.3">
      <c r="A21" s="111">
        <v>229</v>
      </c>
      <c r="B21" s="110" t="str">
        <f>INDEX(PRECIO!B3:B375, MATCH(A21, PRECIO!A3:A375, 0))</f>
        <v>BUZO POLO PIKE T7XL│BORDADO</v>
      </c>
      <c r="C21" s="109">
        <f>INDEX(PRECIO!C3:C375, MATCH(A21, PRECIO!A3:A375, 0))</f>
        <v>23</v>
      </c>
      <c r="D21" s="109">
        <f>INDEX(PRECIO!D3:D375, MATCH(A21, PRECIO!A3:A375, 0))</f>
        <v>21</v>
      </c>
      <c r="E21" s="109">
        <f>INDEX(PRECIO!E3:E375, MATCH(A21, PRECIO!A3:A375, 0))</f>
        <v>20</v>
      </c>
      <c r="F21" s="109">
        <f>INDEX(PRECIO!O3:O375, MATCH(A21, PRECIO!A3:A375, 0))</f>
        <v>0</v>
      </c>
    </row>
    <row r="22" spans="1:6" x14ac:dyDescent="0.3">
      <c r="A22" s="111">
        <v>259</v>
      </c>
      <c r="B22" s="110" t="str">
        <f>INDEX(PRECIO!B3:B375, MATCH(A22, PRECIO!A3:A375, 0))</f>
        <v>BUZO POLO PIKE T8XL│BORDADO</v>
      </c>
      <c r="C22" s="109">
        <f>INDEX(PRECIO!C3:C375, MATCH(A22, PRECIO!A3:A375, 0))</f>
        <v>24</v>
      </c>
      <c r="D22" s="109">
        <f>INDEX(PRECIO!D3:D375, MATCH(A22, PRECIO!A3:A375, 0))</f>
        <v>22</v>
      </c>
      <c r="E22" s="109">
        <f>INDEX(PRECIO!E3:E375, MATCH(A22, PRECIO!A3:A375, 0))</f>
        <v>21</v>
      </c>
      <c r="F22" s="109">
        <f>INDEX(PRECIO!O3:O375, MATCH(A22, PRECIO!A3:A375, 0))</f>
        <v>0</v>
      </c>
    </row>
    <row r="23" spans="1:6" x14ac:dyDescent="0.3">
      <c r="A23" s="111">
        <v>260</v>
      </c>
      <c r="B23" s="110" t="str">
        <f>INDEX(PRECIO!B3:B375, MATCH(A23, PRECIO!A3:A375, 0))</f>
        <v>BUZO POLO PIKE T9XL│BORDADO</v>
      </c>
      <c r="C23" s="109">
        <f>INDEX(PRECIO!C3:C375, MATCH(A23, PRECIO!A3:A375, 0))</f>
        <v>25</v>
      </c>
      <c r="D23" s="109">
        <f>INDEX(PRECIO!D3:D375, MATCH(A23, PRECIO!A3:A375, 0))</f>
        <v>23</v>
      </c>
      <c r="E23" s="109">
        <f>INDEX(PRECIO!E3:E375, MATCH(A23, PRECIO!A3:A375, 0))</f>
        <v>22</v>
      </c>
      <c r="F23" s="109">
        <f>INDEX(PRECIO!O3:O375, MATCH(A23, PRECIO!A3:A375, 0))</f>
        <v>0</v>
      </c>
    </row>
    <row r="24" spans="1:6" x14ac:dyDescent="0.3">
      <c r="A24" s="111"/>
    </row>
    <row r="26" spans="1:6" ht="25.8" x14ac:dyDescent="0.3">
      <c r="A26" s="290" t="s">
        <v>357</v>
      </c>
      <c r="B26" s="291"/>
      <c r="C26" s="291"/>
      <c r="D26" s="291"/>
      <c r="E26" s="292"/>
      <c r="F26" s="118"/>
    </row>
    <row r="27" spans="1:6" x14ac:dyDescent="0.3">
      <c r="A27" s="120" t="str">
        <f>+PRECIO!A2</f>
        <v>COD.</v>
      </c>
      <c r="B27" s="120" t="str">
        <f>+PRECIO!B2</f>
        <v>DESCRIPCION</v>
      </c>
      <c r="C27" s="120" t="str">
        <f>+PRECIO!C2</f>
        <v>UNI</v>
      </c>
      <c r="D27" s="120" t="str">
        <f>+PRECIO!D2</f>
        <v>&gt;12</v>
      </c>
      <c r="E27" s="120" t="str">
        <f>+PRECIO!E2</f>
        <v>&gt;25</v>
      </c>
      <c r="F27" s="134" t="str">
        <f>+PRECIO!O2</f>
        <v>VALOR</v>
      </c>
    </row>
    <row r="28" spans="1:6" x14ac:dyDescent="0.3">
      <c r="A28" s="111">
        <v>425</v>
      </c>
      <c r="B28" s="110" t="str">
        <f>INDEX(PRECIO!B3:B923, MATCH(A28, PRECIO!A3:A923, 0))</f>
        <v>BUZO POLO|ALGODON|TXS-XL│DTF</v>
      </c>
      <c r="C28" s="109">
        <f>INDEX(PRECIO!C3:C923, MATCH(A28, PRECIO!A3:A923, 0))</f>
        <v>15</v>
      </c>
      <c r="D28" s="109">
        <f>INDEX(PRECIO!D3:D923, MATCH(A28, PRECIO!A3:A923, 0))</f>
        <v>13</v>
      </c>
      <c r="E28" s="109">
        <f>INDEX(PRECIO!E3:E923, MATCH(A28, PRECIO!A3:A923, 0))</f>
        <v>12</v>
      </c>
      <c r="F28" s="109">
        <f>INDEX(PRECIO!O3:O923, MATCH(A28, PRECIO!A3:A923, 0))</f>
        <v>0</v>
      </c>
    </row>
    <row r="29" spans="1:6" x14ac:dyDescent="0.3">
      <c r="A29" s="111">
        <v>426</v>
      </c>
      <c r="B29" s="110" t="str">
        <f>INDEX(PRECIO!B3:B924, MATCH(A29, PRECIO!A3:A924, 0))</f>
        <v>BUZO POLO|ALGODON|T2XL|DTF</v>
      </c>
      <c r="C29" s="109">
        <f>INDEX(PRECIO!C3:C924, MATCH(A29, PRECIO!A3:A924, 0))</f>
        <v>16</v>
      </c>
      <c r="D29" s="109">
        <f>INDEX(PRECIO!D3:D924, MATCH(A29, PRECIO!A3:A924, 0))</f>
        <v>14</v>
      </c>
      <c r="E29" s="109">
        <f>INDEX(PRECIO!E3:E924, MATCH(A29, PRECIO!A3:A924, 0))</f>
        <v>13</v>
      </c>
      <c r="F29" s="109">
        <f>INDEX(PRECIO!O3:O924, MATCH(A29, PRECIO!A3:A924, 0))</f>
        <v>0</v>
      </c>
    </row>
    <row r="30" spans="1:6" x14ac:dyDescent="0.3">
      <c r="A30" s="111">
        <v>427</v>
      </c>
      <c r="B30" s="110" t="str">
        <f>INDEX(PRECIO!B3:B925, MATCH(A30, PRECIO!A3:A925, 0))</f>
        <v>BUZO POLO|ALGODON|T3XL│DTF</v>
      </c>
      <c r="C30" s="109">
        <f>INDEX(PRECIO!C3:C925, MATCH(A30, PRECIO!A3:A925, 0))</f>
        <v>17</v>
      </c>
      <c r="D30" s="109">
        <f>INDEX(PRECIO!D3:D925, MATCH(A30, PRECIO!A3:A925, 0))</f>
        <v>15</v>
      </c>
      <c r="E30" s="109">
        <f>INDEX(PRECIO!E3:E925, MATCH(A30, PRECIO!A3:A925, 0))</f>
        <v>14</v>
      </c>
      <c r="F30" s="109">
        <f>INDEX(PRECIO!O3:O925, MATCH(A30, PRECIO!A3:A925, 0))</f>
        <v>0</v>
      </c>
    </row>
    <row r="31" spans="1:6" x14ac:dyDescent="0.3">
      <c r="A31" s="111">
        <v>428</v>
      </c>
      <c r="B31" s="110" t="str">
        <f>INDEX(PRECIO!B3:B926, MATCH(A31, PRECIO!A3:A926, 0))</f>
        <v>BUZO POLO|ALGODON|T4XL|DTF</v>
      </c>
      <c r="C31" s="109">
        <f>INDEX(PRECIO!C3:C926, MATCH(A31, PRECIO!A3:A926, 0))</f>
        <v>18</v>
      </c>
      <c r="D31" s="109">
        <f>INDEX(PRECIO!D3:D926, MATCH(A31, PRECIO!A3:A926, 0))</f>
        <v>16</v>
      </c>
      <c r="E31" s="109">
        <f>INDEX(PRECIO!E3:E926, MATCH(A31, PRECIO!A3:A926, 0))</f>
        <v>15</v>
      </c>
      <c r="F31" s="109">
        <f>INDEX(PRECIO!O3:O926, MATCH(A31, PRECIO!A3:A926, 0))</f>
        <v>0</v>
      </c>
    </row>
    <row r="32" spans="1:6" x14ac:dyDescent="0.3">
      <c r="A32" s="111">
        <v>429</v>
      </c>
      <c r="B32" s="110" t="str">
        <f>INDEX(PRECIO!B3:B927, MATCH(A32, PRECIO!A3:A927, 0))</f>
        <v>BUZO POLO|ALGODON|T5XL|DTF</v>
      </c>
      <c r="C32" s="109">
        <f>INDEX(PRECIO!C3:C927, MATCH(A32, PRECIO!A3:A927, 0))</f>
        <v>19</v>
      </c>
      <c r="D32" s="109">
        <f>INDEX(PRECIO!D3:D927, MATCH(A32, PRECIO!A3:A927, 0))</f>
        <v>17</v>
      </c>
      <c r="E32" s="109">
        <f>INDEX(PRECIO!E3:E927, MATCH(A32, PRECIO!A3:A927, 0))</f>
        <v>16</v>
      </c>
      <c r="F32" s="109">
        <f>INDEX(PRECIO!O3:O927, MATCH(A32, PRECIO!A3:A927, 0))</f>
        <v>0</v>
      </c>
    </row>
    <row r="33" spans="1:6" x14ac:dyDescent="0.3">
      <c r="A33" s="111">
        <v>430</v>
      </c>
      <c r="B33" s="110" t="str">
        <f>INDEX(PRECIO!B3:B928, MATCH(A33, PRECIO!A3:A928, 0))</f>
        <v>BUZO POLO|ALGODON|T6XL│DTF</v>
      </c>
      <c r="C33" s="109">
        <f>INDEX(PRECIO!C3:C928, MATCH(A33, PRECIO!A3:A928, 0))</f>
        <v>20</v>
      </c>
      <c r="D33" s="109">
        <f>INDEX(PRECIO!D3:D928, MATCH(A33, PRECIO!A3:A928, 0))</f>
        <v>18</v>
      </c>
      <c r="E33" s="109">
        <f>INDEX(PRECIO!E3:E928, MATCH(A33, PRECIO!A3:A928, 0))</f>
        <v>17</v>
      </c>
      <c r="F33" s="109">
        <f>INDEX(PRECIO!O3:O928, MATCH(A33, PRECIO!A3:A928, 0))</f>
        <v>0</v>
      </c>
    </row>
    <row r="34" spans="1:6" x14ac:dyDescent="0.3">
      <c r="A34" s="111">
        <v>431</v>
      </c>
      <c r="B34" s="110" t="str">
        <f>INDEX(PRECIO!B3:B929, MATCH(A34, PRECIO!A3:A929, 0))</f>
        <v>BUZO POLO|ALGODON|T7XL│DTF</v>
      </c>
      <c r="C34" s="109">
        <f>INDEX(PRECIO!C3:C929, MATCH(A34, PRECIO!A3:A929, 0))</f>
        <v>21</v>
      </c>
      <c r="D34" s="109">
        <f>INDEX(PRECIO!D3:D929, MATCH(A34, PRECIO!A3:A929, 0))</f>
        <v>19</v>
      </c>
      <c r="E34" s="109">
        <f>INDEX(PRECIO!E3:E929, MATCH(A34, PRECIO!A3:A929, 0))</f>
        <v>18</v>
      </c>
      <c r="F34" s="109">
        <f>INDEX(PRECIO!O3:O929, MATCH(A34, PRECIO!A3:A929, 0))</f>
        <v>0</v>
      </c>
    </row>
    <row r="35" spans="1:6" x14ac:dyDescent="0.3">
      <c r="A35" s="111">
        <v>432</v>
      </c>
      <c r="B35" s="110" t="str">
        <f>INDEX(PRECIO!B3:B930, MATCH(A35, PRECIO!A3:A930, 0))</f>
        <v>BUZO POLO|ALGODON|T8XL│DTF</v>
      </c>
      <c r="C35" s="109">
        <f>INDEX(PRECIO!C3:C930, MATCH(A35, PRECIO!A3:A930, 0))</f>
        <v>22</v>
      </c>
      <c r="D35" s="109">
        <f>INDEX(PRECIO!D3:D930, MATCH(A35, PRECIO!A3:A930, 0))</f>
        <v>20</v>
      </c>
      <c r="E35" s="109">
        <f>INDEX(PRECIO!E3:E930, MATCH(A35, PRECIO!A3:A930, 0))</f>
        <v>19</v>
      </c>
      <c r="F35" s="109">
        <f>INDEX(PRECIO!O3:O930, MATCH(A35, PRECIO!A3:A930, 0))</f>
        <v>0</v>
      </c>
    </row>
    <row r="36" spans="1:6" x14ac:dyDescent="0.3">
      <c r="A36" s="111">
        <v>433</v>
      </c>
      <c r="B36" s="110" t="str">
        <f>INDEX(PRECIO!B3:B931, MATCH(A36, PRECIO!A3:A931, 0))</f>
        <v>BUZO POLO|ALGODON|T9XL│DTF</v>
      </c>
      <c r="C36" s="109">
        <f>INDEX(PRECIO!C3:C931, MATCH(A36, PRECIO!A3:A931, 0))</f>
        <v>23</v>
      </c>
      <c r="D36" s="109">
        <f>INDEX(PRECIO!D3:D931, MATCH(A36, PRECIO!A3:A931, 0))</f>
        <v>21</v>
      </c>
      <c r="E36" s="109">
        <f>INDEX(PRECIO!E3:E931, MATCH(A36, PRECIO!A3:A931, 0))</f>
        <v>20</v>
      </c>
      <c r="F36" s="109">
        <f>INDEX(PRECIO!O3:O931, MATCH(A36, PRECIO!A3:A931, 0))</f>
        <v>0</v>
      </c>
    </row>
  </sheetData>
  <mergeCells count="3">
    <mergeCell ref="A1:E1"/>
    <mergeCell ref="A13:E13"/>
    <mergeCell ref="A26:E26"/>
  </mergeCells>
  <pageMargins left="0.70866141732283472" right="0.70866141732283472" top="0.74803149606299213" bottom="0.74803149606299213" header="0.31496062992125984" footer="0.31496062992125984"/>
  <pageSetup paperSize="9" scale="97" orientation="portrait" horizontalDpi="360" verticalDpi="360" r:id="rId1"/>
  <headerFooter>
    <oddFooter>&amp;R&amp;F &amp;P de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6CD4-005F-42A1-9B07-6F2B1C2ACA65}">
  <sheetPr codeName="Hoja18"/>
  <dimension ref="A1:F43"/>
  <sheetViews>
    <sheetView view="pageBreakPreview" zoomScale="130" zoomScaleNormal="100" zoomScaleSheetLayoutView="130" workbookViewId="0">
      <pane ySplit="2" topLeftCell="A3" activePane="bottomLeft" state="frozenSplit"/>
      <selection activeCell="I14" sqref="I14"/>
      <selection pane="bottomLeft" activeCell="F6" sqref="F6"/>
    </sheetView>
  </sheetViews>
  <sheetFormatPr baseColWidth="10" defaultRowHeight="14.4" x14ac:dyDescent="0.3"/>
  <cols>
    <col min="1" max="1" width="11.44140625" style="109"/>
    <col min="2" max="2" width="33.6640625" style="109" customWidth="1"/>
    <col min="3" max="6" width="11.44140625" style="109"/>
  </cols>
  <sheetData>
    <row r="1" spans="1:6" ht="25.8" x14ac:dyDescent="0.3">
      <c r="A1" s="277" t="s">
        <v>983</v>
      </c>
      <c r="B1" s="277"/>
      <c r="C1" s="277"/>
      <c r="D1" s="277"/>
      <c r="E1" s="277"/>
      <c r="F1" s="118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tr">
        <f>+PRECIO!D2</f>
        <v>&gt;12</v>
      </c>
      <c r="E2" s="120" t="str">
        <f>+PRECIO!E2</f>
        <v>&gt;25</v>
      </c>
      <c r="F2" s="108" t="str">
        <f>+PRECIO!O2</f>
        <v>VALOR</v>
      </c>
    </row>
    <row r="3" spans="1:6" x14ac:dyDescent="0.3">
      <c r="A3" s="128">
        <v>155</v>
      </c>
      <c r="B3" s="129" t="str">
        <f>INDEX(PRECIO!$B$3:$B$930, MATCH(A3, PRECIO!$A$3:$A$930, 0))</f>
        <v>BUZO|TORTUGA|TXS-XL│SUBLI</v>
      </c>
      <c r="C3" s="130">
        <f>INDEX(PRECIO!$C$3:$C$930, MATCH(A3, PRECIO!$A$3:$A$930, 0))</f>
        <v>18</v>
      </c>
      <c r="D3" s="130">
        <f>INDEX(PRECIO!$D$3:$D$930, MATCH(A3, PRECIO!$A$3:$A$930, 0))</f>
        <v>16</v>
      </c>
      <c r="E3" s="130">
        <f>INDEX(PRECIO!$E$3:$E$930, MATCH(A3, PRECIO!$A$3:$A$930, 0))</f>
        <v>15</v>
      </c>
      <c r="F3" s="113">
        <f>INDEX(PRECIO!$O$3:$O$930, MATCH(A3, PRECIO!$A$3:$A$930, 0))</f>
        <v>10.14</v>
      </c>
    </row>
    <row r="4" spans="1:6" x14ac:dyDescent="0.3">
      <c r="A4" s="128">
        <v>156</v>
      </c>
      <c r="B4" s="129" t="str">
        <f>INDEX(PRECIO!$B$3:$B$930, MATCH(A4, PRECIO!$A$3:$A$930, 0))</f>
        <v>BUZO|TORTUGA|T2XL│SUBLI</v>
      </c>
      <c r="C4" s="130">
        <f>INDEX(PRECIO!$C$3:$C$930, MATCH(A4, PRECIO!$A$3:$A$930, 0))</f>
        <v>19</v>
      </c>
      <c r="D4" s="130">
        <f>INDEX(PRECIO!$D$3:$D$930, MATCH(A4, PRECIO!$A$3:$A$930, 0))</f>
        <v>17</v>
      </c>
      <c r="E4" s="130">
        <f>INDEX(PRECIO!$E$3:$E$930, MATCH(A4, PRECIO!$A$3:$A$930, 0))</f>
        <v>16</v>
      </c>
      <c r="F4" s="113">
        <f>INDEX(PRECIO!$O$3:$O$930, MATCH(A4, PRECIO!$A$3:$A$930, 0))</f>
        <v>0</v>
      </c>
    </row>
    <row r="5" spans="1:6" x14ac:dyDescent="0.3">
      <c r="A5" s="128">
        <v>157</v>
      </c>
      <c r="B5" s="129" t="str">
        <f>INDEX(PRECIO!$B$3:$B$930, MATCH(A5, PRECIO!$A$3:$A$930, 0))</f>
        <v>BUZO|TORTUGA|T3XL│SUBLI</v>
      </c>
      <c r="C5" s="130">
        <f>INDEX(PRECIO!$C$3:$C$930, MATCH(A5, PRECIO!$A$3:$A$930, 0))</f>
        <v>20</v>
      </c>
      <c r="D5" s="130">
        <f>INDEX(PRECIO!$D$3:$D$930, MATCH(A5, PRECIO!$A$3:$A$930, 0))</f>
        <v>18</v>
      </c>
      <c r="E5" s="130">
        <f>INDEX(PRECIO!$E$3:$E$930, MATCH(A5, PRECIO!$A$3:$A$930, 0))</f>
        <v>17</v>
      </c>
      <c r="F5" s="113">
        <f>INDEX(PRECIO!$O$3:$O$930, MATCH(A5, PRECIO!$A$3:$A$930, 0))</f>
        <v>0</v>
      </c>
    </row>
    <row r="6" spans="1:6" x14ac:dyDescent="0.3">
      <c r="A6" s="128">
        <v>158</v>
      </c>
      <c r="B6" s="129" t="str">
        <f>INDEX(PRECIO!$B$3:$B$930, MATCH(A6, PRECIO!$A$3:$A$930, 0))</f>
        <v>BUZO|TORTUGA|T4XL│SUBLI</v>
      </c>
      <c r="C6" s="130">
        <f>INDEX(PRECIO!$C$3:$C$930, MATCH(A6, PRECIO!$A$3:$A$930, 0))</f>
        <v>21</v>
      </c>
      <c r="D6" s="130">
        <f>INDEX(PRECIO!$D$3:$D$930, MATCH(A6, PRECIO!$A$3:$A$930, 0))</f>
        <v>19</v>
      </c>
      <c r="E6" s="130">
        <f>INDEX(PRECIO!$E$3:$E$930, MATCH(A6, PRECIO!$A$3:$A$930, 0))</f>
        <v>18</v>
      </c>
      <c r="F6" s="113">
        <f>INDEX(PRECIO!$O$3:$O$930, MATCH(A6, PRECIO!$A$3:$A$930, 0))</f>
        <v>0</v>
      </c>
    </row>
    <row r="7" spans="1:6" x14ac:dyDescent="0.3">
      <c r="A7" s="128">
        <v>159</v>
      </c>
      <c r="B7" s="129" t="str">
        <f>INDEX(PRECIO!$B$3:$B$930, MATCH(A7, PRECIO!$A$3:$A$930, 0))</f>
        <v>BUZO|TORTUGA|T5XL│SUBLI</v>
      </c>
      <c r="C7" s="130">
        <f>INDEX(PRECIO!$C$3:$C$930, MATCH(A7, PRECIO!$A$3:$A$930, 0))</f>
        <v>22</v>
      </c>
      <c r="D7" s="130">
        <f>INDEX(PRECIO!$D$3:$D$930, MATCH(A7, PRECIO!$A$3:$A$930, 0))</f>
        <v>20</v>
      </c>
      <c r="E7" s="130">
        <f>INDEX(PRECIO!$E$3:$E$930, MATCH(A7, PRECIO!$A$3:$A$930, 0))</f>
        <v>19</v>
      </c>
      <c r="F7" s="113">
        <f>INDEX(PRECIO!$O$3:$O$930, MATCH(A7, PRECIO!$A$3:$A$930, 0))</f>
        <v>0</v>
      </c>
    </row>
    <row r="8" spans="1:6" x14ac:dyDescent="0.3">
      <c r="A8" s="128">
        <v>160</v>
      </c>
      <c r="B8" s="129" t="str">
        <f>INDEX(PRECIO!$B$3:$B$930, MATCH(A8, PRECIO!$A$3:$A$930, 0))</f>
        <v>BUZO|TORTUGA|T6XL│SUBLI</v>
      </c>
      <c r="C8" s="130">
        <f>INDEX(PRECIO!$C$3:$C$930, MATCH(A8, PRECIO!$A$3:$A$930, 0))</f>
        <v>23</v>
      </c>
      <c r="D8" s="130">
        <f>INDEX(PRECIO!$D$3:$D$930, MATCH(A8, PRECIO!$A$3:$A$930, 0))</f>
        <v>21</v>
      </c>
      <c r="E8" s="130">
        <f>INDEX(PRECIO!$E$3:$E$930, MATCH(A8, PRECIO!$A$3:$A$930, 0))</f>
        <v>20</v>
      </c>
      <c r="F8" s="113">
        <f>INDEX(PRECIO!$O$3:$O$930, MATCH(A8, PRECIO!$A$3:$A$930, 0))</f>
        <v>0</v>
      </c>
    </row>
    <row r="9" spans="1:6" x14ac:dyDescent="0.3">
      <c r="A9" s="128">
        <v>161</v>
      </c>
      <c r="B9" s="129" t="str">
        <f>INDEX(PRECIO!$B$3:$B$930, MATCH(A9, PRECIO!$A$3:$A$930, 0))</f>
        <v>BUZO|TORTUGA|T7XL│SUBLI</v>
      </c>
      <c r="C9" s="130">
        <f>INDEX(PRECIO!$C$3:$C$930, MATCH(A9, PRECIO!$A$3:$A$930, 0))</f>
        <v>24</v>
      </c>
      <c r="D9" s="130">
        <f>INDEX(PRECIO!$D$3:$D$930, MATCH(A9, PRECIO!$A$3:$A$930, 0))</f>
        <v>22</v>
      </c>
      <c r="E9" s="130">
        <f>INDEX(PRECIO!$E$3:$E$930, MATCH(A9, PRECIO!$A$3:$A$930, 0))</f>
        <v>21</v>
      </c>
      <c r="F9" s="113">
        <f>INDEX(PRECIO!$O$3:$O$930, MATCH(A9, PRECIO!$A$3:$A$930, 0))</f>
        <v>0</v>
      </c>
    </row>
    <row r="10" spans="1:6" x14ac:dyDescent="0.3">
      <c r="A10" s="128">
        <v>162</v>
      </c>
      <c r="B10" s="129" t="str">
        <f>INDEX(PRECIO!$B$3:$B$930, MATCH(A10, PRECIO!$A$3:$A$930, 0))</f>
        <v>BUZO|TORTUGA|T8XL│SUBLI</v>
      </c>
      <c r="C10" s="130">
        <f>INDEX(PRECIO!$C$3:$C$930, MATCH(A10, PRECIO!$A$3:$A$930, 0))</f>
        <v>25</v>
      </c>
      <c r="D10" s="130">
        <f>INDEX(PRECIO!$D$3:$D$930, MATCH(A10, PRECIO!$A$3:$A$930, 0))</f>
        <v>23</v>
      </c>
      <c r="E10" s="130">
        <f>INDEX(PRECIO!$E$3:$E$930, MATCH(A10, PRECIO!$A$3:$A$930, 0))</f>
        <v>22</v>
      </c>
      <c r="F10" s="113">
        <f>INDEX(PRECIO!$O$3:$O$930, MATCH(A10, PRECIO!$A$3:$A$930, 0))</f>
        <v>0</v>
      </c>
    </row>
    <row r="11" spans="1:6" x14ac:dyDescent="0.3">
      <c r="A11" s="128">
        <v>163</v>
      </c>
      <c r="B11" s="129" t="str">
        <f>INDEX(PRECIO!$B$3:$B$930, MATCH(A11, PRECIO!$A$3:$A$930, 0))</f>
        <v>BUZO|TORTUGA|T9XL│SUBLI</v>
      </c>
      <c r="C11" s="130">
        <f>INDEX(PRECIO!$C$3:$C$930, MATCH(A11, PRECIO!$A$3:$A$930, 0))</f>
        <v>26</v>
      </c>
      <c r="D11" s="130">
        <f>INDEX(PRECIO!$D$3:$D$930, MATCH(A11, PRECIO!$A$3:$A$930, 0))</f>
        <v>24</v>
      </c>
      <c r="E11" s="130">
        <f>INDEX(PRECIO!$E$3:$E$930, MATCH(A11, PRECIO!$A$3:$A$930, 0))</f>
        <v>23</v>
      </c>
      <c r="F11" s="113">
        <f>INDEX(PRECIO!$O$3:$O$930, MATCH(A11, PRECIO!$A$3:$A$930, 0))</f>
        <v>0</v>
      </c>
    </row>
    <row r="12" spans="1:6" x14ac:dyDescent="0.3">
      <c r="A12"/>
      <c r="B12"/>
      <c r="C12"/>
      <c r="D12"/>
      <c r="E12"/>
      <c r="F12"/>
    </row>
    <row r="13" spans="1:6" x14ac:dyDescent="0.3">
      <c r="A13"/>
      <c r="B13"/>
      <c r="C13"/>
      <c r="D13"/>
      <c r="E13"/>
      <c r="F13"/>
    </row>
    <row r="14" spans="1:6" x14ac:dyDescent="0.3">
      <c r="A14"/>
      <c r="B14"/>
      <c r="C14"/>
      <c r="D14"/>
      <c r="E14"/>
      <c r="F14"/>
    </row>
    <row r="15" spans="1:6" x14ac:dyDescent="0.3">
      <c r="A15"/>
      <c r="B15"/>
      <c r="C15"/>
      <c r="D15"/>
      <c r="E15"/>
      <c r="F15"/>
    </row>
    <row r="16" spans="1:6" x14ac:dyDescent="0.3">
      <c r="A16"/>
      <c r="B16"/>
      <c r="C16"/>
      <c r="D16"/>
      <c r="E16"/>
      <c r="F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</sheetData>
  <mergeCells count="1">
    <mergeCell ref="A1:E1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75E07-995B-4F47-83EA-B8B20347B780}">
  <sheetPr codeName="Hoja9"/>
  <dimension ref="A1:F42"/>
  <sheetViews>
    <sheetView zoomScaleNormal="100" workbookViewId="0">
      <pane ySplit="1" topLeftCell="A35" activePane="bottomLeft" state="frozenSplit"/>
      <selection activeCell="I14" sqref="I14"/>
      <selection pane="bottomLeft" activeCell="E48" sqref="E48"/>
    </sheetView>
  </sheetViews>
  <sheetFormatPr baseColWidth="10" defaultRowHeight="14.4" x14ac:dyDescent="0.3"/>
  <cols>
    <col min="1" max="1" width="11.44140625" style="109"/>
    <col min="2" max="2" width="51.88671875" style="110" bestFit="1" customWidth="1"/>
    <col min="3" max="5" width="7.6640625" style="109" customWidth="1"/>
    <col min="6" max="6" width="11.44140625" style="109"/>
  </cols>
  <sheetData>
    <row r="1" spans="1:6" ht="29.25" customHeight="1" x14ac:dyDescent="0.3"/>
    <row r="2" spans="1:6" ht="25.8" x14ac:dyDescent="0.3">
      <c r="A2" s="290" t="s">
        <v>984</v>
      </c>
      <c r="B2" s="291"/>
      <c r="C2" s="291"/>
      <c r="D2" s="291"/>
      <c r="E2" s="292"/>
      <c r="F2" s="119"/>
    </row>
    <row r="3" spans="1:6" x14ac:dyDescent="0.3">
      <c r="A3" s="120" t="str">
        <f>+PRECIO!A2</f>
        <v>COD.</v>
      </c>
      <c r="B3" s="120" t="str">
        <f>+PRECIO!B2</f>
        <v>DESCRIPCION</v>
      </c>
      <c r="C3" s="120" t="str">
        <f>+PRECIO!C2</f>
        <v>UNI</v>
      </c>
      <c r="D3" s="120" t="str">
        <f>+PRECIO!D2</f>
        <v>&gt;12</v>
      </c>
      <c r="E3" s="120" t="str">
        <f>+PRECIO!E2</f>
        <v>&gt;25</v>
      </c>
      <c r="F3" s="134" t="str">
        <f>+PRECIO!O2</f>
        <v>VALOR</v>
      </c>
    </row>
    <row r="4" spans="1:6" x14ac:dyDescent="0.3">
      <c r="A4" s="131">
        <v>178</v>
      </c>
      <c r="B4" s="132" t="str">
        <f>INDEX(PRECIO!B3:B423, MATCH(A4, PRECIO!A3:A423, 0))</f>
        <v xml:space="preserve">CHALECO CORPORATIVO|TS-XL│ADULTO </v>
      </c>
      <c r="C4" s="133">
        <f>INDEX(PRECIO!C3:C423, MATCH(A4, PRECIO!A3:A423, 0))</f>
        <v>28</v>
      </c>
      <c r="D4" s="133">
        <f>INDEX(PRECIO!D3:D423, MATCH(A4, PRECIO!A3:A423, 0))</f>
        <v>25</v>
      </c>
      <c r="E4" s="133">
        <f>INDEX(PRECIO!E3:E423, MATCH(A4, PRECIO!A3:A423, 0))</f>
        <v>24</v>
      </c>
      <c r="F4" s="133">
        <f>INDEX(PRECIO!O3:O379, MATCH(A4, PRECIO!A3:A379, 0))</f>
        <v>22.21</v>
      </c>
    </row>
    <row r="5" spans="1:6" x14ac:dyDescent="0.3">
      <c r="A5" s="131">
        <v>314</v>
      </c>
      <c r="B5" s="132" t="str">
        <f>INDEX(PRECIO!B3:B423, MATCH(A5, PRECIO!A3:A423, 0))</f>
        <v xml:space="preserve">CHALECO CORPORATIVO |T2XL│ADULTO </v>
      </c>
      <c r="C5" s="133">
        <f>INDEX(PRECIO!C3:C423, MATCH(A5, PRECIO!A3:A423, 0))</f>
        <v>29</v>
      </c>
      <c r="D5" s="133">
        <f>INDEX(PRECIO!D3:D423, MATCH(A5, PRECIO!A3:A423, 0))</f>
        <v>26</v>
      </c>
      <c r="E5" s="133">
        <f>INDEX(PRECIO!E3:E423, MATCH(A5, PRECIO!A3:A423, 0))</f>
        <v>25</v>
      </c>
      <c r="F5" s="133">
        <f>INDEX(PRECIO!O3:O423, MATCH(A5, PRECIO!A3:A423, 0))</f>
        <v>0</v>
      </c>
    </row>
    <row r="6" spans="1:6" x14ac:dyDescent="0.3">
      <c r="A6" s="131">
        <v>315</v>
      </c>
      <c r="B6" s="132" t="str">
        <f>INDEX(PRECIO!B3:B423, MATCH(A6, PRECIO!A3:A423, 0))</f>
        <v xml:space="preserve">CHALECO CORPORATIVO |T3XL│ADULTO </v>
      </c>
      <c r="C6" s="133">
        <f>INDEX(PRECIO!C3:C423, MATCH(A6, PRECIO!A3:A423, 0))</f>
        <v>30</v>
      </c>
      <c r="D6" s="133">
        <f>INDEX(PRECIO!D3:D423, MATCH(A6, PRECIO!A3:A423, 0))</f>
        <v>27</v>
      </c>
      <c r="E6" s="133">
        <f>INDEX(PRECIO!E3:E423, MATCH(A6, PRECIO!A3:A423, 0))</f>
        <v>26</v>
      </c>
      <c r="F6" s="133">
        <f>INDEX(PRECIO!O3:O423, MATCH(A6, PRECIO!A3:A423, 0))</f>
        <v>0</v>
      </c>
    </row>
    <row r="7" spans="1:6" x14ac:dyDescent="0.3">
      <c r="A7" s="131">
        <v>316</v>
      </c>
      <c r="B7" s="132" t="str">
        <f>INDEX(PRECIO!B3:B423, MATCH(A7, PRECIO!A3:A423, 0))</f>
        <v xml:space="preserve">CHALECO CORPORATIVO |T4XL│ADULTO </v>
      </c>
      <c r="C7" s="133">
        <f>INDEX(PRECIO!C3:C423, MATCH(A7, PRECIO!A3:A423, 0))</f>
        <v>31</v>
      </c>
      <c r="D7" s="133">
        <f>INDEX(PRECIO!D3:D423, MATCH(A7, PRECIO!A3:A423, 0))</f>
        <v>28</v>
      </c>
      <c r="E7" s="133">
        <f>INDEX(PRECIO!E3:E423, MATCH(A7, PRECIO!A3:A423, 0))</f>
        <v>27</v>
      </c>
      <c r="F7" s="133">
        <f>INDEX(PRECIO!O3:O423, MATCH(A7, PRECIO!A3:A423, 0))</f>
        <v>0</v>
      </c>
    </row>
    <row r="8" spans="1:6" x14ac:dyDescent="0.3">
      <c r="A8" s="131">
        <v>317</v>
      </c>
      <c r="B8" s="132" t="str">
        <f>INDEX(PRECIO!B3:B423, MATCH(A8, PRECIO!A3:A423, 0))</f>
        <v xml:space="preserve">CHALECO CORPORATIVO |T5XL│ADULTO </v>
      </c>
      <c r="C8" s="133">
        <f>INDEX(PRECIO!C3:C423, MATCH(A8, PRECIO!A3:A423, 0))</f>
        <v>32</v>
      </c>
      <c r="D8" s="133">
        <f>INDEX(PRECIO!D3:D423, MATCH(A8, PRECIO!A3:A423, 0))</f>
        <v>29</v>
      </c>
      <c r="E8" s="133">
        <f>INDEX(PRECIO!E3:E423, MATCH(A8, PRECIO!A3:A423, 0))</f>
        <v>28</v>
      </c>
      <c r="F8" s="133">
        <f>INDEX(PRECIO!O3:O423, MATCH(A8, PRECIO!A3:A423, 0))</f>
        <v>0</v>
      </c>
    </row>
    <row r="9" spans="1:6" x14ac:dyDescent="0.3">
      <c r="A9" s="131">
        <v>318</v>
      </c>
      <c r="B9" s="132" t="str">
        <f>INDEX(PRECIO!B3:B423, MATCH(A9, PRECIO!A3:A423, 0))</f>
        <v xml:space="preserve">CHALECO CORPORATIVO |T6XL│ADULTO </v>
      </c>
      <c r="C9" s="133">
        <f>INDEX(PRECIO!C3:C423, MATCH(A9, PRECIO!A3:A423, 0))</f>
        <v>33</v>
      </c>
      <c r="D9" s="133">
        <f>INDEX(PRECIO!D3:D423, MATCH(A9, PRECIO!A3:A423, 0))</f>
        <v>30</v>
      </c>
      <c r="E9" s="133">
        <f>INDEX(PRECIO!E3:E423, MATCH(A9, PRECIO!A3:A423, 0))</f>
        <v>29</v>
      </c>
      <c r="F9" s="133">
        <f>INDEX(PRECIO!O3:O423, MATCH(A9, PRECIO!A3:A423, 0))</f>
        <v>0</v>
      </c>
    </row>
    <row r="10" spans="1:6" x14ac:dyDescent="0.3">
      <c r="A10" s="131">
        <v>319</v>
      </c>
      <c r="B10" s="132" t="str">
        <f>INDEX(PRECIO!B3:B423, MATCH(A10, PRECIO!A3:A423, 0))</f>
        <v xml:space="preserve">CHALECO CORPORATIVO |T7XL│ADULTO </v>
      </c>
      <c r="C10" s="133">
        <f>INDEX(PRECIO!C3:C423, MATCH(A10, PRECIO!A3:A423, 0))</f>
        <v>34</v>
      </c>
      <c r="D10" s="133">
        <f>INDEX(PRECIO!D3:D423, MATCH(A10, PRECIO!A3:A423, 0))</f>
        <v>31</v>
      </c>
      <c r="E10" s="133">
        <f>INDEX(PRECIO!E3:E423, MATCH(A10, PRECIO!A3:A423, 0))</f>
        <v>30</v>
      </c>
      <c r="F10" s="133">
        <f>INDEX(PRECIO!O3:O423, MATCH(A10, PRECIO!A3:A423, 0))</f>
        <v>0</v>
      </c>
    </row>
    <row r="11" spans="1:6" x14ac:dyDescent="0.3">
      <c r="A11" s="131">
        <v>320</v>
      </c>
      <c r="B11" s="132" t="str">
        <f>INDEX(PRECIO!B3:B423, MATCH(A11, PRECIO!A3:A423, 0))</f>
        <v xml:space="preserve">CHALECO CORPORATIVO |T8XL│ADULTO </v>
      </c>
      <c r="C11" s="133">
        <f>INDEX(PRECIO!C3:C423, MATCH(A11, PRECIO!A3:A423, 0))</f>
        <v>35</v>
      </c>
      <c r="D11" s="133">
        <f>INDEX(PRECIO!D3:D423, MATCH(A11, PRECIO!A3:A423, 0))</f>
        <v>32</v>
      </c>
      <c r="E11" s="133">
        <f>INDEX(PRECIO!E3:E423, MATCH(A11, PRECIO!A3:A423, 0))</f>
        <v>31</v>
      </c>
      <c r="F11" s="133">
        <f>INDEX(PRECIO!O3:O423, MATCH(A11, PRECIO!A3:A423, 0))</f>
        <v>0</v>
      </c>
    </row>
    <row r="12" spans="1:6" x14ac:dyDescent="0.3">
      <c r="A12" s="131">
        <v>321</v>
      </c>
      <c r="B12" s="132" t="str">
        <f>INDEX(PRECIO!B3:B423, MATCH(A12, PRECIO!A3:A423, 0))</f>
        <v xml:space="preserve">CHALECO CORPORATIVO |T9XL│ADULTO </v>
      </c>
      <c r="C12" s="133">
        <f>INDEX(PRECIO!C3:C423, MATCH(A12, PRECIO!A3:A423, 0))</f>
        <v>36</v>
      </c>
      <c r="D12" s="133">
        <f>INDEX(PRECIO!D3:D423, MATCH(A12, PRECIO!A3:A423, 0))</f>
        <v>33</v>
      </c>
      <c r="E12" s="133">
        <f>INDEX(PRECIO!E3:E423, MATCH(A12, PRECIO!A3:A423, 0))</f>
        <v>32</v>
      </c>
      <c r="F12" s="133">
        <f>INDEX(PRECIO!O3:O423, MATCH(A12, PRECIO!A3:A423, 0))</f>
        <v>0</v>
      </c>
    </row>
    <row r="13" spans="1:6" x14ac:dyDescent="0.3">
      <c r="A13" s="131"/>
      <c r="B13" s="132"/>
      <c r="C13" s="133"/>
      <c r="D13" s="133"/>
      <c r="E13" s="133"/>
      <c r="F13" s="133"/>
    </row>
    <row r="14" spans="1:6" x14ac:dyDescent="0.3">
      <c r="A14" s="131"/>
      <c r="B14" s="132"/>
      <c r="C14" s="133"/>
      <c r="D14" s="133"/>
      <c r="E14" s="133"/>
      <c r="F14" s="133"/>
    </row>
    <row r="15" spans="1:6" x14ac:dyDescent="0.3">
      <c r="A15" s="131"/>
      <c r="B15" s="132"/>
      <c r="C15" s="133"/>
      <c r="D15" s="133"/>
      <c r="E15" s="133"/>
      <c r="F15" s="133"/>
    </row>
    <row r="16" spans="1:6" ht="25.8" x14ac:dyDescent="0.3">
      <c r="A16" s="293" t="s">
        <v>996</v>
      </c>
      <c r="B16" s="293"/>
      <c r="C16" s="293"/>
      <c r="D16" s="293"/>
      <c r="E16" s="293"/>
      <c r="F16" s="119"/>
    </row>
    <row r="17" spans="1:6" x14ac:dyDescent="0.3">
      <c r="A17" s="120" t="str">
        <f>+PRECIO!A2</f>
        <v>COD.</v>
      </c>
      <c r="B17" s="121" t="str">
        <f>+PRECIO!B2</f>
        <v>DESCRIPCION</v>
      </c>
      <c r="C17" s="120" t="str">
        <f>+PRECIO!C2</f>
        <v>UNI</v>
      </c>
      <c r="D17" s="120" t="str">
        <f>+PRECIO!D2</f>
        <v>&gt;12</v>
      </c>
      <c r="E17" s="120" t="str">
        <f>+PRECIO!E2</f>
        <v>&gt;25</v>
      </c>
      <c r="F17" s="134" t="str">
        <f>+PRECIO!O2</f>
        <v>VALOR</v>
      </c>
    </row>
    <row r="18" spans="1:6" x14ac:dyDescent="0.3">
      <c r="A18" s="131">
        <v>440</v>
      </c>
      <c r="B18" s="132" t="str">
        <f>INDEX(PRECIO!$B$3:$B$932, MATCH(A18, PRECIO!$A$3:$A$932, 0))</f>
        <v>CHALECO ZAFARI|TS-XL|CINTA REFLECTIVA</v>
      </c>
      <c r="C18" s="133">
        <f>INDEX(PRECIO!$C$3:$C$932, MATCH(A18, PRECIO!$A$3:$A$932, 0))</f>
        <v>30</v>
      </c>
      <c r="D18" s="133">
        <f>INDEX(PRECIO!$D$3:$D$932, MATCH(A18, PRECIO!$A$3:$A$932, 0))</f>
        <v>28</v>
      </c>
      <c r="E18" s="133">
        <f>INDEX(PRECIO!$E$3:$E$932, MATCH(A18, PRECIO!$A$3:$A$932, 0))</f>
        <v>27</v>
      </c>
      <c r="F18" s="133">
        <f>INDEX(PRECIO!$O$3:$O$932, MATCH(A18, PRECIO!$A$3:$A$932, 0))</f>
        <v>19.95</v>
      </c>
    </row>
    <row r="19" spans="1:6" x14ac:dyDescent="0.3">
      <c r="A19" s="131">
        <v>441</v>
      </c>
      <c r="B19" s="132" t="str">
        <f>INDEX(PRECIO!$B$3:$B$932, MATCH(A19, PRECIO!$A$3:$A$932, 0))</f>
        <v>CHALECO ZAFARI|T2XL|CINTA REFLECTIVA</v>
      </c>
      <c r="C19" s="133">
        <f>INDEX(PRECIO!$C$3:$C$932, MATCH(A19, PRECIO!$A$3:$A$932, 0))</f>
        <v>31</v>
      </c>
      <c r="D19" s="133">
        <f>INDEX(PRECIO!$D$3:$D$932, MATCH(A19, PRECIO!$A$3:$A$932, 0))</f>
        <v>29</v>
      </c>
      <c r="E19" s="133">
        <f>INDEX(PRECIO!$E$3:$E$932, MATCH(A19, PRECIO!$A$3:$A$932, 0))</f>
        <v>28</v>
      </c>
      <c r="F19" s="133">
        <f>INDEX(PRECIO!$O$3:$O$932, MATCH(A19, PRECIO!$A$3:$A$932, 0))</f>
        <v>0</v>
      </c>
    </row>
    <row r="20" spans="1:6" x14ac:dyDescent="0.3">
      <c r="A20" s="131">
        <v>442</v>
      </c>
      <c r="B20" s="132" t="str">
        <f>INDEX(PRECIO!$B$3:$B$932, MATCH(A20, PRECIO!$A$3:$A$932, 0))</f>
        <v>CHALECO ZAFARI|T3XL|CINTA REFLECTIVA</v>
      </c>
      <c r="C20" s="133">
        <f>INDEX(PRECIO!$C$3:$C$932, MATCH(A20, PRECIO!$A$3:$A$932, 0))</f>
        <v>32</v>
      </c>
      <c r="D20" s="133">
        <f>INDEX(PRECIO!$D$3:$D$932, MATCH(A20, PRECIO!$A$3:$A$932, 0))</f>
        <v>30</v>
      </c>
      <c r="E20" s="133">
        <f>INDEX(PRECIO!$E$3:$E$932, MATCH(A20, PRECIO!$A$3:$A$932, 0))</f>
        <v>29</v>
      </c>
      <c r="F20" s="133">
        <f>INDEX(PRECIO!$O$3:$O$932, MATCH(A20, PRECIO!$A$3:$A$932, 0))</f>
        <v>0</v>
      </c>
    </row>
    <row r="21" spans="1:6" x14ac:dyDescent="0.3">
      <c r="A21" s="131">
        <v>443</v>
      </c>
      <c r="B21" s="132" t="str">
        <f>INDEX(PRECIO!$B$3:$B$932, MATCH(A21, PRECIO!$A$3:$A$932, 0))</f>
        <v>CHALECO ZAFARI|T4XL|CINTA REFLECTIVA</v>
      </c>
      <c r="C21" s="133">
        <f>INDEX(PRECIO!$C$3:$C$932, MATCH(A21, PRECIO!$A$3:$A$932, 0))</f>
        <v>33</v>
      </c>
      <c r="D21" s="133">
        <f>INDEX(PRECIO!$D$3:$D$932, MATCH(A21, PRECIO!$A$3:$A$932, 0))</f>
        <v>31</v>
      </c>
      <c r="E21" s="133">
        <f>INDEX(PRECIO!$E$3:$E$932, MATCH(A21, PRECIO!$A$3:$A$932, 0))</f>
        <v>30</v>
      </c>
      <c r="F21" s="133">
        <f>INDEX(PRECIO!$O$3:$O$932, MATCH(A21, PRECIO!$A$3:$A$932, 0))</f>
        <v>0</v>
      </c>
    </row>
    <row r="22" spans="1:6" x14ac:dyDescent="0.3">
      <c r="A22" s="131">
        <v>444</v>
      </c>
      <c r="B22" s="132" t="str">
        <f>INDEX(PRECIO!$B$3:$B$932, MATCH(A22, PRECIO!$A$3:$A$932, 0))</f>
        <v>CHALECO ZAFARI|T5XL|CINTA REFLECTIVA</v>
      </c>
      <c r="C22" s="133">
        <f>INDEX(PRECIO!$C$3:$C$932, MATCH(A22, PRECIO!$A$3:$A$932, 0))</f>
        <v>34</v>
      </c>
      <c r="D22" s="133">
        <f>INDEX(PRECIO!$D$3:$D$932, MATCH(A22, PRECIO!$A$3:$A$932, 0))</f>
        <v>32</v>
      </c>
      <c r="E22" s="133">
        <f>INDEX(PRECIO!$E$3:$E$932, MATCH(A22, PRECIO!$A$3:$A$932, 0))</f>
        <v>31</v>
      </c>
      <c r="F22" s="133">
        <f>INDEX(PRECIO!$O$3:$O$932, MATCH(A22, PRECIO!$A$3:$A$932, 0))</f>
        <v>0</v>
      </c>
    </row>
    <row r="23" spans="1:6" x14ac:dyDescent="0.3">
      <c r="A23" s="131">
        <v>445</v>
      </c>
      <c r="B23" s="132" t="str">
        <f>INDEX(PRECIO!$B$3:$B$932, MATCH(A23, PRECIO!$A$3:$A$932, 0))</f>
        <v>CHALECO ZAFARI|T6XL|CINTA REFLECTIVA</v>
      </c>
      <c r="C23" s="133">
        <f>INDEX(PRECIO!$C$3:$C$932, MATCH(A23, PRECIO!$A$3:$A$932, 0))</f>
        <v>35</v>
      </c>
      <c r="D23" s="133">
        <f>INDEX(PRECIO!$D$3:$D$932, MATCH(A23, PRECIO!$A$3:$A$932, 0))</f>
        <v>33</v>
      </c>
      <c r="E23" s="133">
        <f>INDEX(PRECIO!$E$3:$E$932, MATCH(A23, PRECIO!$A$3:$A$932, 0))</f>
        <v>32</v>
      </c>
      <c r="F23" s="133">
        <f>INDEX(PRECIO!$O$3:$O$932, MATCH(A23, PRECIO!$A$3:$A$932, 0))</f>
        <v>0</v>
      </c>
    </row>
    <row r="24" spans="1:6" x14ac:dyDescent="0.3">
      <c r="A24" s="131">
        <v>446</v>
      </c>
      <c r="B24" s="132" t="str">
        <f>INDEX(PRECIO!$B$3:$B$932, MATCH(A24, PRECIO!$A$3:$A$932, 0))</f>
        <v>CHALECO ZAFARI|T7XL|CINTA REFLECTIVA</v>
      </c>
      <c r="C24" s="133">
        <f>INDEX(PRECIO!$C$3:$C$932, MATCH(A24, PRECIO!$A$3:$A$932, 0))</f>
        <v>36</v>
      </c>
      <c r="D24" s="133">
        <f>INDEX(PRECIO!$D$3:$D$932, MATCH(A24, PRECIO!$A$3:$A$932, 0))</f>
        <v>34</v>
      </c>
      <c r="E24" s="133">
        <f>INDEX(PRECIO!$E$3:$E$932, MATCH(A24, PRECIO!$A$3:$A$932, 0))</f>
        <v>33</v>
      </c>
      <c r="F24" s="133">
        <f>INDEX(PRECIO!$O$3:$O$932, MATCH(A24, PRECIO!$A$3:$A$932, 0))</f>
        <v>0</v>
      </c>
    </row>
    <row r="25" spans="1:6" x14ac:dyDescent="0.3">
      <c r="A25" s="131">
        <v>447</v>
      </c>
      <c r="B25" s="132" t="str">
        <f>INDEX(PRECIO!$B$3:$B$932, MATCH(A25, PRECIO!$A$3:$A$932, 0))</f>
        <v>CHALECO ZAFARI|T8XL|CINTA REFLECTIVA</v>
      </c>
      <c r="C25" s="133">
        <f>INDEX(PRECIO!$C$3:$C$932, MATCH(A25, PRECIO!$A$3:$A$932, 0))</f>
        <v>37</v>
      </c>
      <c r="D25" s="133">
        <f>INDEX(PRECIO!$D$3:$D$932, MATCH(A25, PRECIO!$A$3:$A$932, 0))</f>
        <v>35</v>
      </c>
      <c r="E25" s="133">
        <f>INDEX(PRECIO!$E$3:$E$932, MATCH(A25, PRECIO!$A$3:$A$932, 0))</f>
        <v>34</v>
      </c>
      <c r="F25" s="133">
        <f>INDEX(PRECIO!$O$3:$O$932, MATCH(A25, PRECIO!$A$3:$A$932, 0))</f>
        <v>0</v>
      </c>
    </row>
    <row r="26" spans="1:6" x14ac:dyDescent="0.3">
      <c r="A26" s="131">
        <v>448</v>
      </c>
      <c r="B26" s="132" t="str">
        <f>INDEX(PRECIO!$B$3:$B$932, MATCH(A26, PRECIO!$A$3:$A$932, 0))</f>
        <v>CHALECO ZAFARI|T9XL|CINTA REFLECTIVA</v>
      </c>
      <c r="C26" s="133">
        <f>INDEX(PRECIO!$C$3:$C$932, MATCH(A26, PRECIO!$A$3:$A$932, 0))</f>
        <v>38</v>
      </c>
      <c r="D26" s="133">
        <f>INDEX(PRECIO!$D$3:$D$932, MATCH(A26, PRECIO!$A$3:$A$932, 0))</f>
        <v>36</v>
      </c>
      <c r="E26" s="133">
        <f>INDEX(PRECIO!$E$3:$E$932, MATCH(A26, PRECIO!$A$3:$A$932, 0))</f>
        <v>35</v>
      </c>
      <c r="F26" s="133">
        <f>INDEX(PRECIO!$O$3:$O$932, MATCH(A26, PRECIO!$A$3:$A$932, 0))</f>
        <v>0</v>
      </c>
    </row>
    <row r="27" spans="1:6" x14ac:dyDescent="0.3">
      <c r="A27" s="131"/>
      <c r="B27" s="132"/>
      <c r="C27" s="133"/>
      <c r="D27" s="133"/>
      <c r="E27" s="133"/>
      <c r="F27" s="133"/>
    </row>
    <row r="28" spans="1:6" x14ac:dyDescent="0.3">
      <c r="A28" s="131"/>
      <c r="B28" s="132"/>
      <c r="C28" s="133"/>
      <c r="D28" s="133"/>
      <c r="E28" s="133"/>
      <c r="F28" s="133"/>
    </row>
    <row r="29" spans="1:6" x14ac:dyDescent="0.3">
      <c r="A29" s="131"/>
      <c r="B29" s="132"/>
      <c r="C29" s="133"/>
      <c r="D29" s="133"/>
      <c r="E29" s="133"/>
      <c r="F29" s="133"/>
    </row>
    <row r="30" spans="1:6" x14ac:dyDescent="0.3">
      <c r="A30" s="131"/>
      <c r="B30" s="132"/>
      <c r="C30" s="133"/>
      <c r="D30" s="133"/>
      <c r="E30" s="133"/>
      <c r="F30" s="133"/>
    </row>
    <row r="31" spans="1:6" x14ac:dyDescent="0.3">
      <c r="A31" s="133"/>
      <c r="B31" s="132"/>
      <c r="C31" s="133"/>
      <c r="D31" s="133"/>
      <c r="E31" s="133"/>
      <c r="F31" s="133"/>
    </row>
    <row r="32" spans="1:6" ht="25.8" x14ac:dyDescent="0.3">
      <c r="A32" s="294" t="s">
        <v>1006</v>
      </c>
      <c r="B32" s="294"/>
      <c r="C32" s="294"/>
      <c r="D32" s="294"/>
      <c r="E32" s="294"/>
      <c r="F32" s="119"/>
    </row>
    <row r="33" spans="1:6" x14ac:dyDescent="0.3">
      <c r="A33" s="120" t="str">
        <f>+PRECIO!A2</f>
        <v>COD.</v>
      </c>
      <c r="B33" s="120" t="str">
        <f>+PRECIO!B2</f>
        <v>DESCRIPCION</v>
      </c>
      <c r="C33" s="120" t="str">
        <f>+PRECIO!C2</f>
        <v>UNI</v>
      </c>
      <c r="D33" s="120" t="str">
        <f>+PRECIO!D2</f>
        <v>&gt;12</v>
      </c>
      <c r="E33" s="120" t="str">
        <f>+PRECIO!E2</f>
        <v>&gt;25</v>
      </c>
      <c r="F33" s="134" t="str">
        <f>+PRECIO!O2</f>
        <v>VALOR</v>
      </c>
    </row>
    <row r="34" spans="1:6" x14ac:dyDescent="0.3">
      <c r="A34" s="131">
        <v>449</v>
      </c>
      <c r="B34" s="132" t="str">
        <f>INDEX(PRECIO!$B$3:$B$932, MATCH(A34, PRECIO!$A$3:$A$932, 0))</f>
        <v>CHALECO VIVIADO|TS-XL│SUBLI</v>
      </c>
      <c r="C34" s="133">
        <f>INDEX(PRECIO!$C$3:$C$932, MATCH(A34, PRECIO!$A$3:$A$932, 0))</f>
        <v>28</v>
      </c>
      <c r="D34" s="133">
        <f>INDEX(PRECIO!$D$3:$D$932, MATCH(A34, PRECIO!$A$3:$A$932, 0))</f>
        <v>26</v>
      </c>
      <c r="E34" s="133">
        <f>INDEX(PRECIO!$E$3:$E$932, MATCH(A34, PRECIO!$A$3:$A$932, 0))</f>
        <v>25</v>
      </c>
      <c r="F34" s="133">
        <f>INDEX(PRECIO!$O$3:$O$932, MATCH(A34, PRECIO!$A$3:$A$932, 0))</f>
        <v>22.21</v>
      </c>
    </row>
    <row r="35" spans="1:6" x14ac:dyDescent="0.3">
      <c r="A35" s="131">
        <v>450</v>
      </c>
      <c r="B35" s="132" t="str">
        <f>INDEX(PRECIO!$B$3:$B$932, MATCH(A35, PRECIO!$A$3:$A$932, 0))</f>
        <v>CHALECO VIVIADO|T2XL│SUBLI</v>
      </c>
      <c r="C35" s="133">
        <f>INDEX(PRECIO!$C$3:$C$932, MATCH(A35, PRECIO!$A$3:$A$932, 0))</f>
        <v>29</v>
      </c>
      <c r="D35" s="133">
        <f>INDEX(PRECIO!$D$3:$D$932, MATCH(A35, PRECIO!$A$3:$A$932, 0))</f>
        <v>27</v>
      </c>
      <c r="E35" s="133">
        <f>INDEX(PRECIO!$E$3:$E$932, MATCH(A35, PRECIO!$A$3:$A$932, 0))</f>
        <v>26</v>
      </c>
      <c r="F35" s="133">
        <f>INDEX(PRECIO!$O$3:$O$932, MATCH(A35, PRECIO!$A$3:$A$932, 0))</f>
        <v>0</v>
      </c>
    </row>
    <row r="36" spans="1:6" x14ac:dyDescent="0.3">
      <c r="A36" s="131">
        <v>451</v>
      </c>
      <c r="B36" s="132" t="str">
        <f>INDEX(PRECIO!$B$3:$B$932, MATCH(A36, PRECIO!$A$3:$A$932, 0))</f>
        <v>CHALECO VIVIADO|T3XL|SUBLI</v>
      </c>
      <c r="C36" s="133">
        <f>INDEX(PRECIO!$C$3:$C$932, MATCH(A36, PRECIO!$A$3:$A$932, 0))</f>
        <v>30</v>
      </c>
      <c r="D36" s="133">
        <f>INDEX(PRECIO!$D$3:$D$932, MATCH(A36, PRECIO!$A$3:$A$932, 0))</f>
        <v>28</v>
      </c>
      <c r="E36" s="133">
        <f>INDEX(PRECIO!$E$3:$E$932, MATCH(A36, PRECIO!$A$3:$A$932, 0))</f>
        <v>27</v>
      </c>
      <c r="F36" s="133">
        <f>INDEX(PRECIO!$O$3:$O$932, MATCH(A36, PRECIO!$A$3:$A$932, 0))</f>
        <v>0</v>
      </c>
    </row>
    <row r="37" spans="1:6" x14ac:dyDescent="0.3">
      <c r="A37" s="131">
        <v>452</v>
      </c>
      <c r="B37" s="132" t="str">
        <f>INDEX(PRECIO!$B$3:$B$932, MATCH(A37, PRECIO!$A$3:$A$932, 0))</f>
        <v>CHALECO VIVIADO|T4XL|SUBLI</v>
      </c>
      <c r="C37" s="133">
        <f>INDEX(PRECIO!$C$3:$C$932, MATCH(A37, PRECIO!$A$3:$A$932, 0))</f>
        <v>31</v>
      </c>
      <c r="D37" s="133">
        <f>INDEX(PRECIO!$D$3:$D$932, MATCH(A37, PRECIO!$A$3:$A$932, 0))</f>
        <v>29</v>
      </c>
      <c r="E37" s="133">
        <f>INDEX(PRECIO!$E$3:$E$932, MATCH(A37, PRECIO!$A$3:$A$932, 0))</f>
        <v>28</v>
      </c>
      <c r="F37" s="133">
        <f>INDEX(PRECIO!$O$3:$O$932, MATCH(A37, PRECIO!$A$3:$A$932, 0))</f>
        <v>0</v>
      </c>
    </row>
    <row r="38" spans="1:6" x14ac:dyDescent="0.3">
      <c r="A38" s="131">
        <v>453</v>
      </c>
      <c r="B38" s="132" t="str">
        <f>INDEX(PRECIO!$B$3:$B$932, MATCH(A38, PRECIO!$A$3:$A$932, 0))</f>
        <v>CHALECO VIVIADO|T5XL|SUBLI</v>
      </c>
      <c r="C38" s="133">
        <f>INDEX(PRECIO!$C$3:$C$932, MATCH(A38, PRECIO!$A$3:$A$932, 0))</f>
        <v>32</v>
      </c>
      <c r="D38" s="133">
        <f>INDEX(PRECIO!$D$3:$D$932, MATCH(A38, PRECIO!$A$3:$A$932, 0))</f>
        <v>30</v>
      </c>
      <c r="E38" s="133">
        <f>INDEX(PRECIO!$E$3:$E$932, MATCH(A38, PRECIO!$A$3:$A$932, 0))</f>
        <v>29</v>
      </c>
      <c r="F38" s="133">
        <f>INDEX(PRECIO!$O$3:$O$932, MATCH(A38, PRECIO!$A$3:$A$932, 0))</f>
        <v>0</v>
      </c>
    </row>
    <row r="39" spans="1:6" x14ac:dyDescent="0.3">
      <c r="A39" s="131">
        <v>454</v>
      </c>
      <c r="B39" s="132" t="str">
        <f>INDEX(PRECIO!$B$3:$B$932, MATCH(A39, PRECIO!$A$3:$A$932, 0))</f>
        <v>CHALECO VIVIADO|T6XL|SUBLI</v>
      </c>
      <c r="C39" s="133">
        <f>INDEX(PRECIO!$C$3:$C$932, MATCH(A39, PRECIO!$A$3:$A$932, 0))</f>
        <v>33</v>
      </c>
      <c r="D39" s="133">
        <f>INDEX(PRECIO!$D$3:$D$932, MATCH(A39, PRECIO!$A$3:$A$932, 0))</f>
        <v>31</v>
      </c>
      <c r="E39" s="133">
        <f>INDEX(PRECIO!$E$3:$E$932, MATCH(A39, PRECIO!$A$3:$A$932, 0))</f>
        <v>30</v>
      </c>
      <c r="F39" s="133">
        <f>INDEX(PRECIO!$O$3:$O$932, MATCH(A39, PRECIO!$A$3:$A$932, 0))</f>
        <v>0</v>
      </c>
    </row>
    <row r="40" spans="1:6" x14ac:dyDescent="0.3">
      <c r="A40" s="131">
        <v>455</v>
      </c>
      <c r="B40" s="132" t="str">
        <f>INDEX(PRECIO!$B$3:$B$932, MATCH(A40, PRECIO!$A$3:$A$932, 0))</f>
        <v>CHALECO VIVIADO|T7XL|SUBLI</v>
      </c>
      <c r="C40" s="133">
        <f>INDEX(PRECIO!$C$3:$C$932, MATCH(A40, PRECIO!$A$3:$A$932, 0))</f>
        <v>34</v>
      </c>
      <c r="D40" s="133">
        <f>INDEX(PRECIO!$D$3:$D$932, MATCH(A40, PRECIO!$A$3:$A$932, 0))</f>
        <v>32</v>
      </c>
      <c r="E40" s="133">
        <f>INDEX(PRECIO!$E$3:$E$932, MATCH(A40, PRECIO!$A$3:$A$932, 0))</f>
        <v>31</v>
      </c>
      <c r="F40" s="133">
        <f>INDEX(PRECIO!$O$3:$O$932, MATCH(A40, PRECIO!$A$3:$A$932, 0))</f>
        <v>0</v>
      </c>
    </row>
    <row r="41" spans="1:6" x14ac:dyDescent="0.3">
      <c r="A41" s="131">
        <v>456</v>
      </c>
      <c r="B41" s="132" t="str">
        <f>INDEX(PRECIO!$B$3:$B$932, MATCH(A41, PRECIO!$A$3:$A$932, 0))</f>
        <v>CHALECO VIVIADO|T8XL|SUBLI</v>
      </c>
      <c r="C41" s="133">
        <f>INDEX(PRECIO!$C$3:$C$932, MATCH(A41, PRECIO!$A$3:$A$932, 0))</f>
        <v>35</v>
      </c>
      <c r="D41" s="133">
        <f>INDEX(PRECIO!$D$3:$D$932, MATCH(A41, PRECIO!$A$3:$A$932, 0))</f>
        <v>33</v>
      </c>
      <c r="E41" s="133">
        <f>INDEX(PRECIO!$E$3:$E$932, MATCH(A41, PRECIO!$A$3:$A$932, 0))</f>
        <v>32</v>
      </c>
      <c r="F41" s="133">
        <f>INDEX(PRECIO!$O$3:$O$932, MATCH(A41, PRECIO!$A$3:$A$932, 0))</f>
        <v>0</v>
      </c>
    </row>
    <row r="42" spans="1:6" x14ac:dyDescent="0.3">
      <c r="A42" s="131">
        <v>457</v>
      </c>
      <c r="B42" s="132" t="str">
        <f>INDEX(PRECIO!$B$3:$B$932, MATCH(A42, PRECIO!$A$3:$A$932, 0))</f>
        <v>CHALECO VIVIADO|T9XL|SUBLI</v>
      </c>
      <c r="C42" s="133">
        <f>INDEX(PRECIO!$C$3:$C$932, MATCH(A42, PRECIO!$A$3:$A$932, 0))</f>
        <v>36</v>
      </c>
      <c r="D42" s="133">
        <f>INDEX(PRECIO!$D$3:$D$932, MATCH(A42, PRECIO!$A$3:$A$932, 0))</f>
        <v>34</v>
      </c>
      <c r="E42" s="133">
        <f>INDEX(PRECIO!$E$3:$E$932, MATCH(A42, PRECIO!$A$3:$A$932, 0))</f>
        <v>33</v>
      </c>
      <c r="F42" s="133">
        <f>INDEX(PRECIO!$O$3:$O$932, MATCH(A42, PRECIO!$A$3:$A$932, 0))</f>
        <v>0</v>
      </c>
    </row>
  </sheetData>
  <mergeCells count="3">
    <mergeCell ref="A16:E16"/>
    <mergeCell ref="A2:E2"/>
    <mergeCell ref="A32:E32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0782-AB86-424A-89AC-363E9C1DFE62}">
  <sheetPr codeName="Hoja19"/>
  <dimension ref="A1:G30"/>
  <sheetViews>
    <sheetView zoomScaleNormal="100" workbookViewId="0">
      <pane ySplit="2" topLeftCell="A3" activePane="bottomLeft" state="frozenSplit"/>
      <selection activeCell="I14" sqref="I14"/>
      <selection pane="bottomLeft" activeCell="I9" sqref="I9"/>
    </sheetView>
  </sheetViews>
  <sheetFormatPr baseColWidth="10" defaultRowHeight="14.4" x14ac:dyDescent="0.3"/>
  <cols>
    <col min="1" max="1" width="11.44140625" style="109"/>
    <col min="2" max="2" width="51.88671875" style="110" bestFit="1" customWidth="1"/>
    <col min="3" max="5" width="7.6640625" style="109" customWidth="1"/>
    <col min="6" max="6" width="11.44140625" style="109"/>
  </cols>
  <sheetData>
    <row r="1" spans="1:7" ht="29.25" customHeight="1" x14ac:dyDescent="0.3">
      <c r="A1" s="277" t="s">
        <v>333</v>
      </c>
      <c r="B1" s="277"/>
      <c r="C1" s="277"/>
      <c r="D1" s="277"/>
      <c r="E1" s="296"/>
      <c r="F1" s="118"/>
    </row>
    <row r="2" spans="1:7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">
        <v>285</v>
      </c>
      <c r="E2" s="120" t="s">
        <v>117</v>
      </c>
      <c r="F2" s="120" t="str">
        <f>+PRECIO!O2</f>
        <v>VALOR</v>
      </c>
    </row>
    <row r="3" spans="1:7" x14ac:dyDescent="0.3">
      <c r="A3" s="189">
        <v>475</v>
      </c>
      <c r="B3" s="190" t="str">
        <f>INDEX(PRECIO!$B$3:$B$935, MATCH(A3, PRECIO!$A$3:$A$935, 0))</f>
        <v>CHOMPA SUBLIMADA|T26-30|NIÑOS</v>
      </c>
      <c r="C3" s="191">
        <f>INDEX(PRECIO!$C$3:$C$935, MATCH(A3, PRECIO!$A$3:$A$935, 0))</f>
        <v>24</v>
      </c>
      <c r="D3" s="191">
        <f>INDEX(PRECIO!$D$3:$D$935, MATCH(A3, PRECIO!$A$3:$A$935, 0))</f>
        <v>22</v>
      </c>
      <c r="E3" s="191">
        <f>INDEX(PRECIO!$E$3:$E$935, MATCH(A3, PRECIO!$A$3:$A$935, 0))</f>
        <v>21</v>
      </c>
      <c r="F3" s="191">
        <f>INDEX(PRECIO!$O$3:$O$935, MATCH(A3, PRECIO!$A$3:$A$935, 0))</f>
        <v>0</v>
      </c>
      <c r="G3">
        <f t="shared" ref="G3:G4" si="0">+G4-1</f>
        <v>21</v>
      </c>
    </row>
    <row r="4" spans="1:7" x14ac:dyDescent="0.3">
      <c r="A4" s="189">
        <v>476</v>
      </c>
      <c r="B4" s="190" t="str">
        <f>INDEX(PRECIO!$B$3:$B$935, MATCH(A4, PRECIO!$A$3:$A$935, 0))</f>
        <v>CHOMPA SUBLIMADA|T32-36|NIÑOS</v>
      </c>
      <c r="C4" s="191">
        <f>INDEX(PRECIO!$C$3:$C$935, MATCH(A4, PRECIO!$A$3:$A$935, 0))</f>
        <v>25</v>
      </c>
      <c r="D4" s="191">
        <f>INDEX(PRECIO!$D$3:$D$935, MATCH(A4, PRECIO!$A$3:$A$935, 0))</f>
        <v>23</v>
      </c>
      <c r="E4" s="191">
        <f>INDEX(PRECIO!$E$3:$E$935, MATCH(A4, PRECIO!$A$3:$A$935, 0))</f>
        <v>22</v>
      </c>
      <c r="F4" s="191">
        <f>INDEX(PRECIO!$O$3:$O$935, MATCH(A4, PRECIO!$A$3:$A$935, 0))</f>
        <v>0</v>
      </c>
      <c r="G4">
        <f t="shared" si="0"/>
        <v>22</v>
      </c>
    </row>
    <row r="5" spans="1:7" x14ac:dyDescent="0.3">
      <c r="A5" s="125">
        <v>477</v>
      </c>
      <c r="B5" s="126" t="str">
        <f>INDEX(PRECIO!$B$3:$B$935, MATCH(A5, PRECIO!$A$3:$A$935, 0))</f>
        <v>CHOMPA SUBLIMADA|T38-42|JOVEN</v>
      </c>
      <c r="C5" s="127">
        <f>INDEX(PRECIO!$C$3:$C$935, MATCH(A5, PRECIO!$A$3:$A$935, 0))</f>
        <v>26</v>
      </c>
      <c r="D5" s="127">
        <f>INDEX(PRECIO!$D$3:$D$935, MATCH(A5, PRECIO!$A$3:$A$935, 0))</f>
        <v>24</v>
      </c>
      <c r="E5" s="127">
        <f>INDEX(PRECIO!$E$3:$E$935, MATCH(A5, PRECIO!$A$3:$A$935, 0))</f>
        <v>23</v>
      </c>
      <c r="F5" s="127">
        <f>INDEX(PRECIO!$O$3:$O$935, MATCH(A5, PRECIO!$A$3:$A$935, 0))</f>
        <v>16.39</v>
      </c>
      <c r="G5">
        <f>+G6-1</f>
        <v>23</v>
      </c>
    </row>
    <row r="6" spans="1:7" x14ac:dyDescent="0.3">
      <c r="A6" s="135">
        <v>211</v>
      </c>
      <c r="B6" s="182" t="str">
        <f>INDEX(PRECIO!B3:B423, MATCH(A6, PRECIO!A3:A423, 0))</f>
        <v>CHOMPA SUBLIMADA|TXS-XL│ADULTO</v>
      </c>
      <c r="C6" s="136">
        <f>INDEX(PRECIO!C3:C423, MATCH(A6, PRECIO!A3:A423, 0))</f>
        <v>29</v>
      </c>
      <c r="D6" s="136">
        <f>INDEX(PRECIO!D3:D423, MATCH(A6, PRECIO!A3:A423, 0))</f>
        <v>27</v>
      </c>
      <c r="E6" s="136">
        <f>INDEX(PRECIO!E3:E423, MATCH(A6, PRECIO!A3:A423, 0))</f>
        <v>26</v>
      </c>
      <c r="F6" s="136">
        <f>INDEX(PRECIO!O3:O375, MATCH(A6, PRECIO!A3:A375, 0))</f>
        <v>21.08</v>
      </c>
      <c r="G6">
        <f>+E6-2</f>
        <v>24</v>
      </c>
    </row>
    <row r="7" spans="1:7" x14ac:dyDescent="0.3">
      <c r="A7" s="135">
        <v>458</v>
      </c>
      <c r="B7" s="182" t="str">
        <f>INDEX(PRECIO!$B$3:$B$932, MATCH(A7, PRECIO!$A$3:$A$932, 0))</f>
        <v>CHOMPA SUBLIMADA|T2XL│ADULTO</v>
      </c>
      <c r="C7" s="136">
        <f>INDEX(PRECIO!$C$3:$C$932, MATCH(A7, PRECIO!$A$3:$A$932, 0))</f>
        <v>30</v>
      </c>
      <c r="D7" s="136">
        <f>INDEX(PRECIO!$D$3:$D$932, MATCH(A7, PRECIO!$A$3:$A$932, 0))</f>
        <v>28</v>
      </c>
      <c r="E7" s="136">
        <f>INDEX(PRECIO!$E$3:$E$932, MATCH(A7, PRECIO!$A$3:$A$932, 0))</f>
        <v>27</v>
      </c>
      <c r="F7" s="136">
        <f>INDEX(PRECIO!$O$3:$O$932, MATCH(A7, PRECIO!$A$3:$A$932, 0))</f>
        <v>0</v>
      </c>
      <c r="G7">
        <f>+G6+1</f>
        <v>25</v>
      </c>
    </row>
    <row r="8" spans="1:7" x14ac:dyDescent="0.3">
      <c r="A8" s="135">
        <v>459</v>
      </c>
      <c r="B8" s="182" t="str">
        <f>INDEX(PRECIO!$B$3:$B$932, MATCH(A8, PRECIO!$A$3:$A$932, 0))</f>
        <v>CHOMPA SUBLIMADA|T3XL│ADULTO</v>
      </c>
      <c r="C8" s="136">
        <f>INDEX(PRECIO!$C$3:$C$932, MATCH(A8, PRECIO!$A$3:$A$932, 0))</f>
        <v>31</v>
      </c>
      <c r="D8" s="136">
        <f>INDEX(PRECIO!$D$3:$D$932, MATCH(A8, PRECIO!$A$3:$A$932, 0))</f>
        <v>29</v>
      </c>
      <c r="E8" s="136">
        <f>INDEX(PRECIO!$E$3:$E$932, MATCH(A8, PRECIO!$A$3:$A$932, 0))</f>
        <v>28</v>
      </c>
      <c r="F8" s="136">
        <f>INDEX(PRECIO!$O$3:$O$932, MATCH(A8, PRECIO!$A$3:$A$932, 0))</f>
        <v>0</v>
      </c>
      <c r="G8">
        <f t="shared" ref="G8:G14" si="1">+G7+1</f>
        <v>26</v>
      </c>
    </row>
    <row r="9" spans="1:7" x14ac:dyDescent="0.3">
      <c r="A9" s="135">
        <v>460</v>
      </c>
      <c r="B9" s="182" t="str">
        <f>INDEX(PRECIO!$B$3:$B$932, MATCH(A9, PRECIO!$A$3:$A$932, 0))</f>
        <v>CHOMPA SUBLIMADA|T4XL│ADULTO</v>
      </c>
      <c r="C9" s="136">
        <f>INDEX(PRECIO!$C$3:$C$932, MATCH(A9, PRECIO!$A$3:$A$932, 0))</f>
        <v>32</v>
      </c>
      <c r="D9" s="136">
        <f>INDEX(PRECIO!$D$3:$D$932, MATCH(A9, PRECIO!$A$3:$A$932, 0))</f>
        <v>30</v>
      </c>
      <c r="E9" s="136">
        <f>INDEX(PRECIO!$E$3:$E$932, MATCH(A9, PRECIO!$A$3:$A$932, 0))</f>
        <v>29</v>
      </c>
      <c r="F9" s="136">
        <f>INDEX(PRECIO!$O$3:$O$932, MATCH(A9, PRECIO!$A$3:$A$932, 0))</f>
        <v>0</v>
      </c>
      <c r="G9">
        <f t="shared" si="1"/>
        <v>27</v>
      </c>
    </row>
    <row r="10" spans="1:7" x14ac:dyDescent="0.3">
      <c r="A10" s="135">
        <v>461</v>
      </c>
      <c r="B10" s="182" t="str">
        <f>INDEX(PRECIO!$B$3:$B$932, MATCH(A10, PRECIO!$A$3:$A$932, 0))</f>
        <v>CHOMPA SUBLIMADA|T5XL│ADULTO</v>
      </c>
      <c r="C10" s="136">
        <f>INDEX(PRECIO!$C$3:$C$932, MATCH(A10, PRECIO!$A$3:$A$932, 0))</f>
        <v>33</v>
      </c>
      <c r="D10" s="136">
        <f>INDEX(PRECIO!$D$3:$D$932, MATCH(A10, PRECIO!$A$3:$A$932, 0))</f>
        <v>31</v>
      </c>
      <c r="E10" s="136">
        <f>INDEX(PRECIO!$E$3:$E$932, MATCH(A10, PRECIO!$A$3:$A$932, 0))</f>
        <v>30</v>
      </c>
      <c r="F10" s="136">
        <f>INDEX(PRECIO!$O$3:$O$932, MATCH(A10, PRECIO!$A$3:$A$932, 0))</f>
        <v>0</v>
      </c>
      <c r="G10">
        <f t="shared" si="1"/>
        <v>28</v>
      </c>
    </row>
    <row r="11" spans="1:7" x14ac:dyDescent="0.3">
      <c r="A11" s="135">
        <v>462</v>
      </c>
      <c r="B11" s="182" t="str">
        <f>INDEX(PRECIO!$B$3:$B$932, MATCH(A11, PRECIO!$A$3:$A$932, 0))</f>
        <v>CHOMPA SUBLIMADA|T6XL│ADULTO</v>
      </c>
      <c r="C11" s="136">
        <f>INDEX(PRECIO!$C$3:$C$932, MATCH(A11, PRECIO!$A$3:$A$932, 0))</f>
        <v>34</v>
      </c>
      <c r="D11" s="136">
        <f>INDEX(PRECIO!$D$3:$D$932, MATCH(A11, PRECIO!$A$3:$A$932, 0))</f>
        <v>32</v>
      </c>
      <c r="E11" s="136">
        <f>INDEX(PRECIO!$E$3:$E$932, MATCH(A11, PRECIO!$A$3:$A$932, 0))</f>
        <v>31</v>
      </c>
      <c r="F11" s="136">
        <f>INDEX(PRECIO!$O$3:$O$932, MATCH(A11, PRECIO!$A$3:$A$932, 0))</f>
        <v>0</v>
      </c>
      <c r="G11">
        <f t="shared" si="1"/>
        <v>29</v>
      </c>
    </row>
    <row r="12" spans="1:7" x14ac:dyDescent="0.3">
      <c r="A12" s="135">
        <v>463</v>
      </c>
      <c r="B12" s="182" t="str">
        <f>INDEX(PRECIO!$B$3:$B$932, MATCH(A12, PRECIO!$A$3:$A$932, 0))</f>
        <v>CHOMPA SUBLIMADA|T7XL│ADULTO</v>
      </c>
      <c r="C12" s="136">
        <f>INDEX(PRECIO!$C$3:$C$932, MATCH(A12, PRECIO!$A$3:$A$932, 0))</f>
        <v>35</v>
      </c>
      <c r="D12" s="136">
        <f>INDEX(PRECIO!$D$3:$D$932, MATCH(A12, PRECIO!$A$3:$A$932, 0))</f>
        <v>33</v>
      </c>
      <c r="E12" s="136">
        <f>INDEX(PRECIO!$E$3:$E$932, MATCH(A12, PRECIO!$A$3:$A$932, 0))</f>
        <v>32</v>
      </c>
      <c r="F12" s="136">
        <f>INDEX(PRECIO!$O$3:$O$932, MATCH(A12, PRECIO!$A$3:$A$932, 0))</f>
        <v>0</v>
      </c>
      <c r="G12">
        <f t="shared" si="1"/>
        <v>30</v>
      </c>
    </row>
    <row r="13" spans="1:7" x14ac:dyDescent="0.3">
      <c r="A13" s="135">
        <v>464</v>
      </c>
      <c r="B13" s="182" t="str">
        <f>INDEX(PRECIO!$B$3:$B$932, MATCH(A13, PRECIO!$A$3:$A$932, 0))</f>
        <v>CHOMPA SUBLIMADA|T8XL│ADULTO</v>
      </c>
      <c r="C13" s="136">
        <f>INDEX(PRECIO!$C$3:$C$932, MATCH(A13, PRECIO!$A$3:$A$932, 0))</f>
        <v>36</v>
      </c>
      <c r="D13" s="136">
        <f>INDEX(PRECIO!$D$3:$D$932, MATCH(A13, PRECIO!$A$3:$A$932, 0))</f>
        <v>34</v>
      </c>
      <c r="E13" s="136">
        <f>INDEX(PRECIO!$E$3:$E$932, MATCH(A13, PRECIO!$A$3:$A$932, 0))</f>
        <v>33</v>
      </c>
      <c r="F13" s="136">
        <f>INDEX(PRECIO!$O$3:$O$932, MATCH(A13, PRECIO!$A$3:$A$932, 0))</f>
        <v>0</v>
      </c>
      <c r="G13">
        <f t="shared" si="1"/>
        <v>31</v>
      </c>
    </row>
    <row r="14" spans="1:7" x14ac:dyDescent="0.3">
      <c r="A14" s="135">
        <v>465</v>
      </c>
      <c r="B14" s="182" t="str">
        <f>INDEX(PRECIO!$B$3:$B$932, MATCH(A14, PRECIO!$A$3:$A$932, 0))</f>
        <v>CHOMPA SUBLIMADA|T9XL│ADULTO</v>
      </c>
      <c r="C14" s="136">
        <f>INDEX(PRECIO!$C$3:$C$932, MATCH(A14, PRECIO!$A$3:$A$932, 0))</f>
        <v>37</v>
      </c>
      <c r="D14" s="136">
        <f>INDEX(PRECIO!$D$3:$D$932, MATCH(A14, PRECIO!$A$3:$A$932, 0))</f>
        <v>35</v>
      </c>
      <c r="E14" s="136">
        <f>INDEX(PRECIO!$E$3:$E$932, MATCH(A14, PRECIO!$A$3:$A$932, 0))</f>
        <v>34</v>
      </c>
      <c r="F14" s="136">
        <f>INDEX(PRECIO!$O$3:$O$932, MATCH(A14, PRECIO!$A$3:$A$932, 0))</f>
        <v>0</v>
      </c>
      <c r="G14">
        <f t="shared" si="1"/>
        <v>32</v>
      </c>
    </row>
    <row r="15" spans="1:7" x14ac:dyDescent="0.3">
      <c r="A15" s="196"/>
      <c r="B15" s="197"/>
      <c r="C15" s="198"/>
      <c r="D15" s="198"/>
      <c r="E15" s="198"/>
      <c r="F15" s="198"/>
    </row>
    <row r="16" spans="1:7" x14ac:dyDescent="0.3">
      <c r="A16" s="196"/>
      <c r="B16" s="197"/>
      <c r="C16" s="198"/>
      <c r="D16" s="198"/>
      <c r="E16" s="198"/>
      <c r="F16" s="198"/>
    </row>
    <row r="17" spans="1:7" ht="25.8" x14ac:dyDescent="0.3">
      <c r="A17" s="284" t="s">
        <v>1034</v>
      </c>
      <c r="B17" s="284"/>
      <c r="C17" s="284"/>
      <c r="D17" s="284"/>
      <c r="E17" s="295"/>
      <c r="F17" s="118"/>
    </row>
    <row r="18" spans="1:7" x14ac:dyDescent="0.3">
      <c r="A18" s="120" t="str">
        <f>+PRECIO!A2</f>
        <v>COD.</v>
      </c>
      <c r="B18" s="121" t="str">
        <f>+PRECIO!B2</f>
        <v>DESCRIPCION</v>
      </c>
      <c r="C18" s="120" t="str">
        <f>+PRECIO!C2</f>
        <v>UNI</v>
      </c>
      <c r="D18" s="121" t="s">
        <v>285</v>
      </c>
      <c r="E18" s="120" t="s">
        <v>117</v>
      </c>
      <c r="F18" s="120" t="str">
        <f>+PRECIO!O2</f>
        <v>VALOR</v>
      </c>
    </row>
    <row r="19" spans="1:7" x14ac:dyDescent="0.3">
      <c r="A19" s="156">
        <v>478</v>
      </c>
      <c r="B19" s="157" t="str">
        <f>INDEX(PRECIO!$B$3:$B$933, MATCH(A19, PRECIO!$A$3:$A$933, 0))</f>
        <v>CALENTADOR SUBLI|T26-30|NIÑO</v>
      </c>
      <c r="C19" s="158">
        <f>INDEX(PRECIO!$C$3:$C$933, MATCH(A19, PRECIO!$A$3:$A$933, 0))</f>
        <v>18</v>
      </c>
      <c r="D19" s="158">
        <f>INDEX(PRECIO!$D$3:$D$933, MATCH(A19, PRECIO!$A$3:$A$933, 0))</f>
        <v>16</v>
      </c>
      <c r="E19" s="158">
        <f>INDEX(PRECIO!$E$3:$E$933, MATCH(A19, PRECIO!$A$3:$A$933, 0))</f>
        <v>15</v>
      </c>
      <c r="F19" s="158">
        <f>INDEX(PRECIO!$O$3:$O$933, MATCH(A19, PRECIO!$A$3:$A$933, 0))</f>
        <v>0</v>
      </c>
      <c r="G19">
        <f t="shared" ref="G19:G20" si="2">+G20-1</f>
        <v>13</v>
      </c>
    </row>
    <row r="20" spans="1:7" x14ac:dyDescent="0.3">
      <c r="A20" s="156">
        <v>479</v>
      </c>
      <c r="B20" s="157" t="str">
        <f>INDEX(PRECIO!$B$3:$B$933, MATCH(A20, PRECIO!$A$3:$A$933, 0))</f>
        <v>CALENTADOR SUBLI|T32-36|NIÑO</v>
      </c>
      <c r="C20" s="158">
        <f>INDEX(PRECIO!$C$3:$C$933, MATCH(A20, PRECIO!$A$3:$A$933, 0))</f>
        <v>19</v>
      </c>
      <c r="D20" s="158">
        <f>INDEX(PRECIO!$D$3:$D$933, MATCH(A20, PRECIO!$A$3:$A$933, 0))</f>
        <v>17</v>
      </c>
      <c r="E20" s="158">
        <f>INDEX(PRECIO!$E$3:$E$933, MATCH(A20, PRECIO!$A$3:$A$933, 0))</f>
        <v>16</v>
      </c>
      <c r="F20" s="158">
        <f>INDEX(PRECIO!$O$3:$O$933, MATCH(A20, PRECIO!$A$3:$A$933, 0))</f>
        <v>0</v>
      </c>
      <c r="G20">
        <f t="shared" si="2"/>
        <v>14</v>
      </c>
    </row>
    <row r="21" spans="1:7" x14ac:dyDescent="0.3">
      <c r="A21" s="165">
        <v>480</v>
      </c>
      <c r="B21" s="166" t="str">
        <f>INDEX(PRECIO!$B$3:$B$933, MATCH(A21, PRECIO!$A$3:$A$933, 0))</f>
        <v>CALENTADOR SUBLI|T38-42|JOVEN</v>
      </c>
      <c r="C21" s="115">
        <f>INDEX(PRECIO!$C$3:$C$933, MATCH(A21, PRECIO!$A$3:$A$933, 0))</f>
        <v>20</v>
      </c>
      <c r="D21" s="115">
        <f>INDEX(PRECIO!$D$3:$D$933, MATCH(A21, PRECIO!$A$3:$A$933, 0))</f>
        <v>18</v>
      </c>
      <c r="E21" s="115">
        <f>INDEX(PRECIO!$E$3:$E$933, MATCH(A21, PRECIO!$A$3:$A$933, 0))</f>
        <v>17</v>
      </c>
      <c r="F21" s="115">
        <f>INDEX(PRECIO!$O$3:$O$933, MATCH(A21, PRECIO!$A$3:$A$933, 0))</f>
        <v>9.44</v>
      </c>
      <c r="G21">
        <f>+G22-1</f>
        <v>15</v>
      </c>
    </row>
    <row r="22" spans="1:7" x14ac:dyDescent="0.3">
      <c r="A22" s="164">
        <v>481</v>
      </c>
      <c r="B22" s="167" t="str">
        <f>INDEX(PRECIO!$B$3:$B$933, MATCH(A22, PRECIO!$A$3:$A$933, 0))</f>
        <v>CALENTADOR SUBLI|TXS-XL│ADULTO</v>
      </c>
      <c r="C22" s="116">
        <f>INDEX(PRECIO!$C$3:$C$933, MATCH(A22, PRECIO!$A$3:$A$933, 0))</f>
        <v>21</v>
      </c>
      <c r="D22" s="116">
        <f>INDEX(PRECIO!$D$3:$D$933, MATCH(A22, PRECIO!$A$3:$A$933, 0))</f>
        <v>19</v>
      </c>
      <c r="E22" s="116">
        <f>INDEX(PRECIO!$E$3:$E$933, MATCH(A22, PRECIO!$A$3:$A$933, 0))</f>
        <v>18</v>
      </c>
      <c r="F22" s="116">
        <f>INDEX(PRECIO!$O$3:$O$933, MATCH(A22, PRECIO!$A$3:$A$933, 0))</f>
        <v>13.82</v>
      </c>
      <c r="G22">
        <f>+E22-2</f>
        <v>16</v>
      </c>
    </row>
    <row r="23" spans="1:7" x14ac:dyDescent="0.3">
      <c r="A23" s="164">
        <v>482</v>
      </c>
      <c r="B23" s="167" t="str">
        <f>INDEX(PRECIO!$B$3:$B$933, MATCH(A23, PRECIO!$A$3:$A$933, 0))</f>
        <v>CALENTADOR SUBLI|T2XL│ADULTO</v>
      </c>
      <c r="C23" s="116">
        <f>INDEX(PRECIO!$C$3:$C$933, MATCH(A23, PRECIO!$A$3:$A$933, 0))</f>
        <v>22</v>
      </c>
      <c r="D23" s="116">
        <f>INDEX(PRECIO!$D$3:$D$933, MATCH(A23, PRECIO!$A$3:$A$933, 0))</f>
        <v>20</v>
      </c>
      <c r="E23" s="116">
        <f>INDEX(PRECIO!$E$3:$E$933, MATCH(A23, PRECIO!$A$3:$A$933, 0))</f>
        <v>19</v>
      </c>
      <c r="F23" s="116">
        <f>INDEX(PRECIO!$O$3:$O$933, MATCH(A23, PRECIO!$A$3:$A$933, 0))</f>
        <v>0</v>
      </c>
      <c r="G23">
        <f>+G22+1</f>
        <v>17</v>
      </c>
    </row>
    <row r="24" spans="1:7" x14ac:dyDescent="0.3">
      <c r="A24" s="164">
        <v>483</v>
      </c>
      <c r="B24" s="167" t="str">
        <f>INDEX(PRECIO!$B$3:$B$933, MATCH(A24, PRECIO!$A$3:$A$933, 0))</f>
        <v>CALENTADOR SUBLI|T3XL│ADULTO</v>
      </c>
      <c r="C24" s="116">
        <f>INDEX(PRECIO!$C$3:$C$933, MATCH(A24, PRECIO!$A$3:$A$933, 0))</f>
        <v>23</v>
      </c>
      <c r="D24" s="116">
        <f>INDEX(PRECIO!$D$3:$D$933, MATCH(A24, PRECIO!$A$3:$A$933, 0))</f>
        <v>21</v>
      </c>
      <c r="E24" s="116">
        <f>INDEX(PRECIO!$E$3:$E$933, MATCH(A24, PRECIO!$A$3:$A$933, 0))</f>
        <v>20</v>
      </c>
      <c r="F24" s="116">
        <f>INDEX(PRECIO!$O$3:$O$933, MATCH(A24, PRECIO!$A$3:$A$933, 0))</f>
        <v>0</v>
      </c>
      <c r="G24">
        <f t="shared" ref="G24:G30" si="3">+G23+1</f>
        <v>18</v>
      </c>
    </row>
    <row r="25" spans="1:7" x14ac:dyDescent="0.3">
      <c r="A25" s="164">
        <v>484</v>
      </c>
      <c r="B25" s="167" t="str">
        <f>INDEX(PRECIO!$B$3:$B$933, MATCH(A25, PRECIO!$A$3:$A$933, 0))</f>
        <v>CALENTADOR SUBLI|T4XL│ADULTO</v>
      </c>
      <c r="C25" s="116">
        <f>INDEX(PRECIO!$C$3:$C$933, MATCH(A25, PRECIO!$A$3:$A$933, 0))</f>
        <v>24</v>
      </c>
      <c r="D25" s="116">
        <f>INDEX(PRECIO!$D$3:$D$933, MATCH(A25, PRECIO!$A$3:$A$933, 0))</f>
        <v>22</v>
      </c>
      <c r="E25" s="116">
        <f>INDEX(PRECIO!$E$3:$E$933, MATCH(A25, PRECIO!$A$3:$A$933, 0))</f>
        <v>21</v>
      </c>
      <c r="F25" s="116">
        <f>INDEX(PRECIO!$O$3:$O$933, MATCH(A25, PRECIO!$A$3:$A$933, 0))</f>
        <v>0</v>
      </c>
      <c r="G25">
        <f t="shared" si="3"/>
        <v>19</v>
      </c>
    </row>
    <row r="26" spans="1:7" x14ac:dyDescent="0.3">
      <c r="A26" s="164">
        <v>485</v>
      </c>
      <c r="B26" s="167" t="str">
        <f>INDEX(PRECIO!$B$3:$B$933, MATCH(A26, PRECIO!$A$3:$A$933, 0))</f>
        <v>CALENTADOR SUBLI|T5XL│ADULTO</v>
      </c>
      <c r="C26" s="116">
        <f>INDEX(PRECIO!$C$3:$C$933, MATCH(A26, PRECIO!$A$3:$A$933, 0))</f>
        <v>25</v>
      </c>
      <c r="D26" s="116">
        <f>INDEX(PRECIO!$D$3:$D$933, MATCH(A26, PRECIO!$A$3:$A$933, 0))</f>
        <v>23</v>
      </c>
      <c r="E26" s="116">
        <f>INDEX(PRECIO!$E$3:$E$933, MATCH(A26, PRECIO!$A$3:$A$933, 0))</f>
        <v>22</v>
      </c>
      <c r="F26" s="116">
        <f>INDEX(PRECIO!$O$3:$O$933, MATCH(A26, PRECIO!$A$3:$A$933, 0))</f>
        <v>0</v>
      </c>
      <c r="G26">
        <f t="shared" si="3"/>
        <v>20</v>
      </c>
    </row>
    <row r="27" spans="1:7" x14ac:dyDescent="0.3">
      <c r="A27" s="164">
        <v>486</v>
      </c>
      <c r="B27" s="167" t="str">
        <f>INDEX(PRECIO!$B$3:$B$933, MATCH(A27, PRECIO!$A$3:$A$933, 0))</f>
        <v>CALENTADOR SUBLI|T6XL│ADULTO</v>
      </c>
      <c r="C27" s="116">
        <f>INDEX(PRECIO!$C$3:$C$933, MATCH(A27, PRECIO!$A$3:$A$933, 0))</f>
        <v>26</v>
      </c>
      <c r="D27" s="116">
        <f>INDEX(PRECIO!$D$3:$D$933, MATCH(A27, PRECIO!$A$3:$A$933, 0))</f>
        <v>24</v>
      </c>
      <c r="E27" s="116">
        <f>INDEX(PRECIO!$E$3:$E$933, MATCH(A27, PRECIO!$A$3:$A$933, 0))</f>
        <v>23</v>
      </c>
      <c r="F27" s="116">
        <f>INDEX(PRECIO!$O$3:$O$933, MATCH(A27, PRECIO!$A$3:$A$933, 0))</f>
        <v>0</v>
      </c>
      <c r="G27">
        <f t="shared" si="3"/>
        <v>21</v>
      </c>
    </row>
    <row r="28" spans="1:7" x14ac:dyDescent="0.3">
      <c r="A28" s="164">
        <v>487</v>
      </c>
      <c r="B28" s="167" t="str">
        <f>INDEX(PRECIO!$B$3:$B$933, MATCH(A28, PRECIO!$A$3:$A$933, 0))</f>
        <v>CALENTADOR SUBLI|T7XL│ADULTO</v>
      </c>
      <c r="C28" s="116">
        <f>INDEX(PRECIO!$C$3:$C$933, MATCH(A28, PRECIO!$A$3:$A$933, 0))</f>
        <v>27</v>
      </c>
      <c r="D28" s="116">
        <f>INDEX(PRECIO!$D$3:$D$933, MATCH(A28, PRECIO!$A$3:$A$933, 0))</f>
        <v>25</v>
      </c>
      <c r="E28" s="116">
        <f>INDEX(PRECIO!$E$3:$E$933, MATCH(A28, PRECIO!$A$3:$A$933, 0))</f>
        <v>24</v>
      </c>
      <c r="F28" s="116">
        <f>INDEX(PRECIO!$O$3:$O$933, MATCH(A28, PRECIO!$A$3:$A$933, 0))</f>
        <v>0</v>
      </c>
      <c r="G28">
        <f t="shared" si="3"/>
        <v>22</v>
      </c>
    </row>
    <row r="29" spans="1:7" x14ac:dyDescent="0.3">
      <c r="A29" s="164">
        <v>488</v>
      </c>
      <c r="B29" s="167" t="str">
        <f>INDEX(PRECIO!$B$3:$B$933, MATCH(A29, PRECIO!$A$3:$A$933, 0))</f>
        <v>CALENTADOR SUBLI|T8XL│ADULTO</v>
      </c>
      <c r="C29" s="116">
        <f>INDEX(PRECIO!$C$3:$C$933, MATCH(A29, PRECIO!$A$3:$A$933, 0))</f>
        <v>28</v>
      </c>
      <c r="D29" s="116">
        <f>INDEX(PRECIO!$D$3:$D$933, MATCH(A29, PRECIO!$A$3:$A$933, 0))</f>
        <v>26</v>
      </c>
      <c r="E29" s="116">
        <f>INDEX(PRECIO!$E$3:$E$933, MATCH(A29, PRECIO!$A$3:$A$933, 0))</f>
        <v>25</v>
      </c>
      <c r="F29" s="116">
        <f>INDEX(PRECIO!$O$3:$O$933, MATCH(A29, PRECIO!$A$3:$A$933, 0))</f>
        <v>0</v>
      </c>
      <c r="G29">
        <f t="shared" si="3"/>
        <v>23</v>
      </c>
    </row>
    <row r="30" spans="1:7" x14ac:dyDescent="0.3">
      <c r="A30" s="164">
        <v>489</v>
      </c>
      <c r="B30" s="167" t="str">
        <f>INDEX(PRECIO!$B$3:$B$933, MATCH(A30, PRECIO!$A$3:$A$933, 0))</f>
        <v>CALENTADOR SUBLI|T9XL│ADULTO</v>
      </c>
      <c r="C30" s="116">
        <f>INDEX(PRECIO!$C$3:$C$933, MATCH(A30, PRECIO!$A$3:$A$933, 0))</f>
        <v>29</v>
      </c>
      <c r="D30" s="116">
        <f>INDEX(PRECIO!$D$3:$D$933, MATCH(A30, PRECIO!$A$3:$A$933, 0))</f>
        <v>27</v>
      </c>
      <c r="E30" s="116">
        <f>INDEX(PRECIO!$E$3:$E$933, MATCH(A30, PRECIO!$A$3:$A$933, 0))</f>
        <v>26</v>
      </c>
      <c r="F30" s="116">
        <f>INDEX(PRECIO!$O$3:$O$933, MATCH(A30, PRECIO!$A$3:$A$933, 0))</f>
        <v>0</v>
      </c>
      <c r="G30">
        <f t="shared" si="3"/>
        <v>24</v>
      </c>
    </row>
  </sheetData>
  <mergeCells count="2">
    <mergeCell ref="A17:E17"/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63C5E-BCDF-48A2-971E-FDFFC0C6755F}">
  <sheetPr codeName="Hoja10"/>
  <dimension ref="A1:F34"/>
  <sheetViews>
    <sheetView zoomScaleNormal="100" workbookViewId="0">
      <pane ySplit="1" topLeftCell="A11" activePane="bottomLeft" state="frozenSplit"/>
      <selection activeCell="I14" sqref="I14"/>
      <selection pane="bottomLeft" activeCell="H16" sqref="H16"/>
    </sheetView>
  </sheetViews>
  <sheetFormatPr baseColWidth="10" defaultRowHeight="14.4" x14ac:dyDescent="0.3"/>
  <cols>
    <col min="1" max="1" width="11.44140625" style="109"/>
    <col min="2" max="2" width="51.88671875" style="110" bestFit="1" customWidth="1"/>
    <col min="3" max="5" width="7.6640625" style="109" customWidth="1"/>
    <col min="6" max="6" width="11.44140625" style="109"/>
  </cols>
  <sheetData>
    <row r="1" spans="1:6" ht="25.8" x14ac:dyDescent="0.3">
      <c r="A1" s="282" t="s">
        <v>335</v>
      </c>
      <c r="B1" s="282"/>
      <c r="C1" s="282"/>
      <c r="D1" s="282"/>
      <c r="E1" s="282"/>
      <c r="F1" s="118"/>
    </row>
    <row r="2" spans="1:6" x14ac:dyDescent="0.3">
      <c r="A2" s="120" t="str">
        <f>+PRECIO!A2</f>
        <v>COD.</v>
      </c>
      <c r="B2" s="120" t="str">
        <f>+PRECIO!B2</f>
        <v>DESCRIPCION</v>
      </c>
      <c r="C2" s="120" t="s">
        <v>1130</v>
      </c>
      <c r="D2" s="120" t="s">
        <v>1131</v>
      </c>
      <c r="E2" s="120" t="s">
        <v>1132</v>
      </c>
      <c r="F2" s="134" t="str">
        <f>+PRECIO!O2</f>
        <v>VALOR</v>
      </c>
    </row>
    <row r="3" spans="1:6" x14ac:dyDescent="0.3">
      <c r="A3" s="122">
        <v>249</v>
      </c>
      <c r="B3" s="123" t="str">
        <f>INDEX(PRECIO!B3:B423, MATCH(A3, PRECIO!A3:A423, 0))</f>
        <v>CONJUNTO DEPORTIVO T26-30|ADULTO</v>
      </c>
      <c r="C3" s="124">
        <f>INDEX(PRECIO!C3:C423, MATCH(A3, PRECIO!A3:A423, 0))</f>
        <v>48</v>
      </c>
      <c r="D3" s="124">
        <f>INDEX(PRECIO!D3:D423, MATCH(A3, PRECIO!A3:A423, 0))</f>
        <v>46</v>
      </c>
      <c r="E3" s="124">
        <f>INDEX(PRECIO!E3:E423, MATCH(A3, PRECIO!A3:A423, 0))</f>
        <v>45</v>
      </c>
      <c r="F3" s="124">
        <f>INDEX(PRECIO!O3:O423, MATCH(A3, PRECIO!A3:A423, 0))</f>
        <v>0</v>
      </c>
    </row>
    <row r="4" spans="1:6" x14ac:dyDescent="0.3">
      <c r="A4" s="199">
        <v>180</v>
      </c>
      <c r="B4" s="200" t="str">
        <f>INDEX(PRECIO!B3:B423, MATCH(A4, PRECIO!A3:A423, 0))</f>
        <v>CAMI POLO|DEPORT|T26-30│NIÑO|SUBLI</v>
      </c>
      <c r="C4" s="201">
        <f>INDEX(PRECIO!C3:C423, MATCH(A4, PRECIO!A3:A423, 0))</f>
        <v>11</v>
      </c>
      <c r="D4" s="201">
        <f>INDEX(PRECIO!D3:D423, MATCH(A4, PRECIO!A3:A423, 0))</f>
        <v>9</v>
      </c>
      <c r="E4" s="201">
        <f>INDEX(PRECIO!E3:E423, MATCH(A4, PRECIO!A3:A423, 0))</f>
        <v>8</v>
      </c>
      <c r="F4" s="201">
        <f>INDEX(PRECIO!O3:O423, MATCH(A4, PRECIO!A3:A423, 0))</f>
        <v>7.6</v>
      </c>
    </row>
    <row r="5" spans="1:6" x14ac:dyDescent="0.3">
      <c r="A5" s="131">
        <v>475</v>
      </c>
      <c r="B5" s="132" t="str">
        <f>INDEX(PRECIO!$B$3:$B$933, MATCH(A5, PRECIO!$A$3:$A$933, 0))</f>
        <v>CHOMPA SUBLIMADA|T26-30|NIÑOS</v>
      </c>
      <c r="C5" s="133">
        <f>INDEX(PRECIO!$C$3:$C$933, MATCH(A5, PRECIO!$A$3:$A$933, 0))</f>
        <v>24</v>
      </c>
      <c r="D5" s="133">
        <f>INDEX(PRECIO!$D$3:$D$933, MATCH(A5, PRECIO!$A$3:$A$933, 0))</f>
        <v>22</v>
      </c>
      <c r="E5" s="133">
        <f>INDEX(PRECIO!$E$3:$E$933, MATCH(A5, PRECIO!$A$3:$A$933, 0))</f>
        <v>21</v>
      </c>
      <c r="F5" s="133">
        <f>INDEX(PRECIO!$O$3:$O$933, MATCH(A5, PRECIO!$A$3:$A$933, 0))</f>
        <v>0</v>
      </c>
    </row>
    <row r="6" spans="1:6" x14ac:dyDescent="0.3">
      <c r="A6" s="131">
        <v>478</v>
      </c>
      <c r="B6" s="132" t="str">
        <f>INDEX(PRECIO!$B$3:$B$933, MATCH(A6, PRECIO!$A$3:$A$933, 0))</f>
        <v>CALENTADOR SUBLI|T26-30|NIÑO</v>
      </c>
      <c r="C6" s="133">
        <f>INDEX(PRECIO!$C$3:$C$933, MATCH(A6, PRECIO!$A$3:$A$933, 0))</f>
        <v>18</v>
      </c>
      <c r="D6" s="133">
        <f>INDEX(PRECIO!$D$3:$D$933, MATCH(A6, PRECIO!$A$3:$A$933, 0))</f>
        <v>16</v>
      </c>
      <c r="E6" s="133">
        <f>INDEX(PRECIO!$E$3:$E$933, MATCH(A6, PRECIO!$A$3:$A$933, 0))</f>
        <v>15</v>
      </c>
      <c r="F6" s="133">
        <f>INDEX(PRECIO!$O$3:$O$933, MATCH(A6, PRECIO!$A$3:$A$933, 0))</f>
        <v>0</v>
      </c>
    </row>
    <row r="7" spans="1:6" x14ac:dyDescent="0.3">
      <c r="A7" s="131"/>
      <c r="B7" s="132"/>
      <c r="C7" s="133"/>
      <c r="D7" s="133"/>
      <c r="E7" s="162">
        <f>SUM(E4:E6)</f>
        <v>44</v>
      </c>
      <c r="F7" s="133"/>
    </row>
    <row r="8" spans="1:6" x14ac:dyDescent="0.3">
      <c r="A8" s="122">
        <v>248</v>
      </c>
      <c r="B8" s="123" t="str">
        <f>INDEX(PRECIO!B3:B423, MATCH(A8, PRECIO!A3:A423, 0))</f>
        <v>CONJUNTO DEPORTIVO T32-36|ADULTO</v>
      </c>
      <c r="C8" s="124">
        <f>INDEX(PRECIO!C3:C423, MATCH(A8, PRECIO!A3:A423, 0))</f>
        <v>49</v>
      </c>
      <c r="D8" s="124">
        <f>INDEX(PRECIO!D3:D423, MATCH(A8, PRECIO!A3:A423, 0))</f>
        <v>47</v>
      </c>
      <c r="E8" s="124">
        <f>INDEX(PRECIO!E3:E423, MATCH(A8, PRECIO!A3:A423, 0))</f>
        <v>46</v>
      </c>
      <c r="F8" s="124">
        <f>INDEX(PRECIO!O3:O423, MATCH(A8, PRECIO!A3:A423, 0))</f>
        <v>0</v>
      </c>
    </row>
    <row r="9" spans="1:6" x14ac:dyDescent="0.3">
      <c r="A9" s="199">
        <v>296</v>
      </c>
      <c r="B9" s="200" t="str">
        <f>INDEX(PRECIO!B3:B423, MATCH(A9, PRECIO!A3:A423, 0))</f>
        <v>CAMI POLO|DEPORT|T32-36│NIÑO|SUBLI</v>
      </c>
      <c r="C9" s="201">
        <f>INDEX(PRECIO!C3:C423, MATCH(A9, PRECIO!A3:A423, 0))</f>
        <v>12</v>
      </c>
      <c r="D9" s="201">
        <f>INDEX(PRECIO!D3:D423, MATCH(A9, PRECIO!A3:A423, 0))</f>
        <v>10</v>
      </c>
      <c r="E9" s="201">
        <f>INDEX(PRECIO!E3:E423, MATCH(A9, PRECIO!A3:A423, 0))</f>
        <v>9</v>
      </c>
      <c r="F9" s="201">
        <f>INDEX(PRECIO!O3:O423, MATCH(A9, PRECIO!A3:A423, 0))</f>
        <v>0</v>
      </c>
    </row>
    <row r="10" spans="1:6" x14ac:dyDescent="0.3">
      <c r="A10" s="131">
        <v>476</v>
      </c>
      <c r="B10" s="132" t="str">
        <f>INDEX(PRECIO!$B$3:$B$933, MATCH(A10, PRECIO!$A$3:$A$933, 0))</f>
        <v>CHOMPA SUBLIMADA|T32-36|NIÑOS</v>
      </c>
      <c r="C10" s="133">
        <f>INDEX(PRECIO!$C$3:$C$933, MATCH(A10, PRECIO!$A$3:$A$933, 0))</f>
        <v>25</v>
      </c>
      <c r="D10" s="133">
        <f>INDEX(PRECIO!$D$3:$D$933, MATCH(A10, PRECIO!$A$3:$A$933, 0))</f>
        <v>23</v>
      </c>
      <c r="E10" s="133">
        <f>INDEX(PRECIO!$E$3:$E$933, MATCH(A10, PRECIO!$A$3:$A$933, 0))</f>
        <v>22</v>
      </c>
      <c r="F10" s="133">
        <f>INDEX(PRECIO!$O$3:$O$933, MATCH(A10, PRECIO!$A$3:$A$933, 0))</f>
        <v>0</v>
      </c>
    </row>
    <row r="11" spans="1:6" x14ac:dyDescent="0.3">
      <c r="A11" s="131">
        <v>479</v>
      </c>
      <c r="B11" s="132" t="str">
        <f>INDEX(PRECIO!$B$3:$B$933, MATCH(A11, PRECIO!$A$3:$A$933, 0))</f>
        <v>CALENTADOR SUBLI|T32-36|NIÑO</v>
      </c>
      <c r="C11" s="133">
        <f>INDEX(PRECIO!$C$3:$C$933, MATCH(A11, PRECIO!$A$3:$A$933, 0))</f>
        <v>19</v>
      </c>
      <c r="D11" s="133">
        <f>INDEX(PRECIO!$D$3:$D$933, MATCH(A11, PRECIO!$A$3:$A$933, 0))</f>
        <v>17</v>
      </c>
      <c r="E11" s="133">
        <f>INDEX(PRECIO!$E$3:$E$933, MATCH(A11, PRECIO!$A$3:$A$933, 0))</f>
        <v>16</v>
      </c>
      <c r="F11" s="133">
        <f>INDEX(PRECIO!$O$3:$O$933, MATCH(A11, PRECIO!$A$3:$A$933, 0))</f>
        <v>0</v>
      </c>
    </row>
    <row r="12" spans="1:6" x14ac:dyDescent="0.3">
      <c r="A12" s="199"/>
      <c r="B12" s="200"/>
      <c r="C12" s="201"/>
      <c r="D12" s="201"/>
      <c r="E12" s="124">
        <f>SUM(E9:E11)</f>
        <v>47</v>
      </c>
      <c r="F12" s="201"/>
    </row>
    <row r="13" spans="1:6" x14ac:dyDescent="0.3">
      <c r="A13" s="125">
        <v>239</v>
      </c>
      <c r="B13" s="126" t="str">
        <f>INDEX(PRECIO!B3:B423, MATCH(A13, PRECIO!A3:A423, 0))</f>
        <v>CONJUNTO DEPORTIVO T38-42|ADULTO</v>
      </c>
      <c r="C13" s="127">
        <f>INDEX(PRECIO!C3:C423, MATCH(A13, PRECIO!A3:A423, 0))</f>
        <v>50</v>
      </c>
      <c r="D13" s="127">
        <f>INDEX(PRECIO!D3:D423, MATCH(A13, PRECIO!A3:A423, 0))</f>
        <v>48</v>
      </c>
      <c r="E13" s="127">
        <f>INDEX(PRECIO!E3:E423, MATCH(A13, PRECIO!A3:A423, 0))</f>
        <v>47</v>
      </c>
      <c r="F13" s="127">
        <f>INDEX(PRECIO!O3:O423, MATCH(A13, PRECIO!A3:A423, 0))</f>
        <v>0</v>
      </c>
    </row>
    <row r="14" spans="1:6" x14ac:dyDescent="0.3">
      <c r="A14" s="199">
        <v>297</v>
      </c>
      <c r="B14" s="200" t="str">
        <f>INDEX(PRECIO!B3:B423, MATCH(A14, PRECIO!A3:A423, 0))</f>
        <v>CAMI POLO|DEPORT| T38-42│JOV|SUBLI</v>
      </c>
      <c r="C14" s="201">
        <f>INDEX(PRECIO!C3:C423, MATCH(A14, PRECIO!A3:A423, 0))</f>
        <v>13</v>
      </c>
      <c r="D14" s="201">
        <f>INDEX(PRECIO!D3:D423, MATCH(A14, PRECIO!A3:A423, 0))</f>
        <v>11</v>
      </c>
      <c r="E14" s="201">
        <f>INDEX(PRECIO!E3:E423, MATCH(A14, PRECIO!A3:A423, 0))</f>
        <v>10</v>
      </c>
      <c r="F14" s="201">
        <f>INDEX(PRECIO!O3:O423, MATCH(A14, PRECIO!A3:A423, 0))</f>
        <v>8.2899999999999991</v>
      </c>
    </row>
    <row r="15" spans="1:6" x14ac:dyDescent="0.3">
      <c r="A15" s="131">
        <v>477</v>
      </c>
      <c r="B15" s="132" t="str">
        <f>INDEX(PRECIO!$B$3:$B$933, MATCH(A15, PRECIO!$A$3:$A$933, 0))</f>
        <v>CHOMPA SUBLIMADA|T38-42|JOVEN</v>
      </c>
      <c r="C15" s="133">
        <f>INDEX(PRECIO!$C$3:$C$933, MATCH(A15, PRECIO!$A$3:$A$933, 0))</f>
        <v>26</v>
      </c>
      <c r="D15" s="133">
        <f>INDEX(PRECIO!$D$3:$D$933, MATCH(A15, PRECIO!$A$3:$A$933, 0))</f>
        <v>24</v>
      </c>
      <c r="E15" s="133">
        <f>INDEX(PRECIO!$E$3:$E$933, MATCH(A15, PRECIO!$A$3:$A$933, 0))</f>
        <v>23</v>
      </c>
      <c r="F15" s="133">
        <f>INDEX(PRECIO!$O$3:$O$933, MATCH(A15, PRECIO!$A$3:$A$933, 0))</f>
        <v>16.39</v>
      </c>
    </row>
    <row r="16" spans="1:6" x14ac:dyDescent="0.3">
      <c r="A16" s="131">
        <v>480</v>
      </c>
      <c r="B16" s="132" t="str">
        <f>INDEX(PRECIO!$B$3:$B$933, MATCH(A16, PRECIO!$A$3:$A$933, 0))</f>
        <v>CALENTADOR SUBLI|T38-42|JOVEN</v>
      </c>
      <c r="C16" s="133">
        <f>INDEX(PRECIO!$C$3:$C$933, MATCH(A16, PRECIO!$A$3:$A$933, 0))</f>
        <v>20</v>
      </c>
      <c r="D16" s="133">
        <f>INDEX(PRECIO!$D$3:$D$933, MATCH(A16, PRECIO!$A$3:$A$933, 0))</f>
        <v>18</v>
      </c>
      <c r="E16" s="133">
        <f>INDEX(PRECIO!$E$3:$E$933, MATCH(A16, PRECIO!$A$3:$A$933, 0))</f>
        <v>17</v>
      </c>
      <c r="F16" s="133">
        <f>INDEX(PRECIO!$O$3:$O$933, MATCH(A16, PRECIO!$A$3:$A$933, 0))</f>
        <v>9.44</v>
      </c>
    </row>
    <row r="17" spans="1:6" x14ac:dyDescent="0.3">
      <c r="A17" s="131"/>
      <c r="B17" s="132"/>
      <c r="C17" s="133"/>
      <c r="D17" s="133"/>
      <c r="E17" s="162">
        <f>SUM(E14:E16)</f>
        <v>50</v>
      </c>
      <c r="F17" s="202">
        <f>SUM(F14:F16)</f>
        <v>34.119999999999997</v>
      </c>
    </row>
    <row r="18" spans="1:6" x14ac:dyDescent="0.3">
      <c r="A18" s="128">
        <v>238</v>
      </c>
      <c r="B18" s="129" t="str">
        <f>INDEX(PRECIO!B3:B423, MATCH(A18, PRECIO!A3:A423, 0))</f>
        <v>CONJUNTO DEPORTIVO TXS-XL|ADULTO</v>
      </c>
      <c r="C18" s="130">
        <f>INDEX(PRECIO!C3:C423, MATCH(A18, PRECIO!A3:A423, 0))</f>
        <v>51</v>
      </c>
      <c r="D18" s="130">
        <f>INDEX(PRECIO!D3:D423, MATCH(A18, PRECIO!A3:A423, 0))</f>
        <v>49</v>
      </c>
      <c r="E18" s="130">
        <f>INDEX(PRECIO!E3:E423, MATCH(A18, PRECIO!A3:A423, 0))</f>
        <v>48</v>
      </c>
      <c r="F18" s="130">
        <f>INDEX(PRECIO!O3:O423, MATCH(A18, PRECIO!A3:A423, 0))</f>
        <v>0</v>
      </c>
    </row>
    <row r="19" spans="1:6" x14ac:dyDescent="0.3">
      <c r="A19" s="199">
        <v>137</v>
      </c>
      <c r="B19" s="200" t="str">
        <f>INDEX(PRECIO!B3:B423, MATCH(A19, PRECIO!A3:A423, 0))</f>
        <v>CAMI POLO|DEPORT|TXS-XL |SUBLI</v>
      </c>
      <c r="C19" s="201">
        <f>INDEX(PRECIO!C3:C423, MATCH(A19, PRECIO!A3:A423, 0))</f>
        <v>14</v>
      </c>
      <c r="D19" s="201">
        <f>INDEX(PRECIO!D3:D423, MATCH(A19, PRECIO!A3:A423, 0))</f>
        <v>12</v>
      </c>
      <c r="E19" s="201">
        <f>INDEX(PRECIO!E3:E423, MATCH(A19, PRECIO!A3:A423, 0))</f>
        <v>11</v>
      </c>
      <c r="F19" s="201">
        <f>INDEX(PRECIO!O3:O423, MATCH(A19, PRECIO!A3:A423, 0))</f>
        <v>8.2899999999999991</v>
      </c>
    </row>
    <row r="20" spans="1:6" x14ac:dyDescent="0.3">
      <c r="A20" s="199">
        <v>211</v>
      </c>
      <c r="B20" s="200" t="str">
        <f>INDEX(PRECIO!B3:B423, MATCH(A20, PRECIO!A3:A423, 0))</f>
        <v>CHOMPA SUBLIMADA|TXS-XL│ADULTO</v>
      </c>
      <c r="C20" s="201">
        <f>INDEX(PRECIO!C3:C423, MATCH(A20, PRECIO!A3:A423, 0))</f>
        <v>29</v>
      </c>
      <c r="D20" s="201">
        <f>INDEX(PRECIO!D3:D423, MATCH(A20, PRECIO!A3:A423, 0))</f>
        <v>27</v>
      </c>
      <c r="E20" s="201">
        <f>INDEX(PRECIO!E3:E423, MATCH(A20, PRECIO!A3:A423, 0))</f>
        <v>26</v>
      </c>
      <c r="F20" s="201">
        <f>INDEX(PRECIO!O3:O423, MATCH(A20, PRECIO!A3:A423, 0))</f>
        <v>21.08</v>
      </c>
    </row>
    <row r="21" spans="1:6" x14ac:dyDescent="0.3">
      <c r="A21" s="199">
        <v>481</v>
      </c>
      <c r="B21" s="200" t="str">
        <f>INDEX(PRECIO!$B$3:$B$933, MATCH(A21, PRECIO!$A$3:$A$933, 0))</f>
        <v>CALENTADOR SUBLI|TXS-XL│ADULTO</v>
      </c>
      <c r="C21" s="201">
        <f>INDEX(PRECIO!$C$3:$C$933, MATCH(A21, PRECIO!$A$3:$A$933, 0))</f>
        <v>21</v>
      </c>
      <c r="D21" s="201">
        <f>INDEX(PRECIO!$D$3:$D$933, MATCH(A21, PRECIO!$A$3:$A$933, 0))</f>
        <v>19</v>
      </c>
      <c r="E21" s="201">
        <f>INDEX(PRECIO!$E$3:$E$933, MATCH(A21, PRECIO!$A$3:$A$933, 0))</f>
        <v>18</v>
      </c>
      <c r="F21" s="201">
        <f>INDEX(PRECIO!$O$3:$O$933, MATCH(A21, PRECIO!$A$3:$A$933, 0))</f>
        <v>13.82</v>
      </c>
    </row>
    <row r="22" spans="1:6" x14ac:dyDescent="0.3">
      <c r="A22" s="131"/>
      <c r="B22" s="132"/>
      <c r="C22" s="133"/>
      <c r="D22" s="133"/>
      <c r="E22" s="162">
        <f>SUM(E19:E21)</f>
        <v>55</v>
      </c>
      <c r="F22" s="202">
        <f>SUM(F19:F21)</f>
        <v>43.19</v>
      </c>
    </row>
    <row r="23" spans="1:6" x14ac:dyDescent="0.3">
      <c r="A23" s="128">
        <v>240</v>
      </c>
      <c r="B23" s="129" t="str">
        <f>INDEX(PRECIO!B3:B423, MATCH(A23, PRECIO!A3:A423, 0))</f>
        <v>CONJUNTO DEPORTIVO T2XL|ADULTO</v>
      </c>
      <c r="C23" s="130">
        <f>INDEX(PRECIO!C3:C423, MATCH(A23, PRECIO!A3:A423, 0))</f>
        <v>54</v>
      </c>
      <c r="D23" s="130">
        <f>INDEX(PRECIO!D3:D423, MATCH(A23, PRECIO!A3:A423, 0))</f>
        <v>52</v>
      </c>
      <c r="E23" s="130">
        <f>INDEX(PRECIO!E3:E423, MATCH(A23, PRECIO!A3:A423, 0))</f>
        <v>51</v>
      </c>
      <c r="F23" s="130">
        <f>INDEX(PRECIO!O3:O423, MATCH(A23, PRECIO!A3:A423, 0))</f>
        <v>0</v>
      </c>
    </row>
    <row r="24" spans="1:6" x14ac:dyDescent="0.3">
      <c r="A24" s="128">
        <v>241</v>
      </c>
      <c r="B24" s="129" t="str">
        <f>INDEX(PRECIO!B3:B423, MATCH(A24, PRECIO!A3:A423, 0))</f>
        <v>CONJUNTO DEPORTIVO T3XL|ADULTO</v>
      </c>
      <c r="C24" s="130">
        <f>INDEX(PRECIO!C3:C423, MATCH(A24, PRECIO!A3:A423, 0))</f>
        <v>57</v>
      </c>
      <c r="D24" s="130">
        <f>INDEX(PRECIO!D3:D423, MATCH(A24, PRECIO!A3:A423, 0))</f>
        <v>55</v>
      </c>
      <c r="E24" s="130">
        <f>INDEX(PRECIO!E3:E423, MATCH(A24, PRECIO!A3:A423, 0))</f>
        <v>54</v>
      </c>
      <c r="F24" s="130">
        <f>INDEX(PRECIO!O3:O423, MATCH(A24, PRECIO!A3:A423, 0))</f>
        <v>0</v>
      </c>
    </row>
    <row r="25" spans="1:6" x14ac:dyDescent="0.3">
      <c r="A25" s="128">
        <v>242</v>
      </c>
      <c r="B25" s="129" t="str">
        <f>INDEX(PRECIO!B3:B423, MATCH(A25, PRECIO!A3:A423, 0))</f>
        <v>CONJUNTO DEPORTIVO T4XL|ADULTO</v>
      </c>
      <c r="C25" s="130">
        <f>INDEX(PRECIO!C3:C423, MATCH(A25, PRECIO!A3:A423, 0))</f>
        <v>60</v>
      </c>
      <c r="D25" s="130">
        <f>INDEX(PRECIO!D3:D423, MATCH(A25, PRECIO!A3:A423, 0))</f>
        <v>58</v>
      </c>
      <c r="E25" s="130">
        <f>INDEX(PRECIO!E3:E423, MATCH(A25, PRECIO!A3:A423, 0))</f>
        <v>57</v>
      </c>
      <c r="F25" s="130">
        <f>INDEX(PRECIO!O3:O423, MATCH(A25, PRECIO!A3:A423, 0))</f>
        <v>0</v>
      </c>
    </row>
    <row r="26" spans="1:6" x14ac:dyDescent="0.3">
      <c r="A26" s="128">
        <v>243</v>
      </c>
      <c r="B26" s="129" t="str">
        <f>INDEX(PRECIO!B3:B423, MATCH(A26, PRECIO!A3:A423, 0))</f>
        <v>CONJUNTO DEPORTIVO T5XL|ADULTO</v>
      </c>
      <c r="C26" s="130">
        <f>INDEX(PRECIO!C3:C423, MATCH(A26, PRECIO!A3:A423, 0))</f>
        <v>63</v>
      </c>
      <c r="D26" s="130">
        <f>INDEX(PRECIO!D3:D423, MATCH(A26, PRECIO!A3:A423, 0))</f>
        <v>61</v>
      </c>
      <c r="E26" s="130">
        <f>INDEX(PRECIO!E3:E423, MATCH(A26, PRECIO!A3:A423, 0))</f>
        <v>60</v>
      </c>
      <c r="F26" s="130">
        <f>INDEX(PRECIO!O3:O423, MATCH(A26, PRECIO!A3:A423, 0))</f>
        <v>0</v>
      </c>
    </row>
    <row r="27" spans="1:6" x14ac:dyDescent="0.3">
      <c r="A27" s="128">
        <v>244</v>
      </c>
      <c r="B27" s="129" t="str">
        <f>INDEX(PRECIO!B3:B423, MATCH(A27, PRECIO!A3:A423, 0))</f>
        <v>CONJUNTO DEPORTIVO T6XL|ADULTO</v>
      </c>
      <c r="C27" s="130">
        <f>INDEX(PRECIO!C3:C423, MATCH(A27, PRECIO!A3:A423, 0))</f>
        <v>66</v>
      </c>
      <c r="D27" s="130">
        <f>INDEX(PRECIO!D3:D423, MATCH(A27, PRECIO!A3:A423, 0))</f>
        <v>64</v>
      </c>
      <c r="E27" s="130">
        <f>INDEX(PRECIO!E3:E423, MATCH(A27, PRECIO!A3:A423, 0))</f>
        <v>63</v>
      </c>
      <c r="F27" s="130">
        <f>INDEX(PRECIO!O3:O423, MATCH(A27, PRECIO!A3:A423, 0))</f>
        <v>0</v>
      </c>
    </row>
    <row r="28" spans="1:6" x14ac:dyDescent="0.3">
      <c r="A28" s="128">
        <v>245</v>
      </c>
      <c r="B28" s="129" t="str">
        <f>INDEX(PRECIO!B3:B423, MATCH(A28, PRECIO!A3:A423, 0))</f>
        <v>CONJUNTO DEPORTIVO T7XL|ADULTO</v>
      </c>
      <c r="C28" s="130">
        <f>INDEX(PRECIO!C3:C423, MATCH(A28, PRECIO!A3:A423, 0))</f>
        <v>69</v>
      </c>
      <c r="D28" s="130">
        <f>INDEX(PRECIO!D3:D423, MATCH(A28, PRECIO!A3:A423, 0))</f>
        <v>67</v>
      </c>
      <c r="E28" s="130">
        <f>INDEX(PRECIO!E3:E423, MATCH(A28, PRECIO!A3:A423, 0))</f>
        <v>66</v>
      </c>
      <c r="F28" s="130">
        <f>INDEX(PRECIO!O3:O423, MATCH(A28, PRECIO!A3:A423, 0))</f>
        <v>0</v>
      </c>
    </row>
    <row r="29" spans="1:6" x14ac:dyDescent="0.3">
      <c r="A29" s="128">
        <v>246</v>
      </c>
      <c r="B29" s="129" t="str">
        <f>INDEX(PRECIO!B3:B423, MATCH(A29, PRECIO!A3:A423, 0))</f>
        <v>CONJUNTO DEPORTIVO T8XL|ADULTO</v>
      </c>
      <c r="C29" s="130">
        <f>INDEX(PRECIO!C3:C423, MATCH(A29, PRECIO!A3:A423, 0))</f>
        <v>72</v>
      </c>
      <c r="D29" s="130">
        <f>INDEX(PRECIO!D3:D423, MATCH(A29, PRECIO!A3:A423, 0))</f>
        <v>70</v>
      </c>
      <c r="E29" s="130">
        <f>INDEX(PRECIO!E3:E423, MATCH(A29, PRECIO!A3:A423, 0))</f>
        <v>69</v>
      </c>
      <c r="F29" s="130">
        <f>INDEX(PRECIO!O3:O423, MATCH(A29, PRECIO!A3:A423, 0))</f>
        <v>0</v>
      </c>
    </row>
    <row r="30" spans="1:6" x14ac:dyDescent="0.3">
      <c r="A30" s="128">
        <v>247</v>
      </c>
      <c r="B30" s="129" t="str">
        <f>INDEX(PRECIO!B3:B423, MATCH(A30, PRECIO!A3:A423, 0))</f>
        <v>CONJUNTO DEPORTIVO T9XL|ADULTO</v>
      </c>
      <c r="C30" s="130">
        <f>INDEX(PRECIO!C3:C423, MATCH(A30, PRECIO!A3:A423, 0))</f>
        <v>75</v>
      </c>
      <c r="D30" s="130">
        <f>INDEX(PRECIO!D3:D423, MATCH(A30, PRECIO!A3:A423, 0))</f>
        <v>73</v>
      </c>
      <c r="E30" s="130">
        <f>INDEX(PRECIO!E3:E423, MATCH(A30, PRECIO!A3:A423, 0))</f>
        <v>72</v>
      </c>
      <c r="F30" s="130">
        <f>INDEX(PRECIO!O3:O423, MATCH(A30, PRECIO!A3:A423, 0))</f>
        <v>0</v>
      </c>
    </row>
    <row r="34" spans="1:1" x14ac:dyDescent="0.3">
      <c r="A34" s="111"/>
    </row>
  </sheetData>
  <mergeCells count="1">
    <mergeCell ref="A1:E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D79-16B7-4395-8B83-55E21752C38F}">
  <sheetPr codeName="Hoja4"/>
  <dimension ref="A1:F14"/>
  <sheetViews>
    <sheetView view="pageBreakPreview" zoomScale="130" zoomScaleNormal="100" zoomScaleSheetLayoutView="130" workbookViewId="0">
      <pane ySplit="2" topLeftCell="A3" activePane="bottomLeft" state="frozenSplit"/>
      <selection activeCell="I14" sqref="I14"/>
      <selection pane="bottomLeft" activeCell="H12" sqref="H12"/>
    </sheetView>
  </sheetViews>
  <sheetFormatPr baseColWidth="10" defaultRowHeight="14.4" x14ac:dyDescent="0.3"/>
  <cols>
    <col min="1" max="1" width="11.44140625" style="109"/>
    <col min="2" max="2" width="51.88671875" style="110" bestFit="1" customWidth="1"/>
    <col min="3" max="5" width="7.6640625" style="109" customWidth="1"/>
    <col min="6" max="6" width="11.44140625" style="109"/>
  </cols>
  <sheetData>
    <row r="1" spans="1:6" ht="29.25" customHeight="1" x14ac:dyDescent="0.3">
      <c r="A1" s="277" t="s">
        <v>334</v>
      </c>
      <c r="B1" s="277"/>
      <c r="C1" s="277"/>
      <c r="D1" s="277"/>
      <c r="E1" s="277"/>
      <c r="F1" s="119"/>
    </row>
    <row r="2" spans="1:6" x14ac:dyDescent="0.3">
      <c r="A2" s="120" t="str">
        <f>+PRECIO!A2</f>
        <v>COD.</v>
      </c>
      <c r="B2" s="121" t="str">
        <f>+PRECIO!B2</f>
        <v>DESCRIPCION</v>
      </c>
      <c r="C2" s="120" t="str">
        <f>+PRECIO!C2</f>
        <v>UNI</v>
      </c>
      <c r="D2" s="121" t="s">
        <v>285</v>
      </c>
      <c r="E2" s="120" t="s">
        <v>287</v>
      </c>
      <c r="F2" s="120" t="str">
        <f>+PRECIO!O2</f>
        <v>VALOR</v>
      </c>
    </row>
    <row r="3" spans="1:6" x14ac:dyDescent="0.3">
      <c r="A3" s="111">
        <v>213</v>
      </c>
      <c r="B3" s="110" t="str">
        <f>INDEX(PRECIO!B3:B423, MATCH(A3, PRECIO!A3:A423, 0))</f>
        <v>BODY SUBLIMADA  T30-42│NIÑAS</v>
      </c>
      <c r="C3" s="109">
        <f>INDEX(PRECIO!C3:C423, MATCH(A3, PRECIO!A3:A423, 0))</f>
        <v>17</v>
      </c>
      <c r="D3" s="109">
        <f>INDEX(PRECIO!D3:D423, MATCH(A3, PRECIO!A3:A423, 0))</f>
        <v>16</v>
      </c>
      <c r="E3" s="109">
        <f>INDEX(PRECIO!E3:E423, MATCH(A3, PRECIO!A3:A423, 0))</f>
        <v>15</v>
      </c>
      <c r="F3" s="109">
        <f>INDEX(PRECIO!O3:O423, MATCH(A3, PRECIO!A3:A423, 0))</f>
        <v>5.63</v>
      </c>
    </row>
    <row r="4" spans="1:6" x14ac:dyDescent="0.3">
      <c r="A4" s="111">
        <v>1</v>
      </c>
      <c r="B4" s="110" t="str">
        <f>INDEX(PRECIO!B3:B423, MATCH(A4, PRECIO!A3:A423, 0))</f>
        <v>SERVICIO DE SUBLIMACION POR METRO</v>
      </c>
      <c r="C4" s="109">
        <f>INDEX(PRECIO!C3:C423, MATCH(A4, PRECIO!A3:A423, 0))</f>
        <v>1</v>
      </c>
      <c r="D4" s="109">
        <f>INDEX(PRECIO!D3:D423, MATCH(A4, PRECIO!A3:A423, 0))</f>
        <v>1</v>
      </c>
      <c r="E4" s="109">
        <f>INDEX(PRECIO!E3:E423, MATCH(A4, PRECIO!A3:A423, 0))</f>
        <v>0.9</v>
      </c>
      <c r="F4" s="109">
        <f>INDEX(PRECIO!O3:O423, MATCH(A4, PRECIO!A3:A423, 0))</f>
        <v>0.44</v>
      </c>
    </row>
    <row r="5" spans="1:6" x14ac:dyDescent="0.3">
      <c r="A5" s="111">
        <v>2</v>
      </c>
      <c r="B5" s="110" t="str">
        <f>INDEX(PRECIO!B3:B424, MATCH(A5, PRECIO!A3:A424, 0))</f>
        <v>BOLSO PUBLICITARIO|PERSON.|ESTANDAR|35cmx40cm</v>
      </c>
      <c r="C5" s="109">
        <f>INDEX(PRECIO!C3:C424, MATCH(A5, PRECIO!A3:A424, 0))</f>
        <v>7</v>
      </c>
      <c r="D5" s="109">
        <f>INDEX(PRECIO!D3:D424, MATCH(A5, PRECIO!A3:A424, 0))</f>
        <v>5</v>
      </c>
      <c r="E5" s="109">
        <f>INDEX(PRECIO!E3:E424, MATCH(A5, PRECIO!A3:A424, 0))</f>
        <v>3.5</v>
      </c>
      <c r="F5" s="109">
        <f>INDEX(PRECIO!O3:O424, MATCH(A5, PRECIO!A3:A424, 0))</f>
        <v>1.91</v>
      </c>
    </row>
    <row r="6" spans="1:6" x14ac:dyDescent="0.3">
      <c r="A6" s="111">
        <v>3</v>
      </c>
      <c r="B6" s="110" t="str">
        <f>INDEX(PRECIO!B3:B425, MATCH(A6, PRECIO!A3:A425, 0))</f>
        <v>SUBLIMACION EN POLIN</v>
      </c>
      <c r="C6" s="109">
        <f>INDEX(PRECIO!C3:C425, MATCH(A6, PRECIO!A3:A425, 0))</f>
        <v>3.8</v>
      </c>
      <c r="D6" s="109">
        <f>INDEX(PRECIO!D3:D425, MATCH(A6, PRECIO!A3:A425, 0))</f>
        <v>1.8</v>
      </c>
      <c r="E6" s="109">
        <f>INDEX(PRECIO!E3:E425, MATCH(A6, PRECIO!A3:A425, 0))</f>
        <v>0.8</v>
      </c>
      <c r="F6" s="109">
        <f>INDEX(PRECIO!O3:O425, MATCH(A6, PRECIO!A3:A425, 0))</f>
        <v>0</v>
      </c>
    </row>
    <row r="7" spans="1:6" x14ac:dyDescent="0.3">
      <c r="A7" s="111">
        <v>136</v>
      </c>
      <c r="B7" s="110" t="str">
        <f>INDEX(PRECIO!B3:B426, MATCH(A7, PRECIO!A3:A426, 0))</f>
        <v>DISEÑO PARA ARQUERO</v>
      </c>
      <c r="C7" s="109">
        <f>INDEX(PRECIO!C3:C426, MATCH(A7, PRECIO!A3:A426, 0))</f>
        <v>5</v>
      </c>
      <c r="D7" s="109">
        <f>INDEX(PRECIO!D3:D426, MATCH(A7, PRECIO!A3:A426, 0))</f>
        <v>3</v>
      </c>
      <c r="E7" s="109">
        <f>INDEX(PRECIO!E3:E426, MATCH(A7, PRECIO!A3:A426, 0))</f>
        <v>2</v>
      </c>
      <c r="F7" s="109">
        <f>INDEX(PRECIO!O3:O426, MATCH(A7, PRECIO!A3:A426, 0))</f>
        <v>0</v>
      </c>
    </row>
    <row r="8" spans="1:6" x14ac:dyDescent="0.3">
      <c r="A8" s="111"/>
    </row>
    <row r="9" spans="1:6" ht="25.8" x14ac:dyDescent="0.3">
      <c r="A9" s="277" t="s">
        <v>336</v>
      </c>
      <c r="B9" s="277"/>
      <c r="C9" s="277"/>
      <c r="D9" s="277"/>
      <c r="E9" s="277"/>
      <c r="F9" s="118"/>
    </row>
    <row r="10" spans="1:6" x14ac:dyDescent="0.3">
      <c r="A10" s="120" t="e">
        <f>+PRECIO!#REF!</f>
        <v>#REF!</v>
      </c>
      <c r="B10" s="121" t="e">
        <f>+PRECIO!#REF!</f>
        <v>#REF!</v>
      </c>
      <c r="C10" s="120" t="e">
        <f>+PRECIO!#REF!</f>
        <v>#REF!</v>
      </c>
      <c r="D10" s="121" t="s">
        <v>285</v>
      </c>
      <c r="E10" s="120" t="s">
        <v>287</v>
      </c>
      <c r="F10" s="134" t="str">
        <f>+PRECIO!O2</f>
        <v>VALOR</v>
      </c>
    </row>
    <row r="11" spans="1:6" x14ac:dyDescent="0.3">
      <c r="A11" s="156">
        <v>164</v>
      </c>
      <c r="B11" s="157" t="str">
        <f>INDEX(PRECIO!B3:B427, MATCH(A11, PRECIO!A3:A427, 0))</f>
        <v>CHALECO DE ENTRENAMIENTO|ELASTICO|T32-42</v>
      </c>
      <c r="C11" s="158">
        <f>INDEX(PRECIO!C3:C427, MATCH(A11, PRECIO!A3:A427, 0))</f>
        <v>8</v>
      </c>
      <c r="D11" s="158">
        <f>INDEX(PRECIO!D3:D427, MATCH(A11, PRECIO!A3:A427, 0))</f>
        <v>6</v>
      </c>
      <c r="E11" s="158">
        <f>INDEX(PRECIO!E3:E427, MATCH(A11, PRECIO!A3:A427, 0))</f>
        <v>5</v>
      </c>
      <c r="F11" s="158">
        <f>INDEX(PRECIO!O3:O427, MATCH(A11, PRECIO!A3:A427, 0))</f>
        <v>3.91</v>
      </c>
    </row>
    <row r="12" spans="1:6" x14ac:dyDescent="0.3">
      <c r="A12" s="156">
        <v>261</v>
      </c>
      <c r="B12" s="157" t="str">
        <f>INDEX(PRECIO!B3:B423, MATCH(A12, PRECIO!A3:A423, 0))</f>
        <v>CHALECO DE ENTRENAMIENTO|ELASTICO|XS-XL</v>
      </c>
      <c r="C12" s="158">
        <f>INDEX(PRECIO!C3:C423, MATCH(A12, PRECIO!A3:A423, 0))</f>
        <v>9</v>
      </c>
      <c r="D12" s="158">
        <f>INDEX(PRECIO!D3:D423, MATCH(A12, PRECIO!A3:A423, 0))</f>
        <v>7</v>
      </c>
      <c r="E12" s="158">
        <f>INDEX(PRECIO!E3:E423, MATCH(A12, PRECIO!A3:A423, 0))</f>
        <v>6</v>
      </c>
      <c r="F12" s="158">
        <f>INDEX(PRECIO!O3:O423, MATCH(A12, PRECIO!A3:A423, 0))</f>
        <v>0</v>
      </c>
    </row>
    <row r="13" spans="1:6" x14ac:dyDescent="0.3">
      <c r="A13" s="159">
        <v>262</v>
      </c>
      <c r="B13" s="160" t="str">
        <f>INDEX(PRECIO!B3:B423, MATCH(A13, PRECIO!A3:A423, 0))</f>
        <v>CHALECO DE ENTRENAMIENTO|TIPO BVD|T32-42</v>
      </c>
      <c r="C13" s="161">
        <f>INDEX(PRECIO!C3:C423, MATCH(A13, PRECIO!A3:A423, 0))</f>
        <v>8</v>
      </c>
      <c r="D13" s="161">
        <f>INDEX(PRECIO!D3:D423, MATCH(A13, PRECIO!A3:A423, 0))</f>
        <v>6</v>
      </c>
      <c r="E13" s="161">
        <f>INDEX(PRECIO!E3:E423, MATCH(A13, PRECIO!A3:A423, 0))</f>
        <v>5</v>
      </c>
      <c r="F13" s="161">
        <f>INDEX(PRECIO!O3:O423, MATCH(A13, PRECIO!A3:A423, 0))</f>
        <v>5.81</v>
      </c>
    </row>
    <row r="14" spans="1:6" x14ac:dyDescent="0.3">
      <c r="A14" s="159">
        <v>263</v>
      </c>
      <c r="B14" s="160" t="str">
        <f>INDEX(PRECIO!B3:B423, MATCH(A14, PRECIO!A3:A423, 0))</f>
        <v>CHALECO DE ENTRENAMIENTO|TIPO BVD|XS-XL</v>
      </c>
      <c r="C14" s="161">
        <f>INDEX(PRECIO!C3:C423, MATCH(A14, PRECIO!A3:A423, 0))</f>
        <v>9</v>
      </c>
      <c r="D14" s="161">
        <f>INDEX(PRECIO!D3:D423, MATCH(A14, PRECIO!A3:A423, 0))</f>
        <v>7</v>
      </c>
      <c r="E14" s="161">
        <f>INDEX(PRECIO!E3:E423, MATCH(A14, PRECIO!A3:A423, 0))</f>
        <v>6</v>
      </c>
      <c r="F14" s="161">
        <f>INDEX(PRECIO!O3:O423, MATCH(A14, PRECIO!A3:A423, 0))</f>
        <v>0</v>
      </c>
    </row>
  </sheetData>
  <mergeCells count="2">
    <mergeCell ref="A9:E9"/>
    <mergeCell ref="A1:E1"/>
  </mergeCells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headerFooter>
    <oddFooter>&amp;R&amp;F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17</vt:i4>
      </vt:variant>
    </vt:vector>
  </HeadingPairs>
  <TitlesOfParts>
    <vt:vector size="35" baseType="lpstr">
      <vt:lpstr>PRECIO</vt:lpstr>
      <vt:lpstr>CAMI DEPOR</vt:lpstr>
      <vt:lpstr>CAMI PERSO</vt:lpstr>
      <vt:lpstr>PANTALONETAS</vt:lpstr>
      <vt:lpstr>UNIF ECO</vt:lpstr>
      <vt:lpstr>UNIF ESTANDARD</vt:lpstr>
      <vt:lpstr>UNIF PREMIUN</vt:lpstr>
      <vt:lpstr>UNIF BUZO ECO</vt:lpstr>
      <vt:lpstr>UNIF BUZO ESTANDARD</vt:lpstr>
      <vt:lpstr>UNIF BUZO PREMIUN</vt:lpstr>
      <vt:lpstr>BUZO DEPOR SUBLI</vt:lpstr>
      <vt:lpstr>CAMI POLO</vt:lpstr>
      <vt:lpstr>BUZO POLO</vt:lpstr>
      <vt:lpstr>BUZO DEPOR TORTUGA SUBLI</vt:lpstr>
      <vt:lpstr>CHALECOS</vt:lpstr>
      <vt:lpstr>CHOMPAS &amp; CALENTADORES</vt:lpstr>
      <vt:lpstr>CONJUNTO EXTERIOR</vt:lpstr>
      <vt:lpstr>VARIOS</vt:lpstr>
      <vt:lpstr>'BUZO DEPOR TORTUGA SUBLI'!Área_de_impresión</vt:lpstr>
      <vt:lpstr>'BUZO POLO'!Área_de_impresión</vt:lpstr>
      <vt:lpstr>'CAMI DEPOR'!Área_de_impresión</vt:lpstr>
      <vt:lpstr>'CAMI PERSO'!Área_de_impresión</vt:lpstr>
      <vt:lpstr>'CAMI POLO'!Área_de_impresión</vt:lpstr>
      <vt:lpstr>CHALECOS!Área_de_impresión</vt:lpstr>
      <vt:lpstr>'CHOMPAS &amp; CALENTADORES'!Área_de_impresión</vt:lpstr>
      <vt:lpstr>'CONJUNTO EXTERIOR'!Área_de_impresión</vt:lpstr>
      <vt:lpstr>PANTALONETAS!Área_de_impresión</vt:lpstr>
      <vt:lpstr>PRECIO!Área_de_impresión</vt:lpstr>
      <vt:lpstr>'UNIF BUZO ECO'!Área_de_impresión</vt:lpstr>
      <vt:lpstr>'UNIF BUZO ESTANDARD'!Área_de_impresión</vt:lpstr>
      <vt:lpstr>'UNIF BUZO PREMIUN'!Área_de_impresión</vt:lpstr>
      <vt:lpstr>'UNIF ECO'!Área_de_impresión</vt:lpstr>
      <vt:lpstr>'UNIF ESTANDARD'!Área_de_impresión</vt:lpstr>
      <vt:lpstr>'UNIF PREMIUN'!Área_de_impresión</vt:lpstr>
      <vt:lpstr>VARIOS!Área_de_impresión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 Xd</dc:creator>
  <cp:lastModifiedBy>Patty Jimenez</cp:lastModifiedBy>
  <cp:lastPrinted>2025-05-27T20:40:38Z</cp:lastPrinted>
  <dcterms:created xsi:type="dcterms:W3CDTF">2024-06-12T13:28:16Z</dcterms:created>
  <dcterms:modified xsi:type="dcterms:W3CDTF">2026-01-31T17:17:46Z</dcterms:modified>
</cp:coreProperties>
</file>